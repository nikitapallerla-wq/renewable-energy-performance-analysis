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2.xml" ContentType="application/vnd.openxmlformats-officedocument.spreadsheetml.table+xml"/>
  <Override PartName="/xl/queryTables/queryTable12.xml" ContentType="application/vnd.openxmlformats-officedocument.spreadsheetml.queryTable+xml"/>
  <Override PartName="/xl/pivotTables/pivotTable10.xml" ContentType="application/vnd.openxmlformats-officedocument.spreadsheetml.pivotTable+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4cb850801dcc58ae/Desktop/Nikita/Data Analyst/Renewable Energy/"/>
    </mc:Choice>
  </mc:AlternateContent>
  <xr:revisionPtr revIDLastSave="483" documentId="8_{9E2E3164-E8F6-45DC-8702-ACFE5E33B37D}" xr6:coauthVersionLast="47" xr6:coauthVersionMax="47" xr10:uidLastSave="{154CA22A-4C91-4C3A-AF3E-FB277804F438}"/>
  <bookViews>
    <workbookView xWindow="-108" yWindow="-108" windowWidth="23256" windowHeight="12456" firstSheet="1" activeTab="1" xr2:uid="{4ADC324E-E2E7-4550-83DA-B9A0AA060A3B}"/>
  </bookViews>
  <sheets>
    <sheet name="Plant_Master" sheetId="1" state="hidden" r:id="rId1"/>
    <sheet name="Dashboard" sheetId="26" r:id="rId2"/>
    <sheet name="Plant_Master(clean)" sheetId="13" r:id="rId3"/>
    <sheet name="Montly_Generation" sheetId="2" state="hidden" r:id="rId4"/>
    <sheet name="Plant_Performance" sheetId="20" r:id="rId5"/>
    <sheet name="Montly_Generation (clean)" sheetId="14" r:id="rId6"/>
    <sheet name="Montly_Generation_Analysis" sheetId="25" r:id="rId7"/>
    <sheet name="Billing" sheetId="3" state="hidden" r:id="rId8"/>
    <sheet name="Billing (clean)" sheetId="15" r:id="rId9"/>
    <sheet name="Receivable" sheetId="4" state="hidden" r:id="rId10"/>
    <sheet name="Billing_Analysis" sheetId="23" r:id="rId11"/>
    <sheet name="Receivable (clean)" sheetId="19" r:id="rId12"/>
    <sheet name="TL" sheetId="5" state="hidden" r:id="rId13"/>
    <sheet name="Receivable_Analysis" sheetId="24" r:id="rId14"/>
    <sheet name="TL (clean)" sheetId="17" r:id="rId15"/>
    <sheet name="RKVAH" sheetId="6" state="hidden" r:id="rId16"/>
    <sheet name="TL_Analysis" sheetId="21" r:id="rId17"/>
    <sheet name="RKVAH (clean)" sheetId="18" r:id="rId18"/>
    <sheet name="RKVAH_Analysis" sheetId="22" r:id="rId19"/>
  </sheets>
  <definedNames>
    <definedName name="ExternalData_1" localSheetId="7" hidden="1">Billing!$A$1:$O$301</definedName>
    <definedName name="ExternalData_1" localSheetId="8" hidden="1">'Billing (clean)'!$A$1:$L$301</definedName>
    <definedName name="ExternalData_1" localSheetId="3" hidden="1">Montly_Generation!$A$1:$G$301</definedName>
    <definedName name="ExternalData_1" localSheetId="5" hidden="1">'Montly_Generation (clean)'!$A$1:$G$301</definedName>
    <definedName name="ExternalData_1" localSheetId="0" hidden="1">Plant_Master!$A$1:$H$26</definedName>
    <definedName name="ExternalData_1" localSheetId="2" hidden="1">'Plant_Master(clean)'!$A$1:$H$26</definedName>
    <definedName name="ExternalData_1" localSheetId="9" hidden="1">'Receivable'!$A$1:$J$301</definedName>
    <definedName name="ExternalData_1" localSheetId="11" hidden="1">'Receivable (clean)'!$A$1:$J$301</definedName>
    <definedName name="ExternalData_1" localSheetId="15" hidden="1">'RKVAH'!$A$1:$H$301</definedName>
    <definedName name="ExternalData_1" localSheetId="17" hidden="1">'RKVAH (clean)'!$A$1:$H$301</definedName>
    <definedName name="ExternalData_1" localSheetId="12" hidden="1">TL!$A$1:$G$301</definedName>
    <definedName name="ExternalData_1" localSheetId="14" hidden="1">'TL (clean)'!$A$1:$G$301</definedName>
    <definedName name="Slicer_Financial_Year">#N/A</definedName>
    <definedName name="Slicer_Month">#N/A</definedName>
    <definedName name="Slicer_Plant_ID">#N/A</definedName>
    <definedName name="tblGeneration">Montly_Generation9[#All]</definedName>
    <definedName name="tblplant_master" localSheetId="8">Plant_Master8[]</definedName>
    <definedName name="tblplant_master" localSheetId="5">Plant_Master8[]</definedName>
    <definedName name="tblplant_master" localSheetId="11">Plant_Master8[]</definedName>
    <definedName name="tblplant_master" localSheetId="17">Plant_Master8[]</definedName>
    <definedName name="tblplant_master" localSheetId="14">Plant_Master8[]</definedName>
    <definedName name="tblplant_master">Plant_Master8[]</definedName>
  </definedNames>
  <calcPr calcId="191029"/>
  <pivotCaches>
    <pivotCache cacheId="28" r:id="rId20"/>
    <pivotCache cacheId="5" r:id="rId21"/>
    <pivotCache cacheId="9" r:id="rId22"/>
    <pivotCache cacheId="25" r:id="rId23"/>
    <pivotCache cacheId="21" r:id="rId24"/>
  </pivotCaches>
  <extLs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11" i="26" l="1"/>
  <c r="J11" i="26"/>
  <c r="F11" i="26"/>
  <c r="B11" i="26"/>
  <c r="G20" i="20"/>
  <c r="G15" i="20"/>
  <c r="G26" i="20"/>
  <c r="G8" i="20"/>
  <c r="G23" i="20"/>
  <c r="G17" i="20"/>
  <c r="G7" i="20"/>
  <c r="G22" i="20"/>
  <c r="G9" i="20"/>
  <c r="G13" i="20"/>
  <c r="G4" i="20"/>
  <c r="G16" i="20"/>
  <c r="G24" i="20"/>
  <c r="G25" i="20"/>
  <c r="G19" i="20"/>
  <c r="G18" i="20"/>
  <c r="G28" i="20"/>
  <c r="G21" i="20"/>
  <c r="G5" i="20"/>
  <c r="G10" i="20"/>
  <c r="G14" i="20"/>
  <c r="G11" i="20"/>
  <c r="G12" i="20"/>
  <c r="G6" i="20"/>
  <c r="G27" i="20"/>
  <c r="D29" i="20"/>
  <c r="D5" i="20"/>
  <c r="H5" i="20" s="1"/>
  <c r="D6" i="20"/>
  <c r="H6" i="20" s="1"/>
  <c r="D7" i="20"/>
  <c r="H7" i="20" s="1"/>
  <c r="D8" i="20"/>
  <c r="H8" i="20" s="1"/>
  <c r="D9" i="20"/>
  <c r="H9" i="20" s="1"/>
  <c r="D10" i="20"/>
  <c r="H10" i="20" s="1"/>
  <c r="D11" i="20"/>
  <c r="H11" i="20" s="1"/>
  <c r="D12" i="20"/>
  <c r="H12" i="20" s="1"/>
  <c r="D13" i="20"/>
  <c r="H13" i="20" s="1"/>
  <c r="D14" i="20"/>
  <c r="H14" i="20" s="1"/>
  <c r="D15" i="20"/>
  <c r="H15" i="20" s="1"/>
  <c r="D16" i="20"/>
  <c r="H16" i="20" s="1"/>
  <c r="D17" i="20"/>
  <c r="H17" i="20" s="1"/>
  <c r="D18" i="20"/>
  <c r="H18" i="20" s="1"/>
  <c r="D19" i="20"/>
  <c r="H19" i="20" s="1"/>
  <c r="D20" i="20"/>
  <c r="H20" i="20" s="1"/>
  <c r="D21" i="20"/>
  <c r="H21" i="20" s="1"/>
  <c r="D22" i="20"/>
  <c r="H22" i="20" s="1"/>
  <c r="D23" i="20"/>
  <c r="H23" i="20" s="1"/>
  <c r="D24" i="20"/>
  <c r="H24" i="20" s="1"/>
  <c r="D25" i="20"/>
  <c r="H25" i="20" s="1"/>
  <c r="D26" i="20"/>
  <c r="H26" i="20" s="1"/>
  <c r="D27" i="20"/>
  <c r="H27" i="20" s="1"/>
  <c r="D28" i="20"/>
  <c r="H28" i="20" s="1"/>
  <c r="D4" i="20"/>
  <c r="H4" i="20" s="1"/>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287" i="18"/>
  <c r="I288" i="18"/>
  <c r="I289" i="18"/>
  <c r="I290" i="18"/>
  <c r="I291" i="18"/>
  <c r="I292" i="18"/>
  <c r="I293" i="18"/>
  <c r="I294" i="18"/>
  <c r="I295" i="18"/>
  <c r="I296" i="18"/>
  <c r="I297" i="18"/>
  <c r="I298" i="18"/>
  <c r="I299" i="18"/>
  <c r="I300" i="18"/>
  <c r="I301" i="18"/>
  <c r="J2" i="18"/>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I4" i="17"/>
  <c r="I32" i="17"/>
  <c r="I25" i="17"/>
  <c r="I2" i="14"/>
  <c r="I3" i="14"/>
  <c r="I4" i="14"/>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107" i="14"/>
  <c r="I108" i="14"/>
  <c r="I109" i="14"/>
  <c r="I110" i="14"/>
  <c r="I111" i="14"/>
  <c r="I112" i="14"/>
  <c r="I113" i="14"/>
  <c r="I114" i="14"/>
  <c r="I115" i="14"/>
  <c r="I116" i="14"/>
  <c r="I117" i="14"/>
  <c r="I118" i="14"/>
  <c r="I119" i="14"/>
  <c r="I120" i="14"/>
  <c r="I121" i="14"/>
  <c r="I122" i="14"/>
  <c r="I123" i="14"/>
  <c r="I124" i="14"/>
  <c r="I125" i="14"/>
  <c r="I126" i="14"/>
  <c r="I127" i="14"/>
  <c r="I128" i="14"/>
  <c r="I129" i="14"/>
  <c r="I130" i="14"/>
  <c r="I131" i="14"/>
  <c r="I132" i="14"/>
  <c r="I133" i="14"/>
  <c r="I134" i="14"/>
  <c r="I135" i="14"/>
  <c r="I136" i="14"/>
  <c r="I137" i="14"/>
  <c r="I138" i="14"/>
  <c r="I139" i="14"/>
  <c r="I140" i="14"/>
  <c r="I141" i="14"/>
  <c r="I142" i="14"/>
  <c r="I143" i="14"/>
  <c r="I144" i="14"/>
  <c r="I145" i="14"/>
  <c r="I146" i="14"/>
  <c r="I147" i="14"/>
  <c r="I148" i="14"/>
  <c r="I149" i="14"/>
  <c r="I150" i="14"/>
  <c r="I151" i="14"/>
  <c r="I152" i="14"/>
  <c r="I153" i="14"/>
  <c r="I154" i="14"/>
  <c r="I155" i="14"/>
  <c r="I156" i="14"/>
  <c r="I157" i="14"/>
  <c r="I158" i="14"/>
  <c r="I159" i="14"/>
  <c r="I160" i="14"/>
  <c r="I161" i="14"/>
  <c r="I162" i="14"/>
  <c r="I163" i="14"/>
  <c r="I164" i="14"/>
  <c r="I165" i="14"/>
  <c r="I166" i="14"/>
  <c r="I167" i="14"/>
  <c r="I168" i="14"/>
  <c r="I169" i="14"/>
  <c r="I170" i="14"/>
  <c r="I171" i="14"/>
  <c r="I172" i="14"/>
  <c r="I173" i="14"/>
  <c r="I174" i="14"/>
  <c r="I175" i="14"/>
  <c r="I176" i="14"/>
  <c r="I177" i="14"/>
  <c r="I178" i="14"/>
  <c r="I179" i="14"/>
  <c r="I180" i="14"/>
  <c r="I181" i="14"/>
  <c r="I182" i="14"/>
  <c r="I183" i="14"/>
  <c r="I184" i="14"/>
  <c r="I185" i="14"/>
  <c r="I186" i="14"/>
  <c r="I187" i="14"/>
  <c r="I188" i="14"/>
  <c r="I189" i="14"/>
  <c r="I190" i="14"/>
  <c r="I191" i="14"/>
  <c r="I192" i="14"/>
  <c r="I193" i="14"/>
  <c r="I194" i="14"/>
  <c r="I195" i="14"/>
  <c r="I196" i="14"/>
  <c r="I197" i="14"/>
  <c r="I198" i="14"/>
  <c r="I199" i="14"/>
  <c r="I200" i="14"/>
  <c r="I201" i="14"/>
  <c r="I202" i="14"/>
  <c r="I203" i="14"/>
  <c r="I204" i="14"/>
  <c r="I205" i="14"/>
  <c r="I206" i="14"/>
  <c r="I207" i="14"/>
  <c r="I208" i="14"/>
  <c r="I209" i="14"/>
  <c r="I210" i="14"/>
  <c r="I211" i="14"/>
  <c r="I212" i="14"/>
  <c r="I213" i="14"/>
  <c r="I214" i="14"/>
  <c r="I215" i="14"/>
  <c r="I216" i="14"/>
  <c r="I217" i="14"/>
  <c r="I218" i="14"/>
  <c r="I219" i="14"/>
  <c r="I220" i="14"/>
  <c r="I221" i="14"/>
  <c r="I222" i="14"/>
  <c r="I223" i="14"/>
  <c r="I224" i="14"/>
  <c r="I225" i="14"/>
  <c r="I226" i="14"/>
  <c r="I227" i="14"/>
  <c r="I228" i="14"/>
  <c r="I229" i="14"/>
  <c r="I230" i="14"/>
  <c r="I231" i="14"/>
  <c r="I232" i="14"/>
  <c r="I233" i="14"/>
  <c r="I234" i="14"/>
  <c r="I235" i="14"/>
  <c r="I236" i="14"/>
  <c r="I237" i="14"/>
  <c r="I238" i="14"/>
  <c r="I239" i="14"/>
  <c r="I240" i="14"/>
  <c r="I241" i="14"/>
  <c r="I242" i="14"/>
  <c r="I243" i="14"/>
  <c r="I244" i="14"/>
  <c r="I245" i="14"/>
  <c r="I246" i="14"/>
  <c r="I247" i="14"/>
  <c r="I248" i="14"/>
  <c r="I249" i="14"/>
  <c r="I250" i="14"/>
  <c r="I251" i="14"/>
  <c r="I252" i="14"/>
  <c r="I253" i="14"/>
  <c r="I254" i="14"/>
  <c r="I255" i="14"/>
  <c r="I256" i="14"/>
  <c r="I257" i="14"/>
  <c r="I258" i="14"/>
  <c r="I259" i="14"/>
  <c r="I260" i="14"/>
  <c r="I261" i="14"/>
  <c r="I262" i="14"/>
  <c r="I263" i="14"/>
  <c r="I264" i="14"/>
  <c r="I265" i="14"/>
  <c r="I266" i="14"/>
  <c r="I267" i="14"/>
  <c r="I268" i="14"/>
  <c r="I269" i="14"/>
  <c r="I270" i="14"/>
  <c r="I271" i="14"/>
  <c r="I272" i="14"/>
  <c r="I273" i="14"/>
  <c r="I274" i="14"/>
  <c r="I275" i="14"/>
  <c r="I276" i="14"/>
  <c r="I277" i="14"/>
  <c r="I278" i="14"/>
  <c r="I279" i="14"/>
  <c r="I280" i="14"/>
  <c r="I281" i="14"/>
  <c r="I282" i="14"/>
  <c r="I283" i="14"/>
  <c r="I284" i="14"/>
  <c r="I285" i="14"/>
  <c r="I286" i="14"/>
  <c r="I287" i="14"/>
  <c r="I288" i="14"/>
  <c r="I289" i="14"/>
  <c r="I290" i="14"/>
  <c r="I291" i="14"/>
  <c r="I292" i="14"/>
  <c r="I293" i="14"/>
  <c r="I294" i="14"/>
  <c r="I295" i="14"/>
  <c r="I296" i="14"/>
  <c r="I297" i="14"/>
  <c r="I298" i="14"/>
  <c r="I299" i="14"/>
  <c r="I300" i="14"/>
  <c r="I301" i="14"/>
  <c r="H2" i="14"/>
  <c r="H3"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N2" i="15"/>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M2" i="15"/>
  <c r="M3" i="15"/>
  <c r="M4" i="15"/>
  <c r="M5" i="15"/>
  <c r="M6" i="15"/>
  <c r="M7" i="15"/>
  <c r="M8" i="15"/>
  <c r="M9" i="15"/>
  <c r="M10" i="15"/>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3" i="15"/>
  <c r="M104" i="15"/>
  <c r="M105" i="15"/>
  <c r="M106" i="15"/>
  <c r="M107" i="15"/>
  <c r="M108" i="15"/>
  <c r="M109" i="15"/>
  <c r="M110" i="15"/>
  <c r="M111" i="15"/>
  <c r="M112" i="15"/>
  <c r="M113" i="15"/>
  <c r="M114" i="15"/>
  <c r="M115" i="15"/>
  <c r="M116" i="15"/>
  <c r="M117" i="15"/>
  <c r="M118" i="15"/>
  <c r="M119" i="15"/>
  <c r="M120" i="15"/>
  <c r="M121" i="15"/>
  <c r="M122" i="15"/>
  <c r="M123" i="15"/>
  <c r="M124" i="15"/>
  <c r="M125" i="15"/>
  <c r="M126" i="15"/>
  <c r="M127" i="15"/>
  <c r="M128" i="15"/>
  <c r="M129" i="15"/>
  <c r="M130" i="15"/>
  <c r="M131" i="15"/>
  <c r="M132" i="15"/>
  <c r="M133" i="15"/>
  <c r="M134" i="15"/>
  <c r="M135" i="15"/>
  <c r="M136" i="15"/>
  <c r="M137" i="15"/>
  <c r="M138" i="15"/>
  <c r="M139" i="15"/>
  <c r="M140" i="15"/>
  <c r="M141" i="15"/>
  <c r="M142" i="15"/>
  <c r="M143" i="15"/>
  <c r="M144" i="15"/>
  <c r="M145" i="15"/>
  <c r="M146" i="15"/>
  <c r="M147" i="15"/>
  <c r="M148" i="15"/>
  <c r="M149" i="15"/>
  <c r="M150" i="15"/>
  <c r="M151" i="15"/>
  <c r="M152" i="15"/>
  <c r="M153" i="15"/>
  <c r="M154" i="15"/>
  <c r="M155" i="15"/>
  <c r="M156" i="15"/>
  <c r="M157" i="15"/>
  <c r="M158" i="15"/>
  <c r="M159" i="15"/>
  <c r="M160" i="15"/>
  <c r="M161" i="15"/>
  <c r="M162" i="15"/>
  <c r="M163" i="15"/>
  <c r="M164" i="15"/>
  <c r="M165" i="15"/>
  <c r="M166" i="15"/>
  <c r="M167" i="15"/>
  <c r="M168" i="15"/>
  <c r="M169" i="15"/>
  <c r="M170" i="15"/>
  <c r="M171" i="15"/>
  <c r="M172" i="15"/>
  <c r="M173" i="15"/>
  <c r="M174" i="15"/>
  <c r="M175" i="15"/>
  <c r="M176" i="15"/>
  <c r="M177" i="15"/>
  <c r="M178" i="15"/>
  <c r="M179" i="15"/>
  <c r="M180" i="15"/>
  <c r="M181" i="15"/>
  <c r="M182" i="15"/>
  <c r="M183" i="15"/>
  <c r="M184" i="15"/>
  <c r="M185" i="15"/>
  <c r="M186" i="15"/>
  <c r="M187" i="15"/>
  <c r="M188" i="15"/>
  <c r="M189" i="15"/>
  <c r="M190" i="15"/>
  <c r="M191" i="15"/>
  <c r="M192" i="15"/>
  <c r="M193" i="15"/>
  <c r="M194" i="15"/>
  <c r="M195" i="15"/>
  <c r="M196" i="15"/>
  <c r="M197" i="15"/>
  <c r="M198" i="15"/>
  <c r="M199" i="15"/>
  <c r="M200" i="15"/>
  <c r="M201" i="15"/>
  <c r="M202" i="15"/>
  <c r="M203" i="15"/>
  <c r="M204" i="15"/>
  <c r="M205" i="15"/>
  <c r="M206" i="15"/>
  <c r="M207" i="15"/>
  <c r="M208" i="15"/>
  <c r="M209" i="15"/>
  <c r="M210" i="15"/>
  <c r="M211" i="15"/>
  <c r="M212" i="15"/>
  <c r="M213" i="15"/>
  <c r="M214" i="15"/>
  <c r="M215" i="15"/>
  <c r="M216" i="15"/>
  <c r="M217" i="15"/>
  <c r="M218" i="15"/>
  <c r="M219" i="15"/>
  <c r="M220" i="15"/>
  <c r="M221" i="15"/>
  <c r="M222" i="15"/>
  <c r="M223" i="15"/>
  <c r="M224" i="15"/>
  <c r="M225" i="15"/>
  <c r="M226" i="15"/>
  <c r="M227" i="15"/>
  <c r="M228" i="15"/>
  <c r="M229" i="15"/>
  <c r="M230" i="15"/>
  <c r="M231" i="15"/>
  <c r="M232" i="15"/>
  <c r="M233" i="15"/>
  <c r="M234" i="15"/>
  <c r="M235" i="15"/>
  <c r="M236" i="15"/>
  <c r="M237" i="15"/>
  <c r="M238" i="15"/>
  <c r="M239" i="15"/>
  <c r="M240" i="15"/>
  <c r="M241" i="15"/>
  <c r="M242" i="15"/>
  <c r="M243" i="15"/>
  <c r="M244" i="15"/>
  <c r="M245" i="15"/>
  <c r="M246" i="15"/>
  <c r="M247" i="15"/>
  <c r="M248" i="15"/>
  <c r="M249" i="15"/>
  <c r="M250" i="15"/>
  <c r="M251" i="15"/>
  <c r="M252" i="15"/>
  <c r="M253" i="15"/>
  <c r="M254" i="15"/>
  <c r="M255" i="15"/>
  <c r="M256" i="15"/>
  <c r="M257" i="15"/>
  <c r="M258" i="15"/>
  <c r="M259" i="15"/>
  <c r="M260" i="15"/>
  <c r="M261" i="15"/>
  <c r="M262" i="15"/>
  <c r="M263" i="15"/>
  <c r="M264" i="15"/>
  <c r="M265" i="15"/>
  <c r="M266" i="15"/>
  <c r="M267" i="15"/>
  <c r="M268" i="15"/>
  <c r="M269" i="15"/>
  <c r="M270" i="15"/>
  <c r="M271" i="15"/>
  <c r="M272" i="15"/>
  <c r="M273" i="15"/>
  <c r="M274" i="15"/>
  <c r="M275" i="15"/>
  <c r="M276" i="15"/>
  <c r="M277" i="15"/>
  <c r="M278" i="15"/>
  <c r="M279" i="15"/>
  <c r="M280" i="15"/>
  <c r="M281" i="15"/>
  <c r="M282" i="15"/>
  <c r="M283" i="15"/>
  <c r="M284" i="15"/>
  <c r="M285" i="15"/>
  <c r="M286" i="15"/>
  <c r="M287" i="15"/>
  <c r="M288" i="15"/>
  <c r="M289" i="15"/>
  <c r="M290" i="15"/>
  <c r="M291" i="15"/>
  <c r="M292" i="15"/>
  <c r="M293" i="15"/>
  <c r="M294" i="15"/>
  <c r="M295" i="15"/>
  <c r="M296" i="15"/>
  <c r="M297" i="15"/>
  <c r="M298" i="15"/>
  <c r="M299" i="15"/>
  <c r="M300" i="15"/>
  <c r="M301" i="15"/>
  <c r="K2" i="19"/>
  <c r="K3" i="19"/>
  <c r="K4" i="19"/>
  <c r="K5" i="19"/>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101" i="19"/>
  <c r="K102" i="19"/>
  <c r="K103" i="19"/>
  <c r="K104" i="19"/>
  <c r="K105" i="19"/>
  <c r="K106" i="19"/>
  <c r="K107" i="19"/>
  <c r="K108" i="19"/>
  <c r="K109" i="19"/>
  <c r="K110" i="19"/>
  <c r="K111" i="19"/>
  <c r="K112" i="19"/>
  <c r="K113" i="19"/>
  <c r="K114" i="19"/>
  <c r="K115" i="19"/>
  <c r="K116" i="19"/>
  <c r="K117" i="19"/>
  <c r="K118" i="19"/>
  <c r="K119" i="19"/>
  <c r="K120" i="19"/>
  <c r="K121" i="19"/>
  <c r="K122" i="19"/>
  <c r="K123" i="19"/>
  <c r="K124" i="19"/>
  <c r="K125" i="19"/>
  <c r="K126" i="19"/>
  <c r="K127" i="19"/>
  <c r="K128" i="19"/>
  <c r="K129" i="19"/>
  <c r="K130" i="19"/>
  <c r="K131" i="19"/>
  <c r="K132" i="19"/>
  <c r="K133" i="19"/>
  <c r="K134" i="19"/>
  <c r="K135" i="19"/>
  <c r="K136" i="19"/>
  <c r="K137" i="19"/>
  <c r="K138" i="19"/>
  <c r="K139" i="19"/>
  <c r="K140" i="19"/>
  <c r="K141" i="19"/>
  <c r="K142" i="19"/>
  <c r="K143" i="19"/>
  <c r="K144" i="19"/>
  <c r="K145" i="19"/>
  <c r="K146" i="19"/>
  <c r="K147" i="19"/>
  <c r="K148" i="19"/>
  <c r="K149" i="19"/>
  <c r="K150" i="19"/>
  <c r="K151" i="19"/>
  <c r="K152" i="19"/>
  <c r="K153" i="19"/>
  <c r="K154" i="19"/>
  <c r="K155" i="19"/>
  <c r="K156" i="19"/>
  <c r="K157" i="19"/>
  <c r="K158" i="19"/>
  <c r="K159" i="19"/>
  <c r="K160" i="19"/>
  <c r="K161" i="19"/>
  <c r="K162" i="19"/>
  <c r="K163" i="19"/>
  <c r="K164" i="19"/>
  <c r="K165" i="19"/>
  <c r="K166" i="19"/>
  <c r="K167" i="19"/>
  <c r="K168" i="19"/>
  <c r="K169" i="19"/>
  <c r="K170" i="19"/>
  <c r="K171" i="19"/>
  <c r="K172" i="19"/>
  <c r="K173" i="19"/>
  <c r="K174" i="19"/>
  <c r="K175" i="19"/>
  <c r="K176" i="19"/>
  <c r="K177" i="19"/>
  <c r="K178" i="19"/>
  <c r="K179" i="19"/>
  <c r="K180" i="19"/>
  <c r="K181" i="19"/>
  <c r="K182" i="19"/>
  <c r="K183" i="19"/>
  <c r="K184" i="19"/>
  <c r="K185" i="19"/>
  <c r="K186" i="19"/>
  <c r="K187" i="19"/>
  <c r="K188" i="19"/>
  <c r="K189" i="19"/>
  <c r="K190" i="19"/>
  <c r="K191" i="19"/>
  <c r="K192" i="19"/>
  <c r="K193" i="19"/>
  <c r="K194" i="19"/>
  <c r="K195" i="19"/>
  <c r="K196" i="19"/>
  <c r="K197" i="19"/>
  <c r="K198" i="19"/>
  <c r="K199" i="19"/>
  <c r="K200" i="19"/>
  <c r="K201" i="19"/>
  <c r="K202" i="19"/>
  <c r="K203" i="19"/>
  <c r="K204" i="19"/>
  <c r="K205" i="19"/>
  <c r="K206" i="19"/>
  <c r="K207" i="19"/>
  <c r="K208" i="19"/>
  <c r="K209" i="19"/>
  <c r="K210" i="19"/>
  <c r="K211" i="19"/>
  <c r="K212" i="19"/>
  <c r="K213" i="19"/>
  <c r="K214" i="19"/>
  <c r="K215" i="19"/>
  <c r="K216" i="19"/>
  <c r="K217" i="19"/>
  <c r="K218" i="19"/>
  <c r="K219" i="19"/>
  <c r="K220" i="19"/>
  <c r="K221" i="19"/>
  <c r="K222" i="19"/>
  <c r="K223" i="19"/>
  <c r="K224" i="19"/>
  <c r="K225" i="19"/>
  <c r="K226" i="19"/>
  <c r="K227" i="19"/>
  <c r="K228" i="19"/>
  <c r="K229" i="19"/>
  <c r="K230" i="19"/>
  <c r="K231" i="19"/>
  <c r="K232" i="19"/>
  <c r="K233" i="19"/>
  <c r="K234" i="19"/>
  <c r="K235" i="19"/>
  <c r="K236" i="19"/>
  <c r="K237" i="19"/>
  <c r="K238" i="19"/>
  <c r="K239" i="19"/>
  <c r="K240" i="19"/>
  <c r="K241" i="19"/>
  <c r="K242" i="19"/>
  <c r="K243" i="19"/>
  <c r="K244" i="19"/>
  <c r="K245" i="19"/>
  <c r="K246" i="19"/>
  <c r="K247" i="19"/>
  <c r="K248" i="19"/>
  <c r="K249" i="19"/>
  <c r="K250" i="19"/>
  <c r="K251" i="19"/>
  <c r="K252" i="19"/>
  <c r="K253" i="19"/>
  <c r="K254" i="19"/>
  <c r="K255" i="19"/>
  <c r="K256" i="19"/>
  <c r="K257" i="19"/>
  <c r="K258" i="19"/>
  <c r="K259" i="19"/>
  <c r="K260" i="19"/>
  <c r="K261" i="19"/>
  <c r="K262" i="19"/>
  <c r="K263" i="19"/>
  <c r="K264" i="19"/>
  <c r="K265" i="19"/>
  <c r="K266" i="19"/>
  <c r="K267" i="19"/>
  <c r="K268" i="19"/>
  <c r="K269" i="19"/>
  <c r="K270" i="19"/>
  <c r="K271" i="19"/>
  <c r="K272" i="19"/>
  <c r="K273" i="19"/>
  <c r="K274" i="19"/>
  <c r="K275" i="19"/>
  <c r="K276" i="19"/>
  <c r="K277" i="19"/>
  <c r="K278" i="19"/>
  <c r="K279" i="19"/>
  <c r="K280" i="19"/>
  <c r="K281" i="19"/>
  <c r="K282" i="19"/>
  <c r="K283" i="19"/>
  <c r="K284" i="19"/>
  <c r="K285" i="19"/>
  <c r="K286" i="19"/>
  <c r="K287" i="19"/>
  <c r="K288" i="19"/>
  <c r="K289" i="19"/>
  <c r="K290" i="19"/>
  <c r="K291" i="19"/>
  <c r="K292" i="19"/>
  <c r="K293" i="19"/>
  <c r="K294" i="19"/>
  <c r="K295" i="19"/>
  <c r="K296" i="19"/>
  <c r="K297" i="19"/>
  <c r="K298" i="19"/>
  <c r="K299" i="19"/>
  <c r="K300" i="19"/>
  <c r="K301"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1461E9-9B95-413F-90F0-69AD68534BC5}" keepAlive="1" name="Query - Billing" description="Connection to the 'Billing' query in the workbook." type="5" refreshedVersion="8" background="1" saveData="1">
    <dbPr connection="Provider=Microsoft.Mashup.OleDb.1;Data Source=$Workbook$;Location=Billing;Extended Properties=&quot;&quot;" command="SELECT * FROM [Billing]"/>
  </connection>
  <connection id="2" xr16:uid="{0CBB3455-2196-4650-A482-7B5763EA7BC4}" keepAlive="1" name="Query - Billing (2)" description="Connection to the 'Billing (2)' query in the workbook." type="5" refreshedVersion="8" background="1" saveData="1">
    <dbPr connection="Provider=Microsoft.Mashup.OleDb.1;Data Source=$Workbook$;Location=&quot;Billing (2)&quot;;Extended Properties=&quot;&quot;" command="SELECT * FROM [Billing (2)]"/>
  </connection>
  <connection id="3" xr16:uid="{610E9912-B644-4AF4-AB18-DF32DBBEFAC1}" keepAlive="1" name="Query - Montly Generation" description="Connection to the 'Montly Generation' query in the workbook." type="5" refreshedVersion="8" background="1" saveData="1">
    <dbPr connection="Provider=Microsoft.Mashup.OleDb.1;Data Source=$Workbook$;Location=&quot;Montly Generation&quot;;Extended Properties=&quot;&quot;" command="SELECT * FROM [Montly Generation]"/>
  </connection>
  <connection id="4" xr16:uid="{229E1F13-0134-4695-84E8-F2B3D1F9FCCF}" keepAlive="1" name="Query - Montly Generation (2)" description="Connection to the 'Montly Generation (2)' query in the workbook." type="5" refreshedVersion="8" background="1" saveData="1">
    <dbPr connection="Provider=Microsoft.Mashup.OleDb.1;Data Source=$Workbook$;Location=&quot;Montly Generation (2)&quot;;Extended Properties=&quot;&quot;" command="SELECT * FROM [Montly Generation (2)]"/>
  </connection>
  <connection id="5" xr16:uid="{70466FEC-9028-4522-926E-33CE4C615B8D}" keepAlive="1" name="Query - Plant_Master" description="Connection to the 'Plant_Master' query in the workbook." type="5" refreshedVersion="8" background="1" saveData="1">
    <dbPr connection="Provider=Microsoft.Mashup.OleDb.1;Data Source=$Workbook$;Location=Plant_Master;Extended Properties=&quot;&quot;" command="SELECT * FROM [Plant_Master]"/>
  </connection>
  <connection id="6" xr16:uid="{232D8B00-A378-496E-8D54-6729BC2F5081}" keepAlive="1" name="Query - Plant_Master (2)" description="Connection to the 'Plant_Master (2)' query in the workbook." type="5" refreshedVersion="8" background="1" saveData="1">
    <dbPr connection="Provider=Microsoft.Mashup.OleDb.1;Data Source=$Workbook$;Location=&quot;Plant_Master (2)&quot;;Extended Properties=&quot;&quot;" command="SELECT * FROM [Plant_Master (2)]"/>
  </connection>
  <connection id="7" xr16:uid="{C26271D3-9102-4902-9042-B1B4B33AE49D}" keepAlive="1" name="Query - Receivable" description="Connection to the 'Receivable' query in the workbook." type="5" refreshedVersion="8" background="1" saveData="1">
    <dbPr connection="Provider=Microsoft.Mashup.OleDb.1;Data Source=$Workbook$;Location=Receivable;Extended Properties=&quot;&quot;" command="SELECT * FROM [Receivable]"/>
  </connection>
  <connection id="8" xr16:uid="{F2EA69C9-D5E1-44B0-BBA3-F4DCF018E8CA}" keepAlive="1" name="Query - Receivable (2)" description="Connection to the 'Receivable (2)' query in the workbook." type="5" refreshedVersion="8" background="1" saveData="1">
    <dbPr connection="Provider=Microsoft.Mashup.OleDb.1;Data Source=$Workbook$;Location=&quot;Receivable (2)&quot;;Extended Properties=&quot;&quot;" command="SELECT * FROM [Receivable (2)]"/>
  </connection>
  <connection id="9" xr16:uid="{F52E3E15-A123-47DE-BBE9-4EE0043736D9}" keepAlive="1" name="Query - Receivable (3)" description="Connection to the 'Receivable (3)' query in the workbook." type="5" refreshedVersion="8" background="1" saveData="1">
    <dbPr connection="Provider=Microsoft.Mashup.OleDb.1;Data Source=$Workbook$;Location=&quot;Receivable (3)&quot;;Extended Properties=&quot;&quot;" command="SELECT * FROM [Receivable (3)]"/>
  </connection>
  <connection id="10" xr16:uid="{4787A6EC-9352-4812-9A07-E99FFD03285D}" keepAlive="1" name="Query - RKVAH" description="Connection to the 'RKVAH' query in the workbook." type="5" refreshedVersion="8" background="1" saveData="1">
    <dbPr connection="Provider=Microsoft.Mashup.OleDb.1;Data Source=$Workbook$;Location=RKVAH;Extended Properties=&quot;&quot;" command="SELECT * FROM [RKVAH]"/>
  </connection>
  <connection id="11" xr16:uid="{EE6DB8C6-9520-413F-AF28-5189326F844C}" keepAlive="1" name="Query - RKVAH (2)" description="Connection to the 'RKVAH (2)' query in the workbook." type="5" refreshedVersion="8" background="1" saveData="1">
    <dbPr connection="Provider=Microsoft.Mashup.OleDb.1;Data Source=$Workbook$;Location=&quot;RKVAH (2)&quot;;Extended Properties=&quot;&quot;" command="SELECT * FROM [RKVAH (2)]"/>
  </connection>
  <connection id="12" xr16:uid="{45A1FA69-70E4-4C86-AA39-98BB516BD96E}" keepAlive="1" name="Query - TL" description="Connection to the 'TL' query in the workbook." type="5" refreshedVersion="8" background="1" saveData="1">
    <dbPr connection="Provider=Microsoft.Mashup.OleDb.1;Data Source=$Workbook$;Location=TL;Extended Properties=&quot;&quot;" command="SELECT * FROM [TL]"/>
  </connection>
  <connection id="13" xr16:uid="{B26F0484-4FCF-441D-92B9-D7D856835715}" keepAlive="1" name="Query - TL (2)" description="Connection to the 'TL (2)' query in the workbook." type="5" refreshedVersion="8" background="1" saveData="1">
    <dbPr connection="Provider=Microsoft.Mashup.OleDb.1;Data Source=$Workbook$;Location=&quot;TL (2)&quot;;Extended Properties=&quot;&quot;" command="SELECT * FROM [TL (2)]"/>
  </connection>
</connections>
</file>

<file path=xl/sharedStrings.xml><?xml version="1.0" encoding="utf-8"?>
<sst xmlns="http://schemas.openxmlformats.org/spreadsheetml/2006/main" count="5461" uniqueCount="127">
  <si>
    <t>Plant_ID</t>
  </si>
  <si>
    <t>Capacity_MW</t>
  </si>
  <si>
    <t>No_of_WTGs</t>
  </si>
  <si>
    <t>WTG_Capacity_MW</t>
  </si>
  <si>
    <t>Plant_Name</t>
  </si>
  <si>
    <t>State</t>
  </si>
  <si>
    <t>Customer_Name</t>
  </si>
  <si>
    <t>Commission_Date</t>
  </si>
  <si>
    <t>Gojegoan</t>
  </si>
  <si>
    <t>Maharashtra</t>
  </si>
  <si>
    <t>Manikaran</t>
  </si>
  <si>
    <t>Chikka</t>
  </si>
  <si>
    <t>Karnataka</t>
  </si>
  <si>
    <t>Boeing</t>
  </si>
  <si>
    <t>Kunj</t>
  </si>
  <si>
    <t>Anthiyur</t>
  </si>
  <si>
    <t>Tamil Nadu</t>
  </si>
  <si>
    <t>Tamil Nadu Power</t>
  </si>
  <si>
    <t>Gonur</t>
  </si>
  <si>
    <t>Bangalore Electricity Supply</t>
  </si>
  <si>
    <t>Dhule</t>
  </si>
  <si>
    <t>Adani Electricity</t>
  </si>
  <si>
    <t>Birenwadi</t>
  </si>
  <si>
    <t>Gudhepanchagani</t>
  </si>
  <si>
    <t>Hassan</t>
  </si>
  <si>
    <t>Mysore Electricity Supply</t>
  </si>
  <si>
    <t>Aundhewadi</t>
  </si>
  <si>
    <t>Manhere</t>
  </si>
  <si>
    <t>Sadhawaghapur</t>
  </si>
  <si>
    <t>Theni</t>
  </si>
  <si>
    <t>Panapati</t>
  </si>
  <si>
    <t>Muthiampatti</t>
  </si>
  <si>
    <t>Pimpari</t>
  </si>
  <si>
    <t>Maharashtra Electricity Supply</t>
  </si>
  <si>
    <t>Month</t>
  </si>
  <si>
    <t>Day_in_months</t>
  </si>
  <si>
    <t>Financial_Year</t>
  </si>
  <si>
    <t>Energy_Generated_kWh</t>
  </si>
  <si>
    <t>Energy_Exported_kWh</t>
  </si>
  <si>
    <t>Import_Units</t>
  </si>
  <si>
    <t>FY 2025-26</t>
  </si>
  <si>
    <t>Invoice_No</t>
  </si>
  <si>
    <t>Invoice_Date</t>
  </si>
  <si>
    <t>Billing_Month</t>
  </si>
  <si>
    <t>Tariff_Per_Unit</t>
  </si>
  <si>
    <t>Invoice_Amount</t>
  </si>
  <si>
    <t>TDS</t>
  </si>
  <si>
    <t>Amount_Receivable</t>
  </si>
  <si>
    <t>Due_Date</t>
  </si>
  <si>
    <t>Invoice_Status</t>
  </si>
  <si>
    <t>Column1</t>
  </si>
  <si>
    <t>_1</t>
  </si>
  <si>
    <t>_2</t>
  </si>
  <si>
    <t>Paid</t>
  </si>
  <si>
    <t/>
  </si>
  <si>
    <t>Unpaid</t>
  </si>
  <si>
    <t>45754</t>
  </si>
  <si>
    <t>45817</t>
  </si>
  <si>
    <t>45852</t>
  </si>
  <si>
    <t>45885</t>
  </si>
  <si>
    <t>45908</t>
  </si>
  <si>
    <t>45944</t>
  </si>
  <si>
    <t>45973</t>
  </si>
  <si>
    <t>45996</t>
  </si>
  <si>
    <t>45664</t>
  </si>
  <si>
    <t>45708</t>
  </si>
  <si>
    <t>46088</t>
  </si>
  <si>
    <t>Payment_Date</t>
  </si>
  <si>
    <t>Amount_Received</t>
  </si>
  <si>
    <t>Outstanding_Amount</t>
  </si>
  <si>
    <t>Collection</t>
  </si>
  <si>
    <t>Delay_Days</t>
  </si>
  <si>
    <t>TL loss units</t>
  </si>
  <si>
    <t>TL%</t>
  </si>
  <si>
    <t>RKVAH_Import</t>
  </si>
  <si>
    <t>RKVAH_Loss_Percentage</t>
  </si>
  <si>
    <t>Permissible_Limit</t>
  </si>
  <si>
    <t>Status</t>
  </si>
  <si>
    <t>Within Limit</t>
  </si>
  <si>
    <t>Exceeded Limit</t>
  </si>
  <si>
    <t>Payment_Status_Check</t>
  </si>
  <si>
    <t>Billing_Check</t>
  </si>
  <si>
    <t>Billing_Difference</t>
  </si>
  <si>
    <t>Duplicate_Check</t>
  </si>
  <si>
    <t>Export_Efficiency_%</t>
  </si>
  <si>
    <t>TL_Check</t>
  </si>
  <si>
    <t>Status_Check</t>
  </si>
  <si>
    <t>Row Labels</t>
  </si>
  <si>
    <t>Grand Total</t>
  </si>
  <si>
    <t>Total Generation (kWh)</t>
  </si>
  <si>
    <t>Total Export (kWh)</t>
  </si>
  <si>
    <t>Plant ID</t>
  </si>
  <si>
    <t>Export Efficiency (%)</t>
  </si>
  <si>
    <t>Sum of TL loss units</t>
  </si>
  <si>
    <t>Average of TL%</t>
  </si>
  <si>
    <t>Average of RKVAH_Loss_Percentage</t>
  </si>
  <si>
    <t>Sum of RKVAH_Import</t>
  </si>
  <si>
    <t>Sum of Invoice_Amount</t>
  </si>
  <si>
    <t>Sum of Amount_Receivable</t>
  </si>
  <si>
    <t>Count of Invoice_Status</t>
  </si>
  <si>
    <t>2025</t>
  </si>
  <si>
    <t>2026</t>
  </si>
  <si>
    <t>Sum of Amount_Received</t>
  </si>
  <si>
    <t>Qtr1</t>
  </si>
  <si>
    <t>Qtr2</t>
  </si>
  <si>
    <t>Qtr3</t>
  </si>
  <si>
    <t>Qtr4</t>
  </si>
  <si>
    <t>Jan</t>
  </si>
  <si>
    <t>Feb</t>
  </si>
  <si>
    <t>Mar</t>
  </si>
  <si>
    <t>Apr</t>
  </si>
  <si>
    <t>May</t>
  </si>
  <si>
    <t>Jun</t>
  </si>
  <si>
    <t>Jul</t>
  </si>
  <si>
    <t>Aug</t>
  </si>
  <si>
    <t>Sep</t>
  </si>
  <si>
    <t>Oct</t>
  </si>
  <si>
    <t>Nov</t>
  </si>
  <si>
    <t>Dec</t>
  </si>
  <si>
    <t>Sum of Outstanding_Amount</t>
  </si>
  <si>
    <t>Sum of Energy_Exported_kWh</t>
  </si>
  <si>
    <t>Sum of Energy_Generated_kWh</t>
  </si>
  <si>
    <t xml:space="preserve"> RENEWABLE ENERGY PERFORMANCE DASHBOARD                 
 Operational &amp; Financial Overview   </t>
  </si>
  <si>
    <t xml:space="preserve">TOTAL GENERATION   (kWh)                                                         </t>
  </si>
  <si>
    <t xml:space="preserve">TOTAL EXPORT   (kWh)                                                 </t>
  </si>
  <si>
    <t xml:space="preserve">TOTAL BILLING  (Rs.)                                 </t>
  </si>
  <si>
    <t>OUTSTANDING COLLECTION (Rs.)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</si>
</sst>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Red]0.00"/>
    <numFmt numFmtId="167" formatCode="0.00,,&quot;M&quot;"/>
    <numFmt numFmtId="168" formatCode="&quot;₹&quot;0.00,,&quot;M&quot;"/>
  </numFmts>
  <fonts count="6" x14ac:knownFonts="1">
    <font>
      <sz val="11"/>
      <color theme="1"/>
      <name val="Aptos Narrow"/>
      <family val="2"/>
      <scheme val="minor"/>
    </font>
    <font>
      <b/>
      <sz val="11"/>
      <color theme="1"/>
      <name val="Aptos Narrow"/>
      <family val="2"/>
      <scheme val="minor"/>
    </font>
    <font>
      <b/>
      <sz val="20"/>
      <color theme="1"/>
      <name val="Copperplate Gothic Bold"/>
      <family val="2"/>
    </font>
    <font>
      <b/>
      <sz val="12"/>
      <color theme="1"/>
      <name val="Cambria"/>
      <family val="1"/>
    </font>
    <font>
      <b/>
      <sz val="14"/>
      <color theme="1"/>
      <name val="Cambria"/>
      <family val="1"/>
    </font>
    <font>
      <b/>
      <sz val="20"/>
      <color theme="0"/>
      <name val="Copperplate Gothic Bold"/>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3" tint="0.249977111117893"/>
        <bgColor indexed="64"/>
      </patternFill>
    </fill>
    <fill>
      <patternFill patternType="solid">
        <fgColor theme="0"/>
        <bgColor indexed="64"/>
      </patternFill>
    </fill>
    <fill>
      <patternFill patternType="solid">
        <fgColor theme="4" tint="0.39997558519241921"/>
        <bgColor indexed="64"/>
      </patternFill>
    </fill>
  </fills>
  <borders count="11">
    <border>
      <left/>
      <right/>
      <top/>
      <bottom/>
      <diagonal/>
    </border>
    <border>
      <left/>
      <right/>
      <top/>
      <bottom style="thin">
        <color theme="4" tint="0.39997558519241921"/>
      </bottom>
      <diagonal/>
    </border>
    <border>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2" borderId="1" xfId="0" applyFont="1" applyFill="1" applyBorder="1"/>
    <xf numFmtId="0" fontId="0" fillId="0" borderId="0" xfId="0" applyNumberFormat="1"/>
    <xf numFmtId="10" fontId="0" fillId="0" borderId="0" xfId="0" applyNumberFormat="1"/>
    <xf numFmtId="0" fontId="0" fillId="0" borderId="0" xfId="0" applyAlignment="1">
      <alignment horizontal="left" indent="1"/>
    </xf>
    <xf numFmtId="0" fontId="0" fillId="0" borderId="0" xfId="0" applyAlignment="1">
      <alignment horizontal="left" indent="2"/>
    </xf>
    <xf numFmtId="0" fontId="0" fillId="3" borderId="0" xfId="0" applyFill="1"/>
    <xf numFmtId="0" fontId="2" fillId="4" borderId="0" xfId="0" applyFont="1" applyFill="1" applyAlignment="1">
      <alignment horizontal="center" vertical="center" wrapText="1"/>
    </xf>
    <xf numFmtId="0" fontId="5" fillId="4" borderId="0" xfId="0" applyFont="1" applyFill="1" applyAlignment="1">
      <alignment horizontal="center" vertical="center" wrapText="1"/>
    </xf>
    <xf numFmtId="0" fontId="0" fillId="5" borderId="0" xfId="0" applyFill="1" applyAlignment="1">
      <alignment horizontal="center" vertical="center"/>
    </xf>
    <xf numFmtId="0" fontId="0" fillId="5" borderId="0" xfId="0" applyFill="1"/>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6" borderId="10" xfId="0" applyFont="1" applyFill="1" applyBorder="1" applyAlignment="1">
      <alignment horizontal="center" vertical="center" wrapText="1"/>
    </xf>
    <xf numFmtId="167" fontId="4" fillId="5" borderId="6" xfId="0" applyNumberFormat="1" applyFont="1" applyFill="1" applyBorder="1" applyAlignment="1">
      <alignment horizontal="center" vertical="center" wrapText="1"/>
    </xf>
    <xf numFmtId="167" fontId="4" fillId="5" borderId="0" xfId="0" applyNumberFormat="1" applyFont="1" applyFill="1" applyBorder="1" applyAlignment="1">
      <alignment horizontal="center" vertical="center" wrapText="1"/>
    </xf>
    <xf numFmtId="167" fontId="4" fillId="5" borderId="7" xfId="0" applyNumberFormat="1" applyFont="1" applyFill="1" applyBorder="1" applyAlignment="1">
      <alignment horizontal="center" vertical="center" wrapText="1"/>
    </xf>
    <xf numFmtId="167" fontId="4" fillId="5" borderId="8" xfId="0" applyNumberFormat="1" applyFont="1" applyFill="1" applyBorder="1" applyAlignment="1">
      <alignment horizontal="center" vertical="center" wrapText="1"/>
    </xf>
    <xf numFmtId="167" fontId="4" fillId="5" borderId="9" xfId="0" applyNumberFormat="1" applyFont="1" applyFill="1" applyBorder="1" applyAlignment="1">
      <alignment horizontal="center" vertical="center" wrapText="1"/>
    </xf>
    <xf numFmtId="167" fontId="4" fillId="5" borderId="10" xfId="0" applyNumberFormat="1" applyFont="1" applyFill="1" applyBorder="1" applyAlignment="1">
      <alignment horizontal="center" vertical="center" wrapText="1"/>
    </xf>
    <xf numFmtId="168" fontId="4" fillId="5" borderId="6" xfId="0" applyNumberFormat="1" applyFont="1" applyFill="1" applyBorder="1" applyAlignment="1">
      <alignment horizontal="center" vertical="center" wrapText="1"/>
    </xf>
    <xf numFmtId="168" fontId="4" fillId="5" borderId="0" xfId="0" applyNumberFormat="1" applyFont="1" applyFill="1" applyBorder="1" applyAlignment="1">
      <alignment horizontal="center" vertical="center" wrapText="1"/>
    </xf>
    <xf numFmtId="168" fontId="4" fillId="5" borderId="7" xfId="0" applyNumberFormat="1" applyFont="1" applyFill="1" applyBorder="1" applyAlignment="1">
      <alignment horizontal="center" vertical="center" wrapText="1"/>
    </xf>
    <xf numFmtId="168" fontId="4" fillId="5" borderId="8" xfId="0" applyNumberFormat="1" applyFont="1" applyFill="1" applyBorder="1" applyAlignment="1">
      <alignment horizontal="center" vertical="center" wrapText="1"/>
    </xf>
    <xf numFmtId="168" fontId="4" fillId="5" borderId="9" xfId="0" applyNumberFormat="1" applyFont="1" applyFill="1" applyBorder="1" applyAlignment="1">
      <alignment horizontal="center" vertical="center" wrapText="1"/>
    </xf>
    <xf numFmtId="168" fontId="4" fillId="5" borderId="10" xfId="0" applyNumberFormat="1" applyFont="1" applyFill="1" applyBorder="1" applyAlignment="1">
      <alignment horizontal="center" vertical="center" wrapText="1"/>
    </xf>
    <xf numFmtId="0" fontId="1" fillId="2" borderId="2" xfId="0" applyFont="1" applyFill="1" applyBorder="1" applyAlignment="1">
      <alignment horizontal="left"/>
    </xf>
    <xf numFmtId="10" fontId="1" fillId="2" borderId="2" xfId="0" applyNumberFormat="1" applyFont="1" applyFill="1" applyBorder="1"/>
  </cellXfs>
  <cellStyles count="1">
    <cellStyle name="Normal" xfId="0" builtinId="0"/>
  </cellStyles>
  <dxfs count="54">
    <dxf>
      <numFmt numFmtId="164" formatCode="0.00;[Red]0.00"/>
    </dxf>
    <dxf>
      <numFmt numFmtId="164" formatCode="0.00;[Red]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19" formatCode="dd/mm/yyyy"/>
    </dxf>
    <dxf>
      <numFmt numFmtId="164" formatCode="0.00;[Red]0.00"/>
    </dxf>
    <dxf>
      <numFmt numFmtId="0" formatCode="General"/>
    </dxf>
    <dxf>
      <numFmt numFmtId="0" formatCode="General"/>
    </dxf>
    <dxf>
      <numFmt numFmtId="19" formatCode="dd/mm/yyyy"/>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3.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[Renewable_Energy_Analytics.xlsx]Montly_Generation_Analysis!PivotTable10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Monthly Energy Generation vs Export.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Montly_Generation_Analysis!$B$2</c:f>
              <c:strCache>
                <c:ptCount val="1"/>
                <c:pt idx="0">
                  <c:v>Sum of Energy_Generated_kWh</c:v>
                </c:pt>
              </c:strCache>
            </c:strRef>
          </c:tx>
          <c:spPr>
            <a:solidFill>
              <a:schemeClr val="accent1"/>
            </a:solidFill>
            <a:ln>
              <a:noFill/>
            </a:ln>
            <a:effectLst/>
          </c:spPr>
          <c:invertIfNegative val="0"/>
          <c:cat>
            <c:strRef>
              <c:f>Montly_Generation_Analysis!$A$3:$A$15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Montly_Generation_Analysis!$B$3:$B$15</c:f>
              <c:numCache>
                <c:formatCode>General</c:formatCode>
                <c:ptCount val="12"/>
                <c:pt idx="0">
                  <c:v>3337916</c:v>
                </c:pt>
                <c:pt idx="1">
                  <c:v>2689152</c:v>
                </c:pt>
                <c:pt idx="2">
                  <c:v>2932734</c:v>
                </c:pt>
                <c:pt idx="3">
                  <c:v>4415663</c:v>
                </c:pt>
                <c:pt idx="4">
                  <c:v>9087361</c:v>
                </c:pt>
                <c:pt idx="5">
                  <c:v>16257131</c:v>
                </c:pt>
                <c:pt idx="6">
                  <c:v>19729007</c:v>
                </c:pt>
                <c:pt idx="7">
                  <c:v>13349445</c:v>
                </c:pt>
                <c:pt idx="8">
                  <c:v>10492025</c:v>
                </c:pt>
                <c:pt idx="9">
                  <c:v>5172699</c:v>
                </c:pt>
                <c:pt idx="10">
                  <c:v>4079834</c:v>
                </c:pt>
                <c:pt idx="11">
                  <c:v>4978078</c:v>
                </c:pt>
              </c:numCache>
            </c:numRef>
          </c:val>
          <c:extLst>
            <c:ext xmlns:c16="http://schemas.microsoft.com/office/drawing/2014/chart" uri="{C3380CC4-5D6E-409C-BE32-E72D297353CC}">
              <c16:uniqueId val="{00000000-7210-432F-B814-C48A92FE496F}"/>
            </c:ext>
          </c:extLst>
        </c:ser>
        <c:ser>
          <c:idx val="1"/>
          <c:order val="1"/>
          <c:tx>
            <c:strRef>
              <c:f>Montly_Generation_Analysis!$C$2</c:f>
              <c:strCache>
                <c:ptCount val="1"/>
                <c:pt idx="0">
                  <c:v>Sum of Energy_Exported_kWh</c:v>
                </c:pt>
              </c:strCache>
            </c:strRef>
          </c:tx>
          <c:spPr>
            <a:solidFill>
              <a:schemeClr val="accent2"/>
            </a:solidFill>
            <a:ln>
              <a:noFill/>
            </a:ln>
            <a:effectLst/>
          </c:spPr>
          <c:invertIfNegative val="0"/>
          <c:cat>
            <c:strRef>
              <c:f>Montly_Generation_Analysis!$A$3:$A$15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Montly_Generation_Analysis!$C$3:$C$15</c:f>
              <c:numCache>
                <c:formatCode>General</c:formatCode>
                <c:ptCount val="12"/>
                <c:pt idx="0">
                  <c:v>3340908</c:v>
                </c:pt>
                <c:pt idx="1">
                  <c:v>2663306</c:v>
                </c:pt>
                <c:pt idx="2">
                  <c:v>2922268</c:v>
                </c:pt>
                <c:pt idx="3">
                  <c:v>4381983</c:v>
                </c:pt>
                <c:pt idx="4">
                  <c:v>9073742</c:v>
                </c:pt>
                <c:pt idx="5">
                  <c:v>16289880</c:v>
                </c:pt>
                <c:pt idx="6">
                  <c:v>19788820</c:v>
                </c:pt>
                <c:pt idx="7">
                  <c:v>13420828</c:v>
                </c:pt>
                <c:pt idx="8">
                  <c:v>10373158</c:v>
                </c:pt>
                <c:pt idx="9">
                  <c:v>5111076</c:v>
                </c:pt>
                <c:pt idx="10">
                  <c:v>3989093</c:v>
                </c:pt>
                <c:pt idx="11">
                  <c:v>4957820</c:v>
                </c:pt>
              </c:numCache>
            </c:numRef>
          </c:val>
          <c:extLst>
            <c:ext xmlns:c16="http://schemas.microsoft.com/office/drawing/2014/chart" uri="{C3380CC4-5D6E-409C-BE32-E72D297353CC}">
              <c16:uniqueId val="{00000001-7210-432F-B814-C48A92FE496F}"/>
            </c:ext>
          </c:extLst>
        </c:ser>
        <c:dLbls>
          <c:showLegendKey val="0"/>
          <c:showVal val="0"/>
          <c:showCatName val="0"/>
          <c:showSerName val="0"/>
          <c:showPercent val="0"/>
          <c:showBubbleSize val="0"/>
        </c:dLbls>
        <c:gapWidth val="219"/>
        <c:overlap val="-27"/>
        <c:axId val="2027779695"/>
        <c:axId val="2078948719"/>
      </c:barChart>
      <c:catAx>
        <c:axId val="202777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948719"/>
        <c:crosses val="autoZero"/>
        <c:auto val="1"/>
        <c:lblAlgn val="ctr"/>
        <c:lblOffset val="100"/>
        <c:noMultiLvlLbl val="0"/>
      </c:catAx>
      <c:valAx>
        <c:axId val="207894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7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[Renewable_Energy_Analytics.xlsx]Plant_Performance!PivotTable1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Plant-wise Energy Generation vs Export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24759405074367"/>
          <c:y val="0.19907407407407407"/>
          <c:w val="0.52405577427821526"/>
          <c:h val="0.69389690871974341"/>
        </c:manualLayout>
      </c:layout>
      <c:barChart>
        <c:barDir val="bar"/>
        <c:grouping val="clustered"/>
        <c:varyColors val="0"/>
        <c:ser>
          <c:idx val="0"/>
          <c:order val="0"/>
          <c:tx>
            <c:strRef>
              <c:f>Plant_Performance!$B$3</c:f>
              <c:strCache>
                <c:ptCount val="1"/>
                <c:pt idx="0">
                  <c:v>Total Generation (kWh)</c:v>
                </c:pt>
              </c:strCache>
            </c:strRef>
          </c:tx>
          <c:spPr>
            <a:solidFill>
              <a:schemeClr val="accent1"/>
            </a:solidFill>
            <a:ln>
              <a:noFill/>
            </a:ln>
            <a:effectLst/>
          </c:spPr>
          <c:invertIfNegative val="0"/>
          <c:cat>
            <c:strRef>
              <c:f>Plant_Performance!$A$4:$A$29</c:f>
              <c:strCache>
                <c:ptCount val="25"/>
                <c:pt idx="0">
                  <c:v>25</c:v>
                </c:pt>
                <c:pt idx="1">
                  <c:v>24</c:v>
                </c:pt>
                <c:pt idx="2">
                  <c:v>23</c:v>
                </c:pt>
                <c:pt idx="3">
                  <c:v>22</c:v>
                </c:pt>
                <c:pt idx="4">
                  <c:v>21</c:v>
                </c:pt>
                <c:pt idx="5">
                  <c:v>20</c:v>
                </c:pt>
                <c:pt idx="6">
                  <c:v>19</c:v>
                </c:pt>
                <c:pt idx="7">
                  <c:v>18</c:v>
                </c:pt>
                <c:pt idx="8">
                  <c:v>17</c:v>
                </c:pt>
                <c:pt idx="9">
                  <c:v>16</c:v>
                </c:pt>
                <c:pt idx="10">
                  <c:v>15</c:v>
                </c:pt>
                <c:pt idx="11">
                  <c:v>14</c:v>
                </c:pt>
                <c:pt idx="12">
                  <c:v>13</c:v>
                </c:pt>
                <c:pt idx="13">
                  <c:v>12</c:v>
                </c:pt>
                <c:pt idx="14">
                  <c:v>11</c:v>
                </c:pt>
                <c:pt idx="15">
                  <c:v>10</c:v>
                </c:pt>
                <c:pt idx="16">
                  <c:v>9</c:v>
                </c:pt>
                <c:pt idx="17">
                  <c:v>8</c:v>
                </c:pt>
                <c:pt idx="18">
                  <c:v>7</c:v>
                </c:pt>
                <c:pt idx="19">
                  <c:v>6</c:v>
                </c:pt>
                <c:pt idx="20">
                  <c:v>5</c:v>
                </c:pt>
                <c:pt idx="21">
                  <c:v>4</c:v>
                </c:pt>
                <c:pt idx="22">
                  <c:v>3</c:v>
                </c:pt>
                <c:pt idx="23">
                  <c:v>2</c:v>
                </c:pt>
                <c:pt idx="24">
                  <c:v>1</c:v>
                </c:pt>
              </c:strCache>
            </c:strRef>
          </c:cat>
          <c:val>
            <c:numRef>
              <c:f>Plant_Performance!$B$4:$B$29</c:f>
              <c:numCache>
                <c:formatCode>General</c:formatCode>
                <c:ptCount val="25"/>
                <c:pt idx="0">
                  <c:v>15679469</c:v>
                </c:pt>
                <c:pt idx="1">
                  <c:v>1686099</c:v>
                </c:pt>
                <c:pt idx="2">
                  <c:v>1801889</c:v>
                </c:pt>
                <c:pt idx="3">
                  <c:v>1472136</c:v>
                </c:pt>
                <c:pt idx="4">
                  <c:v>1909656</c:v>
                </c:pt>
                <c:pt idx="5">
                  <c:v>2143046</c:v>
                </c:pt>
                <c:pt idx="6">
                  <c:v>4780290</c:v>
                </c:pt>
                <c:pt idx="7">
                  <c:v>2244972</c:v>
                </c:pt>
                <c:pt idx="8">
                  <c:v>3535440</c:v>
                </c:pt>
                <c:pt idx="9">
                  <c:v>3635323</c:v>
                </c:pt>
                <c:pt idx="10">
                  <c:v>3472920</c:v>
                </c:pt>
                <c:pt idx="11">
                  <c:v>2621463</c:v>
                </c:pt>
                <c:pt idx="12">
                  <c:v>2847342</c:v>
                </c:pt>
                <c:pt idx="13">
                  <c:v>3085296</c:v>
                </c:pt>
                <c:pt idx="14">
                  <c:v>2318072</c:v>
                </c:pt>
                <c:pt idx="15">
                  <c:v>7077220</c:v>
                </c:pt>
                <c:pt idx="16">
                  <c:v>3306283</c:v>
                </c:pt>
                <c:pt idx="17">
                  <c:v>9019482</c:v>
                </c:pt>
                <c:pt idx="18">
                  <c:v>4257968</c:v>
                </c:pt>
                <c:pt idx="19">
                  <c:v>2839100</c:v>
                </c:pt>
                <c:pt idx="20">
                  <c:v>2490113</c:v>
                </c:pt>
                <c:pt idx="21">
                  <c:v>3845257</c:v>
                </c:pt>
                <c:pt idx="22">
                  <c:v>5537088</c:v>
                </c:pt>
                <c:pt idx="23">
                  <c:v>1213746</c:v>
                </c:pt>
                <c:pt idx="24">
                  <c:v>3701375</c:v>
                </c:pt>
              </c:numCache>
            </c:numRef>
          </c:val>
          <c:extLst>
            <c:ext xmlns:c16="http://schemas.microsoft.com/office/drawing/2014/chart" uri="{C3380CC4-5D6E-409C-BE32-E72D297353CC}">
              <c16:uniqueId val="{00000000-FDA1-4921-909B-2B7209B3872D}"/>
            </c:ext>
          </c:extLst>
        </c:ser>
        <c:ser>
          <c:idx val="1"/>
          <c:order val="1"/>
          <c:tx>
            <c:strRef>
              <c:f>Plant_Performance!$C$3</c:f>
              <c:strCache>
                <c:ptCount val="1"/>
                <c:pt idx="0">
                  <c:v>Total Export (kWh)</c:v>
                </c:pt>
              </c:strCache>
            </c:strRef>
          </c:tx>
          <c:spPr>
            <a:solidFill>
              <a:schemeClr val="accent2"/>
            </a:solidFill>
            <a:ln>
              <a:noFill/>
            </a:ln>
            <a:effectLst/>
          </c:spPr>
          <c:invertIfNegative val="0"/>
          <c:cat>
            <c:strRef>
              <c:f>Plant_Performance!$A$4:$A$29</c:f>
              <c:strCache>
                <c:ptCount val="25"/>
                <c:pt idx="0">
                  <c:v>25</c:v>
                </c:pt>
                <c:pt idx="1">
                  <c:v>24</c:v>
                </c:pt>
                <c:pt idx="2">
                  <c:v>23</c:v>
                </c:pt>
                <c:pt idx="3">
                  <c:v>22</c:v>
                </c:pt>
                <c:pt idx="4">
                  <c:v>21</c:v>
                </c:pt>
                <c:pt idx="5">
                  <c:v>20</c:v>
                </c:pt>
                <c:pt idx="6">
                  <c:v>19</c:v>
                </c:pt>
                <c:pt idx="7">
                  <c:v>18</c:v>
                </c:pt>
                <c:pt idx="8">
                  <c:v>17</c:v>
                </c:pt>
                <c:pt idx="9">
                  <c:v>16</c:v>
                </c:pt>
                <c:pt idx="10">
                  <c:v>15</c:v>
                </c:pt>
                <c:pt idx="11">
                  <c:v>14</c:v>
                </c:pt>
                <c:pt idx="12">
                  <c:v>13</c:v>
                </c:pt>
                <c:pt idx="13">
                  <c:v>12</c:v>
                </c:pt>
                <c:pt idx="14">
                  <c:v>11</c:v>
                </c:pt>
                <c:pt idx="15">
                  <c:v>10</c:v>
                </c:pt>
                <c:pt idx="16">
                  <c:v>9</c:v>
                </c:pt>
                <c:pt idx="17">
                  <c:v>8</c:v>
                </c:pt>
                <c:pt idx="18">
                  <c:v>7</c:v>
                </c:pt>
                <c:pt idx="19">
                  <c:v>6</c:v>
                </c:pt>
                <c:pt idx="20">
                  <c:v>5</c:v>
                </c:pt>
                <c:pt idx="21">
                  <c:v>4</c:v>
                </c:pt>
                <c:pt idx="22">
                  <c:v>3</c:v>
                </c:pt>
                <c:pt idx="23">
                  <c:v>2</c:v>
                </c:pt>
                <c:pt idx="24">
                  <c:v>1</c:v>
                </c:pt>
              </c:strCache>
            </c:strRef>
          </c:cat>
          <c:val>
            <c:numRef>
              <c:f>Plant_Performance!$C$4:$C$29</c:f>
              <c:numCache>
                <c:formatCode>General</c:formatCode>
                <c:ptCount val="25"/>
                <c:pt idx="0">
                  <c:v>15193474</c:v>
                </c:pt>
                <c:pt idx="1">
                  <c:v>1660547</c:v>
                </c:pt>
                <c:pt idx="2">
                  <c:v>1771567</c:v>
                </c:pt>
                <c:pt idx="3">
                  <c:v>1443374</c:v>
                </c:pt>
                <c:pt idx="4">
                  <c:v>1873942</c:v>
                </c:pt>
                <c:pt idx="5">
                  <c:v>2105095</c:v>
                </c:pt>
                <c:pt idx="6">
                  <c:v>4889698</c:v>
                </c:pt>
                <c:pt idx="7">
                  <c:v>2194939</c:v>
                </c:pt>
                <c:pt idx="8">
                  <c:v>3556580</c:v>
                </c:pt>
                <c:pt idx="9">
                  <c:v>3619302</c:v>
                </c:pt>
                <c:pt idx="10">
                  <c:v>3459120</c:v>
                </c:pt>
                <c:pt idx="11">
                  <c:v>2592600</c:v>
                </c:pt>
                <c:pt idx="12">
                  <c:v>2912520</c:v>
                </c:pt>
                <c:pt idx="13">
                  <c:v>3045480</c:v>
                </c:pt>
                <c:pt idx="14">
                  <c:v>2300486</c:v>
                </c:pt>
                <c:pt idx="15">
                  <c:v>6771900</c:v>
                </c:pt>
                <c:pt idx="16">
                  <c:v>3244759</c:v>
                </c:pt>
                <c:pt idx="17">
                  <c:v>8660573</c:v>
                </c:pt>
                <c:pt idx="18">
                  <c:v>4055743</c:v>
                </c:pt>
                <c:pt idx="19">
                  <c:v>2744744</c:v>
                </c:pt>
                <c:pt idx="20">
                  <c:v>2456220</c:v>
                </c:pt>
                <c:pt idx="21">
                  <c:v>5449380</c:v>
                </c:pt>
                <c:pt idx="22">
                  <c:v>5449380</c:v>
                </c:pt>
                <c:pt idx="23">
                  <c:v>1197144</c:v>
                </c:pt>
                <c:pt idx="24">
                  <c:v>3664315</c:v>
                </c:pt>
              </c:numCache>
            </c:numRef>
          </c:val>
          <c:extLst>
            <c:ext xmlns:c16="http://schemas.microsoft.com/office/drawing/2014/chart" uri="{C3380CC4-5D6E-409C-BE32-E72D297353CC}">
              <c16:uniqueId val="{00000001-FDA1-4921-909B-2B7209B3872D}"/>
            </c:ext>
          </c:extLst>
        </c:ser>
        <c:dLbls>
          <c:showLegendKey val="0"/>
          <c:showVal val="0"/>
          <c:showCatName val="0"/>
          <c:showSerName val="0"/>
          <c:showPercent val="0"/>
          <c:showBubbleSize val="0"/>
        </c:dLbls>
        <c:gapWidth val="219"/>
        <c:axId val="2072802976"/>
        <c:axId val="2106267664"/>
      </c:barChart>
      <c:catAx>
        <c:axId val="207280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67664"/>
        <c:crosses val="autoZero"/>
        <c:auto val="1"/>
        <c:lblAlgn val="ctr"/>
        <c:lblOffset val="100"/>
        <c:noMultiLvlLbl val="0"/>
      </c:catAx>
      <c:valAx>
        <c:axId val="210626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802976"/>
        <c:crosses val="autoZero"/>
        <c:crossBetween val="between"/>
      </c:valAx>
      <c:spPr>
        <a:noFill/>
        <a:ln>
          <a:noFill/>
        </a:ln>
        <a:effectLst/>
      </c:spPr>
    </c:plotArea>
    <c:legend>
      <c:legendPos val="r"/>
      <c:layout>
        <c:manualLayout>
          <c:xMode val="edge"/>
          <c:yMode val="edge"/>
          <c:x val="0.69741076115485567"/>
          <c:y val="0.37152668416447943"/>
          <c:w val="0.28592257217847766"/>
          <c:h val="0.25694663167104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358705161854754E-2"/>
          <c:y val="0.17576443569553807"/>
          <c:w val="0.88397462817147854"/>
          <c:h val="0.6153546952464275"/>
        </c:manualLayout>
      </c:layout>
      <c:barChart>
        <c:barDir val="bar"/>
        <c:grouping val="clustered"/>
        <c:varyColors val="0"/>
        <c:ser>
          <c:idx val="1"/>
          <c:order val="0"/>
          <c:tx>
            <c:strRef>
              <c:f>Plant_Performance!$H$3</c:f>
              <c:strCache>
                <c:ptCount val="1"/>
                <c:pt idx="0">
                  <c:v>Export Efficiency (%)</c:v>
                </c:pt>
              </c:strCache>
              <c:extLst xmlns:c15="http://schemas.microsoft.com/office/drawing/2012/chart"/>
            </c:strRef>
          </c:tx>
          <c:spPr>
            <a:solidFill>
              <a:schemeClr val="accent2"/>
            </a:solidFill>
            <a:ln>
              <a:noFill/>
            </a:ln>
            <a:effectLst/>
          </c:spPr>
          <c:invertIfNegative val="0"/>
          <c:cat>
            <c:numRef>
              <c:f>Plant_Performance!$G$4:$G$28</c:f>
              <c:numCache>
                <c:formatCode>General</c:formatCode>
                <c:ptCount val="25"/>
                <c:pt idx="0">
                  <c:v>25</c:v>
                </c:pt>
                <c:pt idx="1">
                  <c:v>24</c:v>
                </c:pt>
                <c:pt idx="2">
                  <c:v>23</c:v>
                </c:pt>
                <c:pt idx="3">
                  <c:v>22</c:v>
                </c:pt>
                <c:pt idx="4">
                  <c:v>21</c:v>
                </c:pt>
                <c:pt idx="5">
                  <c:v>20</c:v>
                </c:pt>
                <c:pt idx="6">
                  <c:v>19</c:v>
                </c:pt>
                <c:pt idx="7">
                  <c:v>18</c:v>
                </c:pt>
                <c:pt idx="8">
                  <c:v>17</c:v>
                </c:pt>
                <c:pt idx="9">
                  <c:v>16</c:v>
                </c:pt>
                <c:pt idx="10">
                  <c:v>15</c:v>
                </c:pt>
                <c:pt idx="11">
                  <c:v>14</c:v>
                </c:pt>
                <c:pt idx="12">
                  <c:v>13</c:v>
                </c:pt>
                <c:pt idx="13">
                  <c:v>12</c:v>
                </c:pt>
                <c:pt idx="14">
                  <c:v>11</c:v>
                </c:pt>
                <c:pt idx="15">
                  <c:v>10</c:v>
                </c:pt>
                <c:pt idx="16">
                  <c:v>9</c:v>
                </c:pt>
                <c:pt idx="17">
                  <c:v>8</c:v>
                </c:pt>
                <c:pt idx="18">
                  <c:v>7</c:v>
                </c:pt>
                <c:pt idx="19">
                  <c:v>6</c:v>
                </c:pt>
                <c:pt idx="20">
                  <c:v>5</c:v>
                </c:pt>
                <c:pt idx="21">
                  <c:v>4</c:v>
                </c:pt>
                <c:pt idx="22">
                  <c:v>3</c:v>
                </c:pt>
                <c:pt idx="23">
                  <c:v>2</c:v>
                </c:pt>
                <c:pt idx="24">
                  <c:v>1</c:v>
                </c:pt>
              </c:numCache>
            </c:numRef>
          </c:cat>
          <c:val>
            <c:numRef>
              <c:f>Plant_Performance!$H$4:$H$28</c:f>
              <c:numCache>
                <c:formatCode>0.00</c:formatCode>
                <c:ptCount val="25"/>
                <c:pt idx="0">
                  <c:v>96.900437125772569</c:v>
                </c:pt>
                <c:pt idx="1">
                  <c:v>98.484549246515186</c:v>
                </c:pt>
                <c:pt idx="2">
                  <c:v>98.317210438600824</c:v>
                </c:pt>
                <c:pt idx="3">
                  <c:v>98.04624029301641</c:v>
                </c:pt>
                <c:pt idx="4">
                  <c:v>98.12982023987567</c:v>
                </c:pt>
                <c:pt idx="5">
                  <c:v>98.229109407824183</c:v>
                </c:pt>
                <c:pt idx="6">
                  <c:v>102.28873143679567</c:v>
                </c:pt>
                <c:pt idx="7">
                  <c:v>97.771330778290334</c:v>
                </c:pt>
                <c:pt idx="8">
                  <c:v>100.59794537596451</c:v>
                </c:pt>
                <c:pt idx="9">
                  <c:v>99.559296381642014</c:v>
                </c:pt>
                <c:pt idx="10">
                  <c:v>99.602639853495049</c:v>
                </c:pt>
                <c:pt idx="11">
                  <c:v>98.898973588412275</c:v>
                </c:pt>
                <c:pt idx="12">
                  <c:v>102.28908223880377</c:v>
                </c:pt>
                <c:pt idx="13">
                  <c:v>98.709491731101323</c:v>
                </c:pt>
                <c:pt idx="14">
                  <c:v>99.241352296218579</c:v>
                </c:pt>
                <c:pt idx="15">
                  <c:v>95.685876657783709</c:v>
                </c:pt>
                <c:pt idx="16">
                  <c:v>98.13917925356057</c:v>
                </c:pt>
                <c:pt idx="17">
                  <c:v>96.02073600235579</c:v>
                </c:pt>
                <c:pt idx="18">
                  <c:v>95.250668863645757</c:v>
                </c:pt>
                <c:pt idx="19">
                  <c:v>96.676552428586533</c:v>
                </c:pt>
                <c:pt idx="20">
                  <c:v>98.638897110291779</c:v>
                </c:pt>
                <c:pt idx="21">
                  <c:v>141.71692555270036</c:v>
                </c:pt>
                <c:pt idx="22">
                  <c:v>98.415990498977081</c:v>
                </c:pt>
                <c:pt idx="23">
                  <c:v>98.63216850972114</c:v>
                </c:pt>
                <c:pt idx="24">
                  <c:v>98.998750464354472</c:v>
                </c:pt>
              </c:numCache>
              <c:extLst xmlns:c15="http://schemas.microsoft.com/office/drawing/2012/chart"/>
            </c:numRef>
          </c:val>
          <c:extLst xmlns:c15="http://schemas.microsoft.com/office/drawing/2012/chart">
            <c:ext xmlns:c16="http://schemas.microsoft.com/office/drawing/2014/chart" uri="{C3380CC4-5D6E-409C-BE32-E72D297353CC}">
              <c16:uniqueId val="{00000000-B5C5-4B22-89BE-6B603EBD6C87}"/>
            </c:ext>
          </c:extLst>
        </c:ser>
        <c:dLbls>
          <c:showLegendKey val="0"/>
          <c:showVal val="0"/>
          <c:showCatName val="0"/>
          <c:showSerName val="0"/>
          <c:showPercent val="0"/>
          <c:showBubbleSize val="0"/>
        </c:dLbls>
        <c:gapWidth val="182"/>
        <c:axId val="428468928"/>
        <c:axId val="2106377104"/>
        <c:extLst/>
      </c:barChart>
      <c:catAx>
        <c:axId val="42846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377104"/>
        <c:crosses val="autoZero"/>
        <c:auto val="1"/>
        <c:lblAlgn val="ctr"/>
        <c:lblOffset val="100"/>
        <c:noMultiLvlLbl val="0"/>
      </c:catAx>
      <c:valAx>
        <c:axId val="21063771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46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[Renewable_Energy_Analytics.xlsx]Receivable_Analysis!PivotTable6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Monthly Receivables vs Collection</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Receivable_Analysis!$B$2</c:f>
              <c:strCache>
                <c:ptCount val="1"/>
                <c:pt idx="0">
                  <c:v>Sum of Amount_Receivable</c:v>
                </c:pt>
              </c:strCache>
            </c:strRef>
          </c:tx>
          <c:spPr>
            <a:solidFill>
              <a:schemeClr val="accent1"/>
            </a:solidFill>
            <a:ln>
              <a:noFill/>
            </a:ln>
            <a:effectLst/>
          </c:spPr>
          <c:invertIfNegative val="0"/>
          <c:cat>
            <c:multiLvlStrRef>
              <c:f>Receivable_Analysis!$A$3:$A$28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Qtr1</c:v>
                  </c:pt>
                  <c:pt idx="3">
                    <c:v>Qtr2</c:v>
                  </c:pt>
                  <c:pt idx="6">
                    <c:v>Qtr3</c:v>
                  </c:pt>
                  <c:pt idx="9">
                    <c:v>Qtr4</c:v>
                  </c:pt>
                  <c:pt idx="12">
                    <c:v>Qtr1</c:v>
                  </c:pt>
                  <c:pt idx="15">
                    <c:v>Qtr2</c:v>
                  </c:pt>
                </c:lvl>
                <c:lvl>
                  <c:pt idx="0">
                    <c:v>2025</c:v>
                  </c:pt>
                  <c:pt idx="12">
                    <c:v>2026</c:v>
                  </c:pt>
                </c:lvl>
              </c:multiLvlStrCache>
            </c:multiLvlStrRef>
          </c:cat>
          <c:val>
            <c:numRef>
              <c:f>Receivable_Analysis!$B$3:$B$28</c:f>
              <c:numCache>
                <c:formatCode>General</c:formatCode>
                <c:ptCount val="17"/>
                <c:pt idx="0">
                  <c:v>536067</c:v>
                </c:pt>
                <c:pt idx="1">
                  <c:v>220294</c:v>
                </c:pt>
                <c:pt idx="2">
                  <c:v>430314</c:v>
                </c:pt>
                <c:pt idx="3">
                  <c:v>9298085</c:v>
                </c:pt>
                <c:pt idx="4">
                  <c:v>20573027</c:v>
                </c:pt>
                <c:pt idx="5">
                  <c:v>48590350</c:v>
                </c:pt>
                <c:pt idx="6">
                  <c:v>61658739</c:v>
                </c:pt>
                <c:pt idx="7">
                  <c:v>46195812</c:v>
                </c:pt>
                <c:pt idx="8">
                  <c:v>47783788</c:v>
                </c:pt>
                <c:pt idx="9">
                  <c:v>22843836</c:v>
                </c:pt>
                <c:pt idx="10">
                  <c:v>18076858</c:v>
                </c:pt>
                <c:pt idx="11">
                  <c:v>16898559</c:v>
                </c:pt>
                <c:pt idx="12">
                  <c:v>9621095</c:v>
                </c:pt>
                <c:pt idx="13">
                  <c:v>8158831</c:v>
                </c:pt>
                <c:pt idx="14">
                  <c:v>20250596</c:v>
                </c:pt>
                <c:pt idx="15">
                  <c:v>8335788</c:v>
                </c:pt>
                <c:pt idx="16">
                  <c:v>780700</c:v>
                </c:pt>
              </c:numCache>
            </c:numRef>
          </c:val>
          <c:extLst>
            <c:ext xmlns:c16="http://schemas.microsoft.com/office/drawing/2014/chart" uri="{C3380CC4-5D6E-409C-BE32-E72D297353CC}">
              <c16:uniqueId val="{00000000-D71A-47B3-B019-07D34CB255BA}"/>
            </c:ext>
          </c:extLst>
        </c:ser>
        <c:ser>
          <c:idx val="1"/>
          <c:order val="1"/>
          <c:tx>
            <c:strRef>
              <c:f>Receivable_Analysis!$C$2</c:f>
              <c:strCache>
                <c:ptCount val="1"/>
                <c:pt idx="0">
                  <c:v>Sum of Amount_Received</c:v>
                </c:pt>
              </c:strCache>
            </c:strRef>
          </c:tx>
          <c:spPr>
            <a:solidFill>
              <a:schemeClr val="accent2"/>
            </a:solidFill>
            <a:ln>
              <a:noFill/>
            </a:ln>
            <a:effectLst/>
          </c:spPr>
          <c:invertIfNegative val="0"/>
          <c:cat>
            <c:multiLvlStrRef>
              <c:f>Receivable_Analysis!$A$3:$A$28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Qtr1</c:v>
                  </c:pt>
                  <c:pt idx="3">
                    <c:v>Qtr2</c:v>
                  </c:pt>
                  <c:pt idx="6">
                    <c:v>Qtr3</c:v>
                  </c:pt>
                  <c:pt idx="9">
                    <c:v>Qtr4</c:v>
                  </c:pt>
                  <c:pt idx="12">
                    <c:v>Qtr1</c:v>
                  </c:pt>
                  <c:pt idx="15">
                    <c:v>Qtr2</c:v>
                  </c:pt>
                </c:lvl>
                <c:lvl>
                  <c:pt idx="0">
                    <c:v>2025</c:v>
                  </c:pt>
                  <c:pt idx="12">
                    <c:v>2026</c:v>
                  </c:pt>
                </c:lvl>
              </c:multiLvlStrCache>
            </c:multiLvlStrRef>
          </c:cat>
          <c:val>
            <c:numRef>
              <c:f>Receivable_Analysis!$C$3:$C$28</c:f>
              <c:numCache>
                <c:formatCode>General</c:formatCode>
                <c:ptCount val="17"/>
                <c:pt idx="0">
                  <c:v>361326</c:v>
                </c:pt>
                <c:pt idx="1">
                  <c:v>220292</c:v>
                </c:pt>
                <c:pt idx="2">
                  <c:v>283551</c:v>
                </c:pt>
                <c:pt idx="3">
                  <c:v>9298067</c:v>
                </c:pt>
                <c:pt idx="4">
                  <c:v>20573038</c:v>
                </c:pt>
                <c:pt idx="5">
                  <c:v>48590342</c:v>
                </c:pt>
                <c:pt idx="6">
                  <c:v>61658739</c:v>
                </c:pt>
                <c:pt idx="7">
                  <c:v>26907547</c:v>
                </c:pt>
                <c:pt idx="8">
                  <c:v>24539756</c:v>
                </c:pt>
                <c:pt idx="9">
                  <c:v>14303422</c:v>
                </c:pt>
                <c:pt idx="10">
                  <c:v>10361982</c:v>
                </c:pt>
                <c:pt idx="11">
                  <c:v>6616093</c:v>
                </c:pt>
                <c:pt idx="12">
                  <c:v>2900877</c:v>
                </c:pt>
                <c:pt idx="13">
                  <c:v>3095143</c:v>
                </c:pt>
                <c:pt idx="14">
                  <c:v>13246735</c:v>
                </c:pt>
                <c:pt idx="15">
                  <c:v>8218440</c:v>
                </c:pt>
                <c:pt idx="16">
                  <c:v>780695</c:v>
                </c:pt>
              </c:numCache>
            </c:numRef>
          </c:val>
          <c:extLst>
            <c:ext xmlns:c16="http://schemas.microsoft.com/office/drawing/2014/chart" uri="{C3380CC4-5D6E-409C-BE32-E72D297353CC}">
              <c16:uniqueId val="{00000001-D71A-47B3-B019-07D34CB255BA}"/>
            </c:ext>
          </c:extLst>
        </c:ser>
        <c:dLbls>
          <c:showLegendKey val="0"/>
          <c:showVal val="0"/>
          <c:showCatName val="0"/>
          <c:showSerName val="0"/>
          <c:showPercent val="0"/>
          <c:showBubbleSize val="0"/>
        </c:dLbls>
        <c:gapWidth val="219"/>
        <c:overlap val="-27"/>
        <c:axId val="2002557263"/>
        <c:axId val="2078927599"/>
      </c:barChart>
      <c:catAx>
        <c:axId val="200255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927599"/>
        <c:crosses val="autoZero"/>
        <c:auto val="1"/>
        <c:lblAlgn val="ctr"/>
        <c:lblOffset val="100"/>
        <c:noMultiLvlLbl val="0"/>
      </c:catAx>
      <c:valAx>
        <c:axId val="207892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55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[Renewable_Energy_Analytics.xlsx]TL_Analysis!PivotTable1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ysClr val="windowText" lastClr="000000"/>
                </a:solidFill>
              </a:rPr>
              <a:t>Plant-wise Transmission Loss Units</a:t>
            </a:r>
            <a:endParaRPr lang="en-IN"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1522309711286E-2"/>
          <c:y val="0.17524271403790789"/>
          <c:w val="0.76481074056919374"/>
          <c:h val="0.7150446375863917"/>
        </c:manualLayout>
      </c:layout>
      <c:barChart>
        <c:barDir val="bar"/>
        <c:grouping val="clustered"/>
        <c:varyColors val="0"/>
        <c:ser>
          <c:idx val="0"/>
          <c:order val="0"/>
          <c:tx>
            <c:strRef>
              <c:f>TL_Analysis!$B$3</c:f>
              <c:strCache>
                <c:ptCount val="1"/>
                <c:pt idx="0">
                  <c:v>Total</c:v>
                </c:pt>
              </c:strCache>
            </c:strRef>
          </c:tx>
          <c:spPr>
            <a:solidFill>
              <a:schemeClr val="accent1"/>
            </a:solidFill>
            <a:ln>
              <a:noFill/>
            </a:ln>
            <a:effectLst/>
          </c:spPr>
          <c:invertIfNegative val="0"/>
          <c:cat>
            <c:strRef>
              <c:f>TL_Analysis!$A$4:$A$29</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TL_Analysis!$B$4:$B$29</c:f>
              <c:numCache>
                <c:formatCode>General</c:formatCode>
                <c:ptCount val="25"/>
                <c:pt idx="0">
                  <c:v>37060</c:v>
                </c:pt>
                <c:pt idx="1">
                  <c:v>16602</c:v>
                </c:pt>
                <c:pt idx="2">
                  <c:v>87708</c:v>
                </c:pt>
                <c:pt idx="3">
                  <c:v>-1604123</c:v>
                </c:pt>
                <c:pt idx="4">
                  <c:v>33893</c:v>
                </c:pt>
                <c:pt idx="5">
                  <c:v>94356</c:v>
                </c:pt>
                <c:pt idx="6">
                  <c:v>202225</c:v>
                </c:pt>
                <c:pt idx="7">
                  <c:v>358909</c:v>
                </c:pt>
                <c:pt idx="8">
                  <c:v>61524</c:v>
                </c:pt>
                <c:pt idx="9">
                  <c:v>305320</c:v>
                </c:pt>
                <c:pt idx="10">
                  <c:v>17586</c:v>
                </c:pt>
                <c:pt idx="11">
                  <c:v>39816</c:v>
                </c:pt>
                <c:pt idx="12">
                  <c:v>-65178</c:v>
                </c:pt>
                <c:pt idx="13">
                  <c:v>28863</c:v>
                </c:pt>
                <c:pt idx="14">
                  <c:v>13800</c:v>
                </c:pt>
                <c:pt idx="15">
                  <c:v>16021</c:v>
                </c:pt>
                <c:pt idx="16">
                  <c:v>-21140</c:v>
                </c:pt>
                <c:pt idx="17">
                  <c:v>50033</c:v>
                </c:pt>
                <c:pt idx="18">
                  <c:v>-109408</c:v>
                </c:pt>
                <c:pt idx="19">
                  <c:v>37951</c:v>
                </c:pt>
                <c:pt idx="20">
                  <c:v>35714</c:v>
                </c:pt>
                <c:pt idx="21">
                  <c:v>28762</c:v>
                </c:pt>
                <c:pt idx="22">
                  <c:v>30322</c:v>
                </c:pt>
                <c:pt idx="23">
                  <c:v>25552</c:v>
                </c:pt>
                <c:pt idx="24">
                  <c:v>485995</c:v>
                </c:pt>
              </c:numCache>
            </c:numRef>
          </c:val>
          <c:extLst>
            <c:ext xmlns:c16="http://schemas.microsoft.com/office/drawing/2014/chart" uri="{C3380CC4-5D6E-409C-BE32-E72D297353CC}">
              <c16:uniqueId val="{00000000-CB66-4C3C-AAD4-28230243C5FE}"/>
            </c:ext>
          </c:extLst>
        </c:ser>
        <c:dLbls>
          <c:showLegendKey val="0"/>
          <c:showVal val="0"/>
          <c:showCatName val="0"/>
          <c:showSerName val="0"/>
          <c:showPercent val="0"/>
          <c:showBubbleSize val="0"/>
        </c:dLbls>
        <c:gapWidth val="182"/>
        <c:axId val="1084608943"/>
        <c:axId val="1069595279"/>
      </c:barChart>
      <c:catAx>
        <c:axId val="1084608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95279"/>
        <c:crosses val="autoZero"/>
        <c:auto val="1"/>
        <c:lblAlgn val="ctr"/>
        <c:lblOffset val="100"/>
        <c:noMultiLvlLbl val="0"/>
      </c:catAx>
      <c:valAx>
        <c:axId val="1069595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60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Average RKVAH Loss by Plant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RKVAH_Analysis!$B$32</c:f>
              <c:strCache>
                <c:ptCount val="1"/>
                <c:pt idx="0">
                  <c:v>Average of RKVAH_Loss_Percentage</c:v>
                </c:pt>
              </c:strCache>
            </c:strRef>
          </c:tx>
          <c:spPr>
            <a:solidFill>
              <a:schemeClr val="accent1"/>
            </a:solidFill>
            <a:ln>
              <a:noFill/>
            </a:ln>
            <a:effectLst/>
          </c:spPr>
          <c:invertIfNegative val="0"/>
          <c:cat>
            <c:strRef>
              <c:f>RKVAH_Analysis!$A$33:$A$58</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Grand Total</c:v>
                </c:pt>
              </c:strCache>
            </c:strRef>
          </c:cat>
          <c:val>
            <c:numRef>
              <c:f>RKVAH_Analysis!$B$33:$B$58</c:f>
              <c:numCache>
                <c:formatCode>0.00%</c:formatCode>
                <c:ptCount val="26"/>
                <c:pt idx="0">
                  <c:v>0.11516666666666668</c:v>
                </c:pt>
                <c:pt idx="1">
                  <c:v>1.7916666666666668E-2</c:v>
                </c:pt>
                <c:pt idx="2">
                  <c:v>1.6666666666666666E-4</c:v>
                </c:pt>
                <c:pt idx="3">
                  <c:v>3.0666666666666675E-2</c:v>
                </c:pt>
                <c:pt idx="4">
                  <c:v>5.7749999999999996E-2</c:v>
                </c:pt>
                <c:pt idx="5">
                  <c:v>2.6083333333333337E-2</c:v>
                </c:pt>
                <c:pt idx="6">
                  <c:v>9.8333333333333328E-3</c:v>
                </c:pt>
                <c:pt idx="7">
                  <c:v>0.13091666666666668</c:v>
                </c:pt>
                <c:pt idx="8">
                  <c:v>2.5333333333333336E-2</c:v>
                </c:pt>
                <c:pt idx="9">
                  <c:v>8.3333333333333331E-5</c:v>
                </c:pt>
                <c:pt idx="10">
                  <c:v>6.6666666666666664E-4</c:v>
                </c:pt>
                <c:pt idx="11">
                  <c:v>1.8666666666666668E-2</c:v>
                </c:pt>
                <c:pt idx="12">
                  <c:v>3.3333333333333332E-4</c:v>
                </c:pt>
                <c:pt idx="13">
                  <c:v>4.1666666666666669E-4</c:v>
                </c:pt>
                <c:pt idx="14">
                  <c:v>4.1666666666666669E-4</c:v>
                </c:pt>
                <c:pt idx="15">
                  <c:v>6.4750000000000016E-2</c:v>
                </c:pt>
                <c:pt idx="16">
                  <c:v>1.7749999999999998E-2</c:v>
                </c:pt>
                <c:pt idx="17">
                  <c:v>6.3333333333333332E-3</c:v>
                </c:pt>
                <c:pt idx="18">
                  <c:v>2.2500000000000003E-3</c:v>
                </c:pt>
                <c:pt idx="19">
                  <c:v>1.1000000000000003E-2</c:v>
                </c:pt>
                <c:pt idx="20">
                  <c:v>3.3416666666666671E-2</c:v>
                </c:pt>
                <c:pt idx="21">
                  <c:v>1.9583333333333335E-2</c:v>
                </c:pt>
                <c:pt idx="22">
                  <c:v>1.6500000000000001E-2</c:v>
                </c:pt>
                <c:pt idx="23">
                  <c:v>1.5000000000000001E-2</c:v>
                </c:pt>
                <c:pt idx="24">
                  <c:v>1.5833333333333335E-3</c:v>
                </c:pt>
                <c:pt idx="25">
                  <c:v>2.4903333333333319E-2</c:v>
                </c:pt>
              </c:numCache>
            </c:numRef>
          </c:val>
          <c:extLst>
            <c:ext xmlns:c16="http://schemas.microsoft.com/office/drawing/2014/chart" uri="{C3380CC4-5D6E-409C-BE32-E72D297353CC}">
              <c16:uniqueId val="{00000000-5A23-444B-9FF9-471B729F28B1}"/>
            </c:ext>
          </c:extLst>
        </c:ser>
        <c:dLbls>
          <c:showLegendKey val="0"/>
          <c:showVal val="0"/>
          <c:showCatName val="0"/>
          <c:showSerName val="0"/>
          <c:showPercent val="0"/>
          <c:showBubbleSize val="0"/>
        </c:dLbls>
        <c:gapWidth val="182"/>
        <c:axId val="2027766703"/>
        <c:axId val="2079056719"/>
      </c:barChart>
      <c:catAx>
        <c:axId val="202776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056719"/>
        <c:crosses val="autoZero"/>
        <c:auto val="1"/>
        <c:lblAlgn val="ctr"/>
        <c:lblOffset val="100"/>
        <c:noMultiLvlLbl val="0"/>
      </c:catAx>
      <c:valAx>
        <c:axId val="20790567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6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[Renewable_Energy_Analytics.xlsx]Plant_Performance!PivotTable1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Plant-wise Energy Generation vs Export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24759405074367"/>
          <c:y val="0.19907407407407407"/>
          <c:w val="0.52405577427821526"/>
          <c:h val="0.69389690871974341"/>
        </c:manualLayout>
      </c:layout>
      <c:barChart>
        <c:barDir val="bar"/>
        <c:grouping val="clustered"/>
        <c:varyColors val="0"/>
        <c:ser>
          <c:idx val="0"/>
          <c:order val="0"/>
          <c:tx>
            <c:strRef>
              <c:f>Plant_Performance!$B$3</c:f>
              <c:strCache>
                <c:ptCount val="1"/>
                <c:pt idx="0">
                  <c:v>Total Generation (kWh)</c:v>
                </c:pt>
              </c:strCache>
            </c:strRef>
          </c:tx>
          <c:spPr>
            <a:solidFill>
              <a:schemeClr val="accent1"/>
            </a:solidFill>
            <a:ln>
              <a:noFill/>
            </a:ln>
            <a:effectLst/>
          </c:spPr>
          <c:invertIfNegative val="0"/>
          <c:cat>
            <c:strRef>
              <c:f>Plant_Performance!$A$4:$A$29</c:f>
              <c:strCache>
                <c:ptCount val="25"/>
                <c:pt idx="0">
                  <c:v>25</c:v>
                </c:pt>
                <c:pt idx="1">
                  <c:v>24</c:v>
                </c:pt>
                <c:pt idx="2">
                  <c:v>23</c:v>
                </c:pt>
                <c:pt idx="3">
                  <c:v>22</c:v>
                </c:pt>
                <c:pt idx="4">
                  <c:v>21</c:v>
                </c:pt>
                <c:pt idx="5">
                  <c:v>20</c:v>
                </c:pt>
                <c:pt idx="6">
                  <c:v>19</c:v>
                </c:pt>
                <c:pt idx="7">
                  <c:v>18</c:v>
                </c:pt>
                <c:pt idx="8">
                  <c:v>17</c:v>
                </c:pt>
                <c:pt idx="9">
                  <c:v>16</c:v>
                </c:pt>
                <c:pt idx="10">
                  <c:v>15</c:v>
                </c:pt>
                <c:pt idx="11">
                  <c:v>14</c:v>
                </c:pt>
                <c:pt idx="12">
                  <c:v>13</c:v>
                </c:pt>
                <c:pt idx="13">
                  <c:v>12</c:v>
                </c:pt>
                <c:pt idx="14">
                  <c:v>11</c:v>
                </c:pt>
                <c:pt idx="15">
                  <c:v>10</c:v>
                </c:pt>
                <c:pt idx="16">
                  <c:v>9</c:v>
                </c:pt>
                <c:pt idx="17">
                  <c:v>8</c:v>
                </c:pt>
                <c:pt idx="18">
                  <c:v>7</c:v>
                </c:pt>
                <c:pt idx="19">
                  <c:v>6</c:v>
                </c:pt>
                <c:pt idx="20">
                  <c:v>5</c:v>
                </c:pt>
                <c:pt idx="21">
                  <c:v>4</c:v>
                </c:pt>
                <c:pt idx="22">
                  <c:v>3</c:v>
                </c:pt>
                <c:pt idx="23">
                  <c:v>2</c:v>
                </c:pt>
                <c:pt idx="24">
                  <c:v>1</c:v>
                </c:pt>
              </c:strCache>
            </c:strRef>
          </c:cat>
          <c:val>
            <c:numRef>
              <c:f>Plant_Performance!$B$4:$B$29</c:f>
              <c:numCache>
                <c:formatCode>General</c:formatCode>
                <c:ptCount val="25"/>
                <c:pt idx="0">
                  <c:v>15679469</c:v>
                </c:pt>
                <c:pt idx="1">
                  <c:v>1686099</c:v>
                </c:pt>
                <c:pt idx="2">
                  <c:v>1801889</c:v>
                </c:pt>
                <c:pt idx="3">
                  <c:v>1472136</c:v>
                </c:pt>
                <c:pt idx="4">
                  <c:v>1909656</c:v>
                </c:pt>
                <c:pt idx="5">
                  <c:v>2143046</c:v>
                </c:pt>
                <c:pt idx="6">
                  <c:v>4780290</c:v>
                </c:pt>
                <c:pt idx="7">
                  <c:v>2244972</c:v>
                </c:pt>
                <c:pt idx="8">
                  <c:v>3535440</c:v>
                </c:pt>
                <c:pt idx="9">
                  <c:v>3635323</c:v>
                </c:pt>
                <c:pt idx="10">
                  <c:v>3472920</c:v>
                </c:pt>
                <c:pt idx="11">
                  <c:v>2621463</c:v>
                </c:pt>
                <c:pt idx="12">
                  <c:v>2847342</c:v>
                </c:pt>
                <c:pt idx="13">
                  <c:v>3085296</c:v>
                </c:pt>
                <c:pt idx="14">
                  <c:v>2318072</c:v>
                </c:pt>
                <c:pt idx="15">
                  <c:v>7077220</c:v>
                </c:pt>
                <c:pt idx="16">
                  <c:v>3306283</c:v>
                </c:pt>
                <c:pt idx="17">
                  <c:v>9019482</c:v>
                </c:pt>
                <c:pt idx="18">
                  <c:v>4257968</c:v>
                </c:pt>
                <c:pt idx="19">
                  <c:v>2839100</c:v>
                </c:pt>
                <c:pt idx="20">
                  <c:v>2490113</c:v>
                </c:pt>
                <c:pt idx="21">
                  <c:v>3845257</c:v>
                </c:pt>
                <c:pt idx="22">
                  <c:v>5537088</c:v>
                </c:pt>
                <c:pt idx="23">
                  <c:v>1213746</c:v>
                </c:pt>
                <c:pt idx="24">
                  <c:v>3701375</c:v>
                </c:pt>
              </c:numCache>
            </c:numRef>
          </c:val>
          <c:extLst>
            <c:ext xmlns:c16="http://schemas.microsoft.com/office/drawing/2014/chart" uri="{C3380CC4-5D6E-409C-BE32-E72D297353CC}">
              <c16:uniqueId val="{00000000-506F-42BB-8DBF-0C6D55C0D32A}"/>
            </c:ext>
          </c:extLst>
        </c:ser>
        <c:ser>
          <c:idx val="1"/>
          <c:order val="1"/>
          <c:tx>
            <c:strRef>
              <c:f>Plant_Performance!$C$3</c:f>
              <c:strCache>
                <c:ptCount val="1"/>
                <c:pt idx="0">
                  <c:v>Total Export (kWh)</c:v>
                </c:pt>
              </c:strCache>
            </c:strRef>
          </c:tx>
          <c:spPr>
            <a:solidFill>
              <a:schemeClr val="accent2"/>
            </a:solidFill>
            <a:ln>
              <a:noFill/>
            </a:ln>
            <a:effectLst/>
          </c:spPr>
          <c:invertIfNegative val="0"/>
          <c:cat>
            <c:strRef>
              <c:f>Plant_Performance!$A$4:$A$29</c:f>
              <c:strCache>
                <c:ptCount val="25"/>
                <c:pt idx="0">
                  <c:v>25</c:v>
                </c:pt>
                <c:pt idx="1">
                  <c:v>24</c:v>
                </c:pt>
                <c:pt idx="2">
                  <c:v>23</c:v>
                </c:pt>
                <c:pt idx="3">
                  <c:v>22</c:v>
                </c:pt>
                <c:pt idx="4">
                  <c:v>21</c:v>
                </c:pt>
                <c:pt idx="5">
                  <c:v>20</c:v>
                </c:pt>
                <c:pt idx="6">
                  <c:v>19</c:v>
                </c:pt>
                <c:pt idx="7">
                  <c:v>18</c:v>
                </c:pt>
                <c:pt idx="8">
                  <c:v>17</c:v>
                </c:pt>
                <c:pt idx="9">
                  <c:v>16</c:v>
                </c:pt>
                <c:pt idx="10">
                  <c:v>15</c:v>
                </c:pt>
                <c:pt idx="11">
                  <c:v>14</c:v>
                </c:pt>
                <c:pt idx="12">
                  <c:v>13</c:v>
                </c:pt>
                <c:pt idx="13">
                  <c:v>12</c:v>
                </c:pt>
                <c:pt idx="14">
                  <c:v>11</c:v>
                </c:pt>
                <c:pt idx="15">
                  <c:v>10</c:v>
                </c:pt>
                <c:pt idx="16">
                  <c:v>9</c:v>
                </c:pt>
                <c:pt idx="17">
                  <c:v>8</c:v>
                </c:pt>
                <c:pt idx="18">
                  <c:v>7</c:v>
                </c:pt>
                <c:pt idx="19">
                  <c:v>6</c:v>
                </c:pt>
                <c:pt idx="20">
                  <c:v>5</c:v>
                </c:pt>
                <c:pt idx="21">
                  <c:v>4</c:v>
                </c:pt>
                <c:pt idx="22">
                  <c:v>3</c:v>
                </c:pt>
                <c:pt idx="23">
                  <c:v>2</c:v>
                </c:pt>
                <c:pt idx="24">
                  <c:v>1</c:v>
                </c:pt>
              </c:strCache>
            </c:strRef>
          </c:cat>
          <c:val>
            <c:numRef>
              <c:f>Plant_Performance!$C$4:$C$29</c:f>
              <c:numCache>
                <c:formatCode>General</c:formatCode>
                <c:ptCount val="25"/>
                <c:pt idx="0">
                  <c:v>15193474</c:v>
                </c:pt>
                <c:pt idx="1">
                  <c:v>1660547</c:v>
                </c:pt>
                <c:pt idx="2">
                  <c:v>1771567</c:v>
                </c:pt>
                <c:pt idx="3">
                  <c:v>1443374</c:v>
                </c:pt>
                <c:pt idx="4">
                  <c:v>1873942</c:v>
                </c:pt>
                <c:pt idx="5">
                  <c:v>2105095</c:v>
                </c:pt>
                <c:pt idx="6">
                  <c:v>4889698</c:v>
                </c:pt>
                <c:pt idx="7">
                  <c:v>2194939</c:v>
                </c:pt>
                <c:pt idx="8">
                  <c:v>3556580</c:v>
                </c:pt>
                <c:pt idx="9">
                  <c:v>3619302</c:v>
                </c:pt>
                <c:pt idx="10">
                  <c:v>3459120</c:v>
                </c:pt>
                <c:pt idx="11">
                  <c:v>2592600</c:v>
                </c:pt>
                <c:pt idx="12">
                  <c:v>2912520</c:v>
                </c:pt>
                <c:pt idx="13">
                  <c:v>3045480</c:v>
                </c:pt>
                <c:pt idx="14">
                  <c:v>2300486</c:v>
                </c:pt>
                <c:pt idx="15">
                  <c:v>6771900</c:v>
                </c:pt>
                <c:pt idx="16">
                  <c:v>3244759</c:v>
                </c:pt>
                <c:pt idx="17">
                  <c:v>8660573</c:v>
                </c:pt>
                <c:pt idx="18">
                  <c:v>4055743</c:v>
                </c:pt>
                <c:pt idx="19">
                  <c:v>2744744</c:v>
                </c:pt>
                <c:pt idx="20">
                  <c:v>2456220</c:v>
                </c:pt>
                <c:pt idx="21">
                  <c:v>5449380</c:v>
                </c:pt>
                <c:pt idx="22">
                  <c:v>5449380</c:v>
                </c:pt>
                <c:pt idx="23">
                  <c:v>1197144</c:v>
                </c:pt>
                <c:pt idx="24">
                  <c:v>3664315</c:v>
                </c:pt>
              </c:numCache>
            </c:numRef>
          </c:val>
          <c:extLst>
            <c:ext xmlns:c16="http://schemas.microsoft.com/office/drawing/2014/chart" uri="{C3380CC4-5D6E-409C-BE32-E72D297353CC}">
              <c16:uniqueId val="{00000001-506F-42BB-8DBF-0C6D55C0D32A}"/>
            </c:ext>
          </c:extLst>
        </c:ser>
        <c:dLbls>
          <c:showLegendKey val="0"/>
          <c:showVal val="0"/>
          <c:showCatName val="0"/>
          <c:showSerName val="0"/>
          <c:showPercent val="0"/>
          <c:showBubbleSize val="0"/>
        </c:dLbls>
        <c:gapWidth val="219"/>
        <c:axId val="2072802976"/>
        <c:axId val="2106267664"/>
      </c:barChart>
      <c:catAx>
        <c:axId val="207280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67664"/>
        <c:crosses val="autoZero"/>
        <c:auto val="1"/>
        <c:lblAlgn val="ctr"/>
        <c:lblOffset val="100"/>
        <c:noMultiLvlLbl val="0"/>
      </c:catAx>
      <c:valAx>
        <c:axId val="210626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802976"/>
        <c:crosses val="autoZero"/>
        <c:crossBetween val="between"/>
      </c:valAx>
      <c:spPr>
        <a:noFill/>
        <a:ln>
          <a:noFill/>
        </a:ln>
        <a:effectLst/>
      </c:spPr>
    </c:plotArea>
    <c:legend>
      <c:legendPos val="r"/>
      <c:layout>
        <c:manualLayout>
          <c:xMode val="edge"/>
          <c:yMode val="edge"/>
          <c:x val="0.69741076115485567"/>
          <c:y val="0.37152668416447943"/>
          <c:w val="0.28592257217847766"/>
          <c:h val="0.25694663167104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358705161854754E-2"/>
          <c:y val="0.17576443569553807"/>
          <c:w val="0.88397462817147854"/>
          <c:h val="0.6153546952464275"/>
        </c:manualLayout>
      </c:layout>
      <c:barChart>
        <c:barDir val="bar"/>
        <c:grouping val="clustered"/>
        <c:varyColors val="0"/>
        <c:ser>
          <c:idx val="1"/>
          <c:order val="0"/>
          <c:tx>
            <c:strRef>
              <c:f>Plant_Performance!$H$3</c:f>
              <c:strCache>
                <c:ptCount val="1"/>
                <c:pt idx="0">
                  <c:v>Export Efficiency (%)</c:v>
                </c:pt>
              </c:strCache>
              <c:extLst xmlns:c15="http://schemas.microsoft.com/office/drawing/2012/chart"/>
            </c:strRef>
          </c:tx>
          <c:spPr>
            <a:solidFill>
              <a:schemeClr val="accent2"/>
            </a:solidFill>
            <a:ln>
              <a:noFill/>
            </a:ln>
            <a:effectLst/>
          </c:spPr>
          <c:invertIfNegative val="0"/>
          <c:cat>
            <c:numRef>
              <c:f>Plant_Performance!$G$4:$G$28</c:f>
              <c:numCache>
                <c:formatCode>General</c:formatCode>
                <c:ptCount val="25"/>
                <c:pt idx="0">
                  <c:v>25</c:v>
                </c:pt>
                <c:pt idx="1">
                  <c:v>24</c:v>
                </c:pt>
                <c:pt idx="2">
                  <c:v>23</c:v>
                </c:pt>
                <c:pt idx="3">
                  <c:v>22</c:v>
                </c:pt>
                <c:pt idx="4">
                  <c:v>21</c:v>
                </c:pt>
                <c:pt idx="5">
                  <c:v>20</c:v>
                </c:pt>
                <c:pt idx="6">
                  <c:v>19</c:v>
                </c:pt>
                <c:pt idx="7">
                  <c:v>18</c:v>
                </c:pt>
                <c:pt idx="8">
                  <c:v>17</c:v>
                </c:pt>
                <c:pt idx="9">
                  <c:v>16</c:v>
                </c:pt>
                <c:pt idx="10">
                  <c:v>15</c:v>
                </c:pt>
                <c:pt idx="11">
                  <c:v>14</c:v>
                </c:pt>
                <c:pt idx="12">
                  <c:v>13</c:v>
                </c:pt>
                <c:pt idx="13">
                  <c:v>12</c:v>
                </c:pt>
                <c:pt idx="14">
                  <c:v>11</c:v>
                </c:pt>
                <c:pt idx="15">
                  <c:v>10</c:v>
                </c:pt>
                <c:pt idx="16">
                  <c:v>9</c:v>
                </c:pt>
                <c:pt idx="17">
                  <c:v>8</c:v>
                </c:pt>
                <c:pt idx="18">
                  <c:v>7</c:v>
                </c:pt>
                <c:pt idx="19">
                  <c:v>6</c:v>
                </c:pt>
                <c:pt idx="20">
                  <c:v>5</c:v>
                </c:pt>
                <c:pt idx="21">
                  <c:v>4</c:v>
                </c:pt>
                <c:pt idx="22">
                  <c:v>3</c:v>
                </c:pt>
                <c:pt idx="23">
                  <c:v>2</c:v>
                </c:pt>
                <c:pt idx="24">
                  <c:v>1</c:v>
                </c:pt>
              </c:numCache>
            </c:numRef>
          </c:cat>
          <c:val>
            <c:numRef>
              <c:f>Plant_Performance!$H$4:$H$28</c:f>
              <c:numCache>
                <c:formatCode>0.00</c:formatCode>
                <c:ptCount val="25"/>
                <c:pt idx="0">
                  <c:v>96.900437125772569</c:v>
                </c:pt>
                <c:pt idx="1">
                  <c:v>98.484549246515186</c:v>
                </c:pt>
                <c:pt idx="2">
                  <c:v>98.317210438600824</c:v>
                </c:pt>
                <c:pt idx="3">
                  <c:v>98.04624029301641</c:v>
                </c:pt>
                <c:pt idx="4">
                  <c:v>98.12982023987567</c:v>
                </c:pt>
                <c:pt idx="5">
                  <c:v>98.229109407824183</c:v>
                </c:pt>
                <c:pt idx="6">
                  <c:v>102.28873143679567</c:v>
                </c:pt>
                <c:pt idx="7">
                  <c:v>97.771330778290334</c:v>
                </c:pt>
                <c:pt idx="8">
                  <c:v>100.59794537596451</c:v>
                </c:pt>
                <c:pt idx="9">
                  <c:v>99.559296381642014</c:v>
                </c:pt>
                <c:pt idx="10">
                  <c:v>99.602639853495049</c:v>
                </c:pt>
                <c:pt idx="11">
                  <c:v>98.898973588412275</c:v>
                </c:pt>
                <c:pt idx="12">
                  <c:v>102.28908223880377</c:v>
                </c:pt>
                <c:pt idx="13">
                  <c:v>98.709491731101323</c:v>
                </c:pt>
                <c:pt idx="14">
                  <c:v>99.241352296218579</c:v>
                </c:pt>
                <c:pt idx="15">
                  <c:v>95.685876657783709</c:v>
                </c:pt>
                <c:pt idx="16">
                  <c:v>98.13917925356057</c:v>
                </c:pt>
                <c:pt idx="17">
                  <c:v>96.02073600235579</c:v>
                </c:pt>
                <c:pt idx="18">
                  <c:v>95.250668863645757</c:v>
                </c:pt>
                <c:pt idx="19">
                  <c:v>96.676552428586533</c:v>
                </c:pt>
                <c:pt idx="20">
                  <c:v>98.638897110291779</c:v>
                </c:pt>
                <c:pt idx="21">
                  <c:v>141.71692555270036</c:v>
                </c:pt>
                <c:pt idx="22">
                  <c:v>98.415990498977081</c:v>
                </c:pt>
                <c:pt idx="23">
                  <c:v>98.63216850972114</c:v>
                </c:pt>
                <c:pt idx="24">
                  <c:v>98.998750464354472</c:v>
                </c:pt>
              </c:numCache>
              <c:extLst xmlns:c15="http://schemas.microsoft.com/office/drawing/2012/chart"/>
            </c:numRef>
          </c:val>
          <c:extLst xmlns:c15="http://schemas.microsoft.com/office/drawing/2012/chart">
            <c:ext xmlns:c16="http://schemas.microsoft.com/office/drawing/2014/chart" uri="{C3380CC4-5D6E-409C-BE32-E72D297353CC}">
              <c16:uniqueId val="{00000001-EC9E-4461-A647-358C166035EB}"/>
            </c:ext>
          </c:extLst>
        </c:ser>
        <c:dLbls>
          <c:showLegendKey val="0"/>
          <c:showVal val="0"/>
          <c:showCatName val="0"/>
          <c:showSerName val="0"/>
          <c:showPercent val="0"/>
          <c:showBubbleSize val="0"/>
        </c:dLbls>
        <c:gapWidth val="182"/>
        <c:axId val="428468928"/>
        <c:axId val="2106377104"/>
        <c:extLst/>
      </c:barChart>
      <c:catAx>
        <c:axId val="42846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377104"/>
        <c:crosses val="autoZero"/>
        <c:auto val="1"/>
        <c:lblAlgn val="ctr"/>
        <c:lblOffset val="100"/>
        <c:noMultiLvlLbl val="0"/>
      </c:catAx>
      <c:valAx>
        <c:axId val="21063771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46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[Renewable_Energy_Analytics.xlsx]Montly_Generation_Analysis!PivotTable10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Monthly Energy Generation vs Export.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Montly_Generation_Analysis!$B$2</c:f>
              <c:strCache>
                <c:ptCount val="1"/>
                <c:pt idx="0">
                  <c:v>Sum of Energy_Generated_kWh</c:v>
                </c:pt>
              </c:strCache>
            </c:strRef>
          </c:tx>
          <c:spPr>
            <a:solidFill>
              <a:schemeClr val="accent1"/>
            </a:solidFill>
            <a:ln>
              <a:noFill/>
            </a:ln>
            <a:effectLst/>
          </c:spPr>
          <c:invertIfNegative val="0"/>
          <c:cat>
            <c:strRef>
              <c:f>Montly_Generation_Analysis!$A$3:$A$15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Montly_Generation_Analysis!$B$3:$B$15</c:f>
              <c:numCache>
                <c:formatCode>General</c:formatCode>
                <c:ptCount val="12"/>
                <c:pt idx="0">
                  <c:v>3337916</c:v>
                </c:pt>
                <c:pt idx="1">
                  <c:v>2689152</c:v>
                </c:pt>
                <c:pt idx="2">
                  <c:v>2932734</c:v>
                </c:pt>
                <c:pt idx="3">
                  <c:v>4415663</c:v>
                </c:pt>
                <c:pt idx="4">
                  <c:v>9087361</c:v>
                </c:pt>
                <c:pt idx="5">
                  <c:v>16257131</c:v>
                </c:pt>
                <c:pt idx="6">
                  <c:v>19729007</c:v>
                </c:pt>
                <c:pt idx="7">
                  <c:v>13349445</c:v>
                </c:pt>
                <c:pt idx="8">
                  <c:v>10492025</c:v>
                </c:pt>
                <c:pt idx="9">
                  <c:v>5172699</c:v>
                </c:pt>
                <c:pt idx="10">
                  <c:v>4079834</c:v>
                </c:pt>
                <c:pt idx="11">
                  <c:v>4978078</c:v>
                </c:pt>
              </c:numCache>
            </c:numRef>
          </c:val>
          <c:extLst>
            <c:ext xmlns:c16="http://schemas.microsoft.com/office/drawing/2014/chart" uri="{C3380CC4-5D6E-409C-BE32-E72D297353CC}">
              <c16:uniqueId val="{00000000-03E2-4273-90A2-D2C79397007D}"/>
            </c:ext>
          </c:extLst>
        </c:ser>
        <c:ser>
          <c:idx val="1"/>
          <c:order val="1"/>
          <c:tx>
            <c:strRef>
              <c:f>Montly_Generation_Analysis!$C$2</c:f>
              <c:strCache>
                <c:ptCount val="1"/>
                <c:pt idx="0">
                  <c:v>Sum of Energy_Exported_kWh</c:v>
                </c:pt>
              </c:strCache>
            </c:strRef>
          </c:tx>
          <c:spPr>
            <a:solidFill>
              <a:schemeClr val="accent2"/>
            </a:solidFill>
            <a:ln>
              <a:noFill/>
            </a:ln>
            <a:effectLst/>
          </c:spPr>
          <c:invertIfNegative val="0"/>
          <c:cat>
            <c:strRef>
              <c:f>Montly_Generation_Analysis!$A$3:$A$15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Montly_Generation_Analysis!$C$3:$C$15</c:f>
              <c:numCache>
                <c:formatCode>General</c:formatCode>
                <c:ptCount val="12"/>
                <c:pt idx="0">
                  <c:v>3340908</c:v>
                </c:pt>
                <c:pt idx="1">
                  <c:v>2663306</c:v>
                </c:pt>
                <c:pt idx="2">
                  <c:v>2922268</c:v>
                </c:pt>
                <c:pt idx="3">
                  <c:v>4381983</c:v>
                </c:pt>
                <c:pt idx="4">
                  <c:v>9073742</c:v>
                </c:pt>
                <c:pt idx="5">
                  <c:v>16289880</c:v>
                </c:pt>
                <c:pt idx="6">
                  <c:v>19788820</c:v>
                </c:pt>
                <c:pt idx="7">
                  <c:v>13420828</c:v>
                </c:pt>
                <c:pt idx="8">
                  <c:v>10373158</c:v>
                </c:pt>
                <c:pt idx="9">
                  <c:v>5111076</c:v>
                </c:pt>
                <c:pt idx="10">
                  <c:v>3989093</c:v>
                </c:pt>
                <c:pt idx="11">
                  <c:v>4957820</c:v>
                </c:pt>
              </c:numCache>
            </c:numRef>
          </c:val>
          <c:extLst>
            <c:ext xmlns:c16="http://schemas.microsoft.com/office/drawing/2014/chart" uri="{C3380CC4-5D6E-409C-BE32-E72D297353CC}">
              <c16:uniqueId val="{00000001-03E2-4273-90A2-D2C79397007D}"/>
            </c:ext>
          </c:extLst>
        </c:ser>
        <c:dLbls>
          <c:showLegendKey val="0"/>
          <c:showVal val="0"/>
          <c:showCatName val="0"/>
          <c:showSerName val="0"/>
          <c:showPercent val="0"/>
          <c:showBubbleSize val="0"/>
        </c:dLbls>
        <c:gapWidth val="219"/>
        <c:overlap val="-27"/>
        <c:axId val="2027779695"/>
        <c:axId val="2078948719"/>
      </c:barChart>
      <c:catAx>
        <c:axId val="202777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948719"/>
        <c:crosses val="autoZero"/>
        <c:auto val="1"/>
        <c:lblAlgn val="ctr"/>
        <c:lblOffset val="100"/>
        <c:noMultiLvlLbl val="0"/>
      </c:catAx>
      <c:valAx>
        <c:axId val="207894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7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[Renewable_Energy_Analytics.xlsx]Billing_Analysis!PivotTable4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Plant-wise Billing vs Receivables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Billing_Analysis!$B$3</c:f>
              <c:strCache>
                <c:ptCount val="1"/>
                <c:pt idx="0">
                  <c:v>Sum of Invoice_Amount</c:v>
                </c:pt>
              </c:strCache>
            </c:strRef>
          </c:tx>
          <c:spPr>
            <a:solidFill>
              <a:schemeClr val="accent1"/>
            </a:solidFill>
            <a:ln>
              <a:noFill/>
            </a:ln>
            <a:effectLst/>
          </c:spPr>
          <c:invertIfNegative val="0"/>
          <c:cat>
            <c:strRef>
              <c:f>Billing_Analysis!$A$4:$A$29</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Billing_Analysis!$B$4:$B$29</c:f>
              <c:numCache>
                <c:formatCode>General</c:formatCode>
                <c:ptCount val="25"/>
                <c:pt idx="0">
                  <c:v>9783716</c:v>
                </c:pt>
                <c:pt idx="1">
                  <c:v>4788576</c:v>
                </c:pt>
                <c:pt idx="2">
                  <c:v>21252582</c:v>
                </c:pt>
                <c:pt idx="3">
                  <c:v>14713326</c:v>
                </c:pt>
                <c:pt idx="4">
                  <c:v>7098475</c:v>
                </c:pt>
                <c:pt idx="5">
                  <c:v>7959756</c:v>
                </c:pt>
                <c:pt idx="6">
                  <c:v>11761654</c:v>
                </c:pt>
                <c:pt idx="7">
                  <c:v>23123730</c:v>
                </c:pt>
                <c:pt idx="8">
                  <c:v>11032179</c:v>
                </c:pt>
                <c:pt idx="9">
                  <c:v>18080973</c:v>
                </c:pt>
                <c:pt idx="10">
                  <c:v>6142293</c:v>
                </c:pt>
                <c:pt idx="11">
                  <c:v>10354632</c:v>
                </c:pt>
                <c:pt idx="12">
                  <c:v>9902568</c:v>
                </c:pt>
                <c:pt idx="13">
                  <c:v>8814840</c:v>
                </c:pt>
                <c:pt idx="14">
                  <c:v>9201259</c:v>
                </c:pt>
                <c:pt idx="15">
                  <c:v>9772116</c:v>
                </c:pt>
                <c:pt idx="16">
                  <c:v>12056806</c:v>
                </c:pt>
                <c:pt idx="17">
                  <c:v>4828868</c:v>
                </c:pt>
                <c:pt idx="18">
                  <c:v>10757336</c:v>
                </c:pt>
                <c:pt idx="19">
                  <c:v>4631209</c:v>
                </c:pt>
                <c:pt idx="20">
                  <c:v>4122671</c:v>
                </c:pt>
                <c:pt idx="21">
                  <c:v>8660244</c:v>
                </c:pt>
                <c:pt idx="22">
                  <c:v>10629402</c:v>
                </c:pt>
                <c:pt idx="23">
                  <c:v>9963282</c:v>
                </c:pt>
                <c:pt idx="24">
                  <c:v>91160839</c:v>
                </c:pt>
              </c:numCache>
            </c:numRef>
          </c:val>
          <c:extLst>
            <c:ext xmlns:c16="http://schemas.microsoft.com/office/drawing/2014/chart" uri="{C3380CC4-5D6E-409C-BE32-E72D297353CC}">
              <c16:uniqueId val="{00000000-BFC1-4598-A599-DFF4FD521D02}"/>
            </c:ext>
          </c:extLst>
        </c:ser>
        <c:ser>
          <c:idx val="1"/>
          <c:order val="1"/>
          <c:tx>
            <c:strRef>
              <c:f>Billing_Analysis!$C$3</c:f>
              <c:strCache>
                <c:ptCount val="1"/>
                <c:pt idx="0">
                  <c:v>Sum of Amount_Receivable</c:v>
                </c:pt>
              </c:strCache>
            </c:strRef>
          </c:tx>
          <c:spPr>
            <a:solidFill>
              <a:schemeClr val="accent2"/>
            </a:solidFill>
            <a:ln>
              <a:noFill/>
            </a:ln>
            <a:effectLst/>
          </c:spPr>
          <c:invertIfNegative val="0"/>
          <c:cat>
            <c:strRef>
              <c:f>Billing_Analysis!$A$4:$A$29</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Billing_Analysis!$C$4:$C$29</c:f>
              <c:numCache>
                <c:formatCode>General</c:formatCode>
                <c:ptCount val="25"/>
                <c:pt idx="0">
                  <c:v>9773931</c:v>
                </c:pt>
                <c:pt idx="1">
                  <c:v>4783787</c:v>
                </c:pt>
                <c:pt idx="2">
                  <c:v>21231329</c:v>
                </c:pt>
                <c:pt idx="3">
                  <c:v>14698612</c:v>
                </c:pt>
                <c:pt idx="4">
                  <c:v>7091377</c:v>
                </c:pt>
                <c:pt idx="5">
                  <c:v>7951795</c:v>
                </c:pt>
                <c:pt idx="6">
                  <c:v>11749894</c:v>
                </c:pt>
                <c:pt idx="7">
                  <c:v>23100605</c:v>
                </c:pt>
                <c:pt idx="8">
                  <c:v>11021147</c:v>
                </c:pt>
                <c:pt idx="9">
                  <c:v>18062890</c:v>
                </c:pt>
                <c:pt idx="10">
                  <c:v>6136150</c:v>
                </c:pt>
                <c:pt idx="11">
                  <c:v>10344277</c:v>
                </c:pt>
                <c:pt idx="12">
                  <c:v>9892664</c:v>
                </c:pt>
                <c:pt idx="13">
                  <c:v>8806026</c:v>
                </c:pt>
                <c:pt idx="14">
                  <c:v>9192060</c:v>
                </c:pt>
                <c:pt idx="15">
                  <c:v>9762343</c:v>
                </c:pt>
                <c:pt idx="16">
                  <c:v>12044749</c:v>
                </c:pt>
                <c:pt idx="17">
                  <c:v>4824039</c:v>
                </c:pt>
                <c:pt idx="18">
                  <c:v>10746578</c:v>
                </c:pt>
                <c:pt idx="19">
                  <c:v>4626580</c:v>
                </c:pt>
                <c:pt idx="20">
                  <c:v>4118551</c:v>
                </c:pt>
                <c:pt idx="21">
                  <c:v>8651585</c:v>
                </c:pt>
                <c:pt idx="22">
                  <c:v>10618773</c:v>
                </c:pt>
                <c:pt idx="23">
                  <c:v>9953318</c:v>
                </c:pt>
                <c:pt idx="24">
                  <c:v>91069679</c:v>
                </c:pt>
              </c:numCache>
            </c:numRef>
          </c:val>
          <c:extLst>
            <c:ext xmlns:c16="http://schemas.microsoft.com/office/drawing/2014/chart" uri="{C3380CC4-5D6E-409C-BE32-E72D297353CC}">
              <c16:uniqueId val="{00000001-BFC1-4598-A599-DFF4FD521D02}"/>
            </c:ext>
          </c:extLst>
        </c:ser>
        <c:dLbls>
          <c:showLegendKey val="0"/>
          <c:showVal val="0"/>
          <c:showCatName val="0"/>
          <c:showSerName val="0"/>
          <c:showPercent val="0"/>
          <c:showBubbleSize val="0"/>
        </c:dLbls>
        <c:gapWidth val="182"/>
        <c:axId val="2002645887"/>
        <c:axId val="2078926639"/>
      </c:barChart>
      <c:catAx>
        <c:axId val="2002645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926639"/>
        <c:crosses val="autoZero"/>
        <c:auto val="1"/>
        <c:lblAlgn val="ctr"/>
        <c:lblOffset val="100"/>
        <c:noMultiLvlLbl val="0"/>
      </c:catAx>
      <c:valAx>
        <c:axId val="2078926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64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[Renewable_Energy_Analytics.xlsx]Billing_Analysis!PivotTable5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Invoice Status Distribution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Billing_Analysis!$B$33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Billing_Analysis!$A$34:$A$36</c:f>
              <c:strCache>
                <c:ptCount val="2"/>
                <c:pt idx="0">
                  <c:v>Paid</c:v>
                </c:pt>
                <c:pt idx="1">
                  <c:v>Unpaid</c:v>
                </c:pt>
              </c:strCache>
            </c:strRef>
          </c:cat>
          <c:val>
            <c:numRef>
              <c:f>Billing_Analysis!$B$34:$B$36</c:f>
              <c:numCache>
                <c:formatCode>General</c:formatCode>
                <c:ptCount val="2"/>
                <c:pt idx="0">
                  <c:v>220</c:v>
                </c:pt>
                <c:pt idx="1">
                  <c:v>80</c:v>
                </c:pt>
              </c:numCache>
            </c:numRef>
          </c:val>
          <c:extLst>
            <c:ext xmlns:c16="http://schemas.microsoft.com/office/drawing/2014/chart" uri="{C3380CC4-5D6E-409C-BE32-E72D297353CC}">
              <c16:uniqueId val="{00000000-1C82-4D7E-ABE3-CF44860FC33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[Renewable_Energy_Analytics.xlsx]Billing_Analysis!PivotTable9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Monthly Invoice Amount</a:t>
            </a:r>
            <a:r>
              <a:rPr lang="en-IN" sz="1400" b="0" i="0" u="none" strike="noStrike" baseline="0">
                <a:solidFill>
                  <a:sysClr val="windowText" lastClr="000000"/>
                </a:solidFill>
              </a:rPr>
              <a:t>.</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Billing_Analysis!$P$3</c:f>
              <c:strCache>
                <c:ptCount val="1"/>
                <c:pt idx="0">
                  <c:v>Total</c:v>
                </c:pt>
              </c:strCache>
            </c:strRef>
          </c:tx>
          <c:spPr>
            <a:solidFill>
              <a:schemeClr val="accent1"/>
            </a:solidFill>
            <a:ln>
              <a:noFill/>
            </a:ln>
            <a:effectLst/>
          </c:spPr>
          <c:invertIfNegative val="0"/>
          <c:cat>
            <c:strRef>
              <c:f>Billing_Analysis!$O$4:$O$16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Billing_Analysis!$P$4:$P$16</c:f>
              <c:numCache>
                <c:formatCode>General</c:formatCode>
                <c:ptCount val="12"/>
                <c:pt idx="0">
                  <c:v>11872245</c:v>
                </c:pt>
                <c:pt idx="1">
                  <c:v>9592239</c:v>
                </c:pt>
                <c:pt idx="2">
                  <c:v>10650298</c:v>
                </c:pt>
                <c:pt idx="3">
                  <c:v>16341495</c:v>
                </c:pt>
                <c:pt idx="4">
                  <c:v>32328981</c:v>
                </c:pt>
                <c:pt idx="5">
                  <c:v>56673509</c:v>
                </c:pt>
                <c:pt idx="6">
                  <c:v>68987506</c:v>
                </c:pt>
                <c:pt idx="7">
                  <c:v>47568275</c:v>
                </c:pt>
                <c:pt idx="8">
                  <c:v>37047318</c:v>
                </c:pt>
                <c:pt idx="9">
                  <c:v>18517366</c:v>
                </c:pt>
                <c:pt idx="10">
                  <c:v>14083116</c:v>
                </c:pt>
                <c:pt idx="11">
                  <c:v>16930984</c:v>
                </c:pt>
              </c:numCache>
            </c:numRef>
          </c:val>
          <c:extLst>
            <c:ext xmlns:c16="http://schemas.microsoft.com/office/drawing/2014/chart" uri="{C3380CC4-5D6E-409C-BE32-E72D297353CC}">
              <c16:uniqueId val="{00000000-DB92-44CE-85F9-5AA8D8A489B2}"/>
            </c:ext>
          </c:extLst>
        </c:ser>
        <c:dLbls>
          <c:showLegendKey val="0"/>
          <c:showVal val="0"/>
          <c:showCatName val="0"/>
          <c:showSerName val="0"/>
          <c:showPercent val="0"/>
          <c:showBubbleSize val="0"/>
        </c:dLbls>
        <c:gapWidth val="219"/>
        <c:overlap val="-27"/>
        <c:axId val="1084624719"/>
        <c:axId val="2078947759"/>
      </c:barChart>
      <c:catAx>
        <c:axId val="108462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947759"/>
        <c:crosses val="autoZero"/>
        <c:auto val="1"/>
        <c:lblAlgn val="ctr"/>
        <c:lblOffset val="100"/>
        <c:noMultiLvlLbl val="0"/>
      </c:catAx>
      <c:valAx>
        <c:axId val="207894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62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[Renewable_Energy_Analytics.xlsx]Receivable_Analysis!PivotTable6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Monthly Receivables vs Collection</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Receivable_Analysis!$B$2</c:f>
              <c:strCache>
                <c:ptCount val="1"/>
                <c:pt idx="0">
                  <c:v>Sum of Amount_Receivable</c:v>
                </c:pt>
              </c:strCache>
            </c:strRef>
          </c:tx>
          <c:spPr>
            <a:solidFill>
              <a:schemeClr val="accent1"/>
            </a:solidFill>
            <a:ln>
              <a:noFill/>
            </a:ln>
            <a:effectLst/>
          </c:spPr>
          <c:invertIfNegative val="0"/>
          <c:cat>
            <c:multiLvlStrRef>
              <c:f>Receivable_Analysis!$A$3:$A$28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Qtr1</c:v>
                  </c:pt>
                  <c:pt idx="3">
                    <c:v>Qtr2</c:v>
                  </c:pt>
                  <c:pt idx="6">
                    <c:v>Qtr3</c:v>
                  </c:pt>
                  <c:pt idx="9">
                    <c:v>Qtr4</c:v>
                  </c:pt>
                  <c:pt idx="12">
                    <c:v>Qtr1</c:v>
                  </c:pt>
                  <c:pt idx="15">
                    <c:v>Qtr2</c:v>
                  </c:pt>
                </c:lvl>
                <c:lvl>
                  <c:pt idx="0">
                    <c:v>2025</c:v>
                  </c:pt>
                  <c:pt idx="12">
                    <c:v>2026</c:v>
                  </c:pt>
                </c:lvl>
              </c:multiLvlStrCache>
            </c:multiLvlStrRef>
          </c:cat>
          <c:val>
            <c:numRef>
              <c:f>Receivable_Analysis!$B$3:$B$28</c:f>
              <c:numCache>
                <c:formatCode>General</c:formatCode>
                <c:ptCount val="17"/>
                <c:pt idx="0">
                  <c:v>536067</c:v>
                </c:pt>
                <c:pt idx="1">
                  <c:v>220294</c:v>
                </c:pt>
                <c:pt idx="2">
                  <c:v>430314</c:v>
                </c:pt>
                <c:pt idx="3">
                  <c:v>9298085</c:v>
                </c:pt>
                <c:pt idx="4">
                  <c:v>20573027</c:v>
                </c:pt>
                <c:pt idx="5">
                  <c:v>48590350</c:v>
                </c:pt>
                <c:pt idx="6">
                  <c:v>61658739</c:v>
                </c:pt>
                <c:pt idx="7">
                  <c:v>46195812</c:v>
                </c:pt>
                <c:pt idx="8">
                  <c:v>47783788</c:v>
                </c:pt>
                <c:pt idx="9">
                  <c:v>22843836</c:v>
                </c:pt>
                <c:pt idx="10">
                  <c:v>18076858</c:v>
                </c:pt>
                <c:pt idx="11">
                  <c:v>16898559</c:v>
                </c:pt>
                <c:pt idx="12">
                  <c:v>9621095</c:v>
                </c:pt>
                <c:pt idx="13">
                  <c:v>8158831</c:v>
                </c:pt>
                <c:pt idx="14">
                  <c:v>20250596</c:v>
                </c:pt>
                <c:pt idx="15">
                  <c:v>8335788</c:v>
                </c:pt>
                <c:pt idx="16">
                  <c:v>780700</c:v>
                </c:pt>
              </c:numCache>
            </c:numRef>
          </c:val>
          <c:extLst>
            <c:ext xmlns:c16="http://schemas.microsoft.com/office/drawing/2014/chart" uri="{C3380CC4-5D6E-409C-BE32-E72D297353CC}">
              <c16:uniqueId val="{00000000-79FF-40CE-AF0E-D3B83E55ABF3}"/>
            </c:ext>
          </c:extLst>
        </c:ser>
        <c:ser>
          <c:idx val="1"/>
          <c:order val="1"/>
          <c:tx>
            <c:strRef>
              <c:f>Receivable_Analysis!$C$2</c:f>
              <c:strCache>
                <c:ptCount val="1"/>
                <c:pt idx="0">
                  <c:v>Sum of Amount_Received</c:v>
                </c:pt>
              </c:strCache>
            </c:strRef>
          </c:tx>
          <c:spPr>
            <a:solidFill>
              <a:schemeClr val="accent2"/>
            </a:solidFill>
            <a:ln>
              <a:noFill/>
            </a:ln>
            <a:effectLst/>
          </c:spPr>
          <c:invertIfNegative val="0"/>
          <c:cat>
            <c:multiLvlStrRef>
              <c:f>Receivable_Analysis!$A$3:$A$28</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Qtr1</c:v>
                  </c:pt>
                  <c:pt idx="3">
                    <c:v>Qtr2</c:v>
                  </c:pt>
                  <c:pt idx="6">
                    <c:v>Qtr3</c:v>
                  </c:pt>
                  <c:pt idx="9">
                    <c:v>Qtr4</c:v>
                  </c:pt>
                  <c:pt idx="12">
                    <c:v>Qtr1</c:v>
                  </c:pt>
                  <c:pt idx="15">
                    <c:v>Qtr2</c:v>
                  </c:pt>
                </c:lvl>
                <c:lvl>
                  <c:pt idx="0">
                    <c:v>2025</c:v>
                  </c:pt>
                  <c:pt idx="12">
                    <c:v>2026</c:v>
                  </c:pt>
                </c:lvl>
              </c:multiLvlStrCache>
            </c:multiLvlStrRef>
          </c:cat>
          <c:val>
            <c:numRef>
              <c:f>Receivable_Analysis!$C$3:$C$28</c:f>
              <c:numCache>
                <c:formatCode>General</c:formatCode>
                <c:ptCount val="17"/>
                <c:pt idx="0">
                  <c:v>361326</c:v>
                </c:pt>
                <c:pt idx="1">
                  <c:v>220292</c:v>
                </c:pt>
                <c:pt idx="2">
                  <c:v>283551</c:v>
                </c:pt>
                <c:pt idx="3">
                  <c:v>9298067</c:v>
                </c:pt>
                <c:pt idx="4">
                  <c:v>20573038</c:v>
                </c:pt>
                <c:pt idx="5">
                  <c:v>48590342</c:v>
                </c:pt>
                <c:pt idx="6">
                  <c:v>61658739</c:v>
                </c:pt>
                <c:pt idx="7">
                  <c:v>26907547</c:v>
                </c:pt>
                <c:pt idx="8">
                  <c:v>24539756</c:v>
                </c:pt>
                <c:pt idx="9">
                  <c:v>14303422</c:v>
                </c:pt>
                <c:pt idx="10">
                  <c:v>10361982</c:v>
                </c:pt>
                <c:pt idx="11">
                  <c:v>6616093</c:v>
                </c:pt>
                <c:pt idx="12">
                  <c:v>2900877</c:v>
                </c:pt>
                <c:pt idx="13">
                  <c:v>3095143</c:v>
                </c:pt>
                <c:pt idx="14">
                  <c:v>13246735</c:v>
                </c:pt>
                <c:pt idx="15">
                  <c:v>8218440</c:v>
                </c:pt>
                <c:pt idx="16">
                  <c:v>780695</c:v>
                </c:pt>
              </c:numCache>
            </c:numRef>
          </c:val>
          <c:extLst>
            <c:ext xmlns:c16="http://schemas.microsoft.com/office/drawing/2014/chart" uri="{C3380CC4-5D6E-409C-BE32-E72D297353CC}">
              <c16:uniqueId val="{00000001-79FF-40CE-AF0E-D3B83E55ABF3}"/>
            </c:ext>
          </c:extLst>
        </c:ser>
        <c:dLbls>
          <c:showLegendKey val="0"/>
          <c:showVal val="0"/>
          <c:showCatName val="0"/>
          <c:showSerName val="0"/>
          <c:showPercent val="0"/>
          <c:showBubbleSize val="0"/>
        </c:dLbls>
        <c:gapWidth val="219"/>
        <c:overlap val="-27"/>
        <c:axId val="2002557263"/>
        <c:axId val="2078927599"/>
      </c:barChart>
      <c:catAx>
        <c:axId val="200255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927599"/>
        <c:crosses val="autoZero"/>
        <c:auto val="1"/>
        <c:lblAlgn val="ctr"/>
        <c:lblOffset val="100"/>
        <c:noMultiLvlLbl val="0"/>
      </c:catAx>
      <c:valAx>
        <c:axId val="207892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55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[Renewable_Energy_Analytics.xlsx]Receivable_Analysis!PivotTable7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Outstanding Receivables by Plant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Receivable_Analysis!$B$32</c:f>
              <c:strCache>
                <c:ptCount val="1"/>
                <c:pt idx="0">
                  <c:v>Total</c:v>
                </c:pt>
              </c:strCache>
            </c:strRef>
          </c:tx>
          <c:spPr>
            <a:solidFill>
              <a:schemeClr val="accent1"/>
            </a:solidFill>
            <a:ln>
              <a:noFill/>
            </a:ln>
            <a:effectLst/>
          </c:spPr>
          <c:invertIfNegative val="0"/>
          <c:cat>
            <c:strRef>
              <c:f>Receivable_Analysis!$A$33:$A$58</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Receivable_Analysis!$B$33:$B$58</c:f>
              <c:numCache>
                <c:formatCode>General</c:formatCode>
                <c:ptCount val="25"/>
                <c:pt idx="0">
                  <c:v>-1</c:v>
                </c:pt>
                <c:pt idx="1">
                  <c:v>933368</c:v>
                </c:pt>
                <c:pt idx="2">
                  <c:v>5905626</c:v>
                </c:pt>
                <c:pt idx="3">
                  <c:v>18</c:v>
                </c:pt>
                <c:pt idx="4">
                  <c:v>1696539</c:v>
                </c:pt>
                <c:pt idx="5">
                  <c:v>2961931</c:v>
                </c:pt>
                <c:pt idx="6">
                  <c:v>-4</c:v>
                </c:pt>
                <c:pt idx="7">
                  <c:v>6236470</c:v>
                </c:pt>
                <c:pt idx="8">
                  <c:v>3964007</c:v>
                </c:pt>
                <c:pt idx="9">
                  <c:v>4201851</c:v>
                </c:pt>
                <c:pt idx="10">
                  <c:v>1549850</c:v>
                </c:pt>
                <c:pt idx="11">
                  <c:v>4923713</c:v>
                </c:pt>
                <c:pt idx="12">
                  <c:v>-4</c:v>
                </c:pt>
                <c:pt idx="13">
                  <c:v>1757124</c:v>
                </c:pt>
                <c:pt idx="14">
                  <c:v>2007661</c:v>
                </c:pt>
                <c:pt idx="15">
                  <c:v>-6</c:v>
                </c:pt>
                <c:pt idx="16">
                  <c:v>2335971</c:v>
                </c:pt>
                <c:pt idx="17">
                  <c:v>2601655</c:v>
                </c:pt>
                <c:pt idx="18">
                  <c:v>13</c:v>
                </c:pt>
                <c:pt idx="19">
                  <c:v>820405</c:v>
                </c:pt>
                <c:pt idx="20">
                  <c:v>871638</c:v>
                </c:pt>
                <c:pt idx="21">
                  <c:v>1336604</c:v>
                </c:pt>
                <c:pt idx="22">
                  <c:v>2434639</c:v>
                </c:pt>
                <c:pt idx="23">
                  <c:v>0</c:v>
                </c:pt>
                <c:pt idx="24">
                  <c:v>41757626</c:v>
                </c:pt>
              </c:numCache>
            </c:numRef>
          </c:val>
          <c:extLst>
            <c:ext xmlns:c16="http://schemas.microsoft.com/office/drawing/2014/chart" uri="{C3380CC4-5D6E-409C-BE32-E72D297353CC}">
              <c16:uniqueId val="{00000000-8258-468C-9717-3BEE9F29E743}"/>
            </c:ext>
          </c:extLst>
        </c:ser>
        <c:dLbls>
          <c:showLegendKey val="0"/>
          <c:showVal val="0"/>
          <c:showCatName val="0"/>
          <c:showSerName val="0"/>
          <c:showPercent val="0"/>
          <c:showBubbleSize val="0"/>
        </c:dLbls>
        <c:gapWidth val="182"/>
        <c:axId val="22845311"/>
        <c:axId val="2079030319"/>
      </c:barChart>
      <c:catAx>
        <c:axId val="22845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030319"/>
        <c:crosses val="autoZero"/>
        <c:auto val="1"/>
        <c:lblAlgn val="ctr"/>
        <c:lblOffset val="100"/>
        <c:noMultiLvlLbl val="0"/>
      </c:catAx>
      <c:valAx>
        <c:axId val="207903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4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[Renewable_Energy_Analytics.xlsx]TL_Analysis!PivotTable1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Plant-wise Transmission Loss Units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1522309711286E-2"/>
          <c:y val="0.15899752114319043"/>
          <c:w val="0.65043175853018376"/>
          <c:h val="0.73397346165062705"/>
        </c:manualLayout>
      </c:layout>
      <c:barChart>
        <c:barDir val="bar"/>
        <c:grouping val="clustered"/>
        <c:varyColors val="0"/>
        <c:ser>
          <c:idx val="0"/>
          <c:order val="0"/>
          <c:tx>
            <c:strRef>
              <c:f>TL_Analysis!$B$3</c:f>
              <c:strCache>
                <c:ptCount val="1"/>
                <c:pt idx="0">
                  <c:v>Total</c:v>
                </c:pt>
              </c:strCache>
            </c:strRef>
          </c:tx>
          <c:spPr>
            <a:solidFill>
              <a:schemeClr val="accent1"/>
            </a:solidFill>
            <a:ln>
              <a:noFill/>
            </a:ln>
            <a:effectLst/>
          </c:spPr>
          <c:invertIfNegative val="0"/>
          <c:cat>
            <c:strRef>
              <c:f>TL_Analysis!$A$4:$A$29</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TL_Analysis!$B$4:$B$29</c:f>
              <c:numCache>
                <c:formatCode>General</c:formatCode>
                <c:ptCount val="25"/>
                <c:pt idx="0">
                  <c:v>37060</c:v>
                </c:pt>
                <c:pt idx="1">
                  <c:v>16602</c:v>
                </c:pt>
                <c:pt idx="2">
                  <c:v>87708</c:v>
                </c:pt>
                <c:pt idx="3">
                  <c:v>-1604123</c:v>
                </c:pt>
                <c:pt idx="4">
                  <c:v>33893</c:v>
                </c:pt>
                <c:pt idx="5">
                  <c:v>94356</c:v>
                </c:pt>
                <c:pt idx="6">
                  <c:v>202225</c:v>
                </c:pt>
                <c:pt idx="7">
                  <c:v>358909</c:v>
                </c:pt>
                <c:pt idx="8">
                  <c:v>61524</c:v>
                </c:pt>
                <c:pt idx="9">
                  <c:v>305320</c:v>
                </c:pt>
                <c:pt idx="10">
                  <c:v>17586</c:v>
                </c:pt>
                <c:pt idx="11">
                  <c:v>39816</c:v>
                </c:pt>
                <c:pt idx="12">
                  <c:v>-65178</c:v>
                </c:pt>
                <c:pt idx="13">
                  <c:v>28863</c:v>
                </c:pt>
                <c:pt idx="14">
                  <c:v>13800</c:v>
                </c:pt>
                <c:pt idx="15">
                  <c:v>16021</c:v>
                </c:pt>
                <c:pt idx="16">
                  <c:v>-21140</c:v>
                </c:pt>
                <c:pt idx="17">
                  <c:v>50033</c:v>
                </c:pt>
                <c:pt idx="18">
                  <c:v>-109408</c:v>
                </c:pt>
                <c:pt idx="19">
                  <c:v>37951</c:v>
                </c:pt>
                <c:pt idx="20">
                  <c:v>35714</c:v>
                </c:pt>
                <c:pt idx="21">
                  <c:v>28762</c:v>
                </c:pt>
                <c:pt idx="22">
                  <c:v>30322</c:v>
                </c:pt>
                <c:pt idx="23">
                  <c:v>25552</c:v>
                </c:pt>
                <c:pt idx="24">
                  <c:v>485995</c:v>
                </c:pt>
              </c:numCache>
            </c:numRef>
          </c:val>
          <c:extLst>
            <c:ext xmlns:c16="http://schemas.microsoft.com/office/drawing/2014/chart" uri="{C3380CC4-5D6E-409C-BE32-E72D297353CC}">
              <c16:uniqueId val="{00000000-6A14-4613-A621-299558C13FF9}"/>
            </c:ext>
          </c:extLst>
        </c:ser>
        <c:dLbls>
          <c:showLegendKey val="0"/>
          <c:showVal val="0"/>
          <c:showCatName val="0"/>
          <c:showSerName val="0"/>
          <c:showPercent val="0"/>
          <c:showBubbleSize val="0"/>
        </c:dLbls>
        <c:gapWidth val="182"/>
        <c:axId val="1084608943"/>
        <c:axId val="1069595279"/>
      </c:barChart>
      <c:catAx>
        <c:axId val="1084608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95279"/>
        <c:crosses val="autoZero"/>
        <c:auto val="1"/>
        <c:lblAlgn val="ctr"/>
        <c:lblOffset val="100"/>
        <c:noMultiLvlLbl val="0"/>
      </c:catAx>
      <c:valAx>
        <c:axId val="1069595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60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[Renewable_Energy_Analytics.xlsx]TL_Analysis!PivotTable2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Average Transmission Loss (%) by Plant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TL_Analysis!$B$32</c:f>
              <c:strCache>
                <c:ptCount val="1"/>
                <c:pt idx="0">
                  <c:v>Total</c:v>
                </c:pt>
              </c:strCache>
            </c:strRef>
          </c:tx>
          <c:spPr>
            <a:solidFill>
              <a:schemeClr val="accent1"/>
            </a:solidFill>
            <a:ln>
              <a:noFill/>
            </a:ln>
            <a:effectLst/>
          </c:spPr>
          <c:invertIfNegative val="0"/>
          <c:cat>
            <c:strRef>
              <c:f>TL_Analysis!$A$33:$A$58</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TL_Analysis!$B$33:$B$58</c:f>
              <c:numCache>
                <c:formatCode>0.00%</c:formatCode>
                <c:ptCount val="25"/>
                <c:pt idx="0">
                  <c:v>1.6574999999999999E-2</c:v>
                </c:pt>
                <c:pt idx="1">
                  <c:v>1.2025000000000001E-2</c:v>
                </c:pt>
                <c:pt idx="2">
                  <c:v>1.41E-2</c:v>
                </c:pt>
                <c:pt idx="3">
                  <c:v>-0.64580833333333343</c:v>
                </c:pt>
                <c:pt idx="4">
                  <c:v>1.4650000000000002E-2</c:v>
                </c:pt>
                <c:pt idx="5">
                  <c:v>4.5616666666666666E-2</c:v>
                </c:pt>
                <c:pt idx="6">
                  <c:v>4.99E-2</c:v>
                </c:pt>
                <c:pt idx="7">
                  <c:v>4.1924999999999997E-2</c:v>
                </c:pt>
                <c:pt idx="8">
                  <c:v>1.8891666666666668E-2</c:v>
                </c:pt>
                <c:pt idx="9">
                  <c:v>5.6783333333333325E-2</c:v>
                </c:pt>
                <c:pt idx="10">
                  <c:v>8.6500000000000014E-3</c:v>
                </c:pt>
                <c:pt idx="11">
                  <c:v>1.4100000000000001E-2</c:v>
                </c:pt>
                <c:pt idx="12">
                  <c:v>-4.1958333333333341E-2</c:v>
                </c:pt>
                <c:pt idx="13">
                  <c:v>1.2749999999999999E-2</c:v>
                </c:pt>
                <c:pt idx="14">
                  <c:v>2.2541666666666668E-2</c:v>
                </c:pt>
                <c:pt idx="15">
                  <c:v>2.1408333333333335E-2</c:v>
                </c:pt>
                <c:pt idx="16">
                  <c:v>1.2200000000000003E-2</c:v>
                </c:pt>
                <c:pt idx="17">
                  <c:v>2.6524999999999996E-2</c:v>
                </c:pt>
                <c:pt idx="18">
                  <c:v>-3.1933333333333334E-2</c:v>
                </c:pt>
                <c:pt idx="19">
                  <c:v>1.9191666666666666E-2</c:v>
                </c:pt>
                <c:pt idx="20">
                  <c:v>2.8349999999999997E-2</c:v>
                </c:pt>
                <c:pt idx="21">
                  <c:v>2.355833333333333E-2</c:v>
                </c:pt>
                <c:pt idx="22">
                  <c:v>1.9925000000000002E-2</c:v>
                </c:pt>
                <c:pt idx="23">
                  <c:v>1.495E-2</c:v>
                </c:pt>
                <c:pt idx="24">
                  <c:v>3.6824999999999997E-2</c:v>
                </c:pt>
              </c:numCache>
            </c:numRef>
          </c:val>
          <c:extLst>
            <c:ext xmlns:c16="http://schemas.microsoft.com/office/drawing/2014/chart" uri="{C3380CC4-5D6E-409C-BE32-E72D297353CC}">
              <c16:uniqueId val="{00000000-CAED-43E7-94DB-46E7ED3A8192}"/>
            </c:ext>
          </c:extLst>
        </c:ser>
        <c:dLbls>
          <c:showLegendKey val="0"/>
          <c:showVal val="0"/>
          <c:showCatName val="0"/>
          <c:showSerName val="0"/>
          <c:showPercent val="0"/>
          <c:showBubbleSize val="0"/>
        </c:dLbls>
        <c:gapWidth val="182"/>
        <c:axId val="1084534703"/>
        <c:axId val="688800207"/>
      </c:barChart>
      <c:catAx>
        <c:axId val="108453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800207"/>
        <c:crosses val="autoZero"/>
        <c:auto val="1"/>
        <c:lblAlgn val="ctr"/>
        <c:lblOffset val="100"/>
        <c:noMultiLvlLbl val="0"/>
      </c:catAx>
      <c:valAx>
        <c:axId val="6888002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53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[Renewable_Energy_Analytics.xlsx]RKVAH_Analysis!PivotTable3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Plant-wise RKVAH Import &amp; Loss Analysis.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RKVAH_Analysis!$B$3</c:f>
              <c:strCache>
                <c:ptCount val="1"/>
                <c:pt idx="0">
                  <c:v>Sum of RKVAH_Import</c:v>
                </c:pt>
              </c:strCache>
            </c:strRef>
          </c:tx>
          <c:spPr>
            <a:solidFill>
              <a:schemeClr val="accent1"/>
            </a:solidFill>
            <a:ln>
              <a:noFill/>
            </a:ln>
            <a:effectLst/>
          </c:spPr>
          <c:invertIfNegative val="0"/>
          <c:cat>
            <c:strRef>
              <c:f>RKVAH_Analysis!$A$4:$A$29</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RKVAH_Analysis!$B$4:$B$29</c:f>
              <c:numCache>
                <c:formatCode>0.00;[Red]0.00</c:formatCode>
                <c:ptCount val="25"/>
                <c:pt idx="0">
                  <c:v>176608</c:v>
                </c:pt>
                <c:pt idx="1">
                  <c:v>9630</c:v>
                </c:pt>
                <c:pt idx="2">
                  <c:v>330</c:v>
                </c:pt>
                <c:pt idx="3">
                  <c:v>200373</c:v>
                </c:pt>
                <c:pt idx="4">
                  <c:v>79860</c:v>
                </c:pt>
                <c:pt idx="5">
                  <c:v>29407</c:v>
                </c:pt>
                <c:pt idx="6">
                  <c:v>24289</c:v>
                </c:pt>
                <c:pt idx="7">
                  <c:v>1093329</c:v>
                </c:pt>
                <c:pt idx="8">
                  <c:v>41100</c:v>
                </c:pt>
                <c:pt idx="9">
                  <c:v>835</c:v>
                </c:pt>
                <c:pt idx="10">
                  <c:v>1468</c:v>
                </c:pt>
                <c:pt idx="11">
                  <c:v>31779</c:v>
                </c:pt>
                <c:pt idx="12">
                  <c:v>360</c:v>
                </c:pt>
                <c:pt idx="13">
                  <c:v>480</c:v>
                </c:pt>
                <c:pt idx="14">
                  <c:v>1468</c:v>
                </c:pt>
                <c:pt idx="15">
                  <c:v>51634</c:v>
                </c:pt>
                <c:pt idx="16">
                  <c:v>13956</c:v>
                </c:pt>
                <c:pt idx="17">
                  <c:v>10512</c:v>
                </c:pt>
                <c:pt idx="18">
                  <c:v>13426</c:v>
                </c:pt>
                <c:pt idx="19">
                  <c:v>30911</c:v>
                </c:pt>
                <c:pt idx="20">
                  <c:v>49739</c:v>
                </c:pt>
                <c:pt idx="21">
                  <c:v>20251</c:v>
                </c:pt>
                <c:pt idx="22">
                  <c:v>20251</c:v>
                </c:pt>
                <c:pt idx="23">
                  <c:v>20251</c:v>
                </c:pt>
                <c:pt idx="24">
                  <c:v>20251</c:v>
                </c:pt>
              </c:numCache>
            </c:numRef>
          </c:val>
          <c:extLst>
            <c:ext xmlns:c16="http://schemas.microsoft.com/office/drawing/2014/chart" uri="{C3380CC4-5D6E-409C-BE32-E72D297353CC}">
              <c16:uniqueId val="{00000000-7212-484C-98DB-2E82C4BE15E8}"/>
            </c:ext>
          </c:extLst>
        </c:ser>
        <c:ser>
          <c:idx val="1"/>
          <c:order val="1"/>
          <c:tx>
            <c:strRef>
              <c:f>RKVAH_Analysis!$C$3</c:f>
              <c:strCache>
                <c:ptCount val="1"/>
                <c:pt idx="0">
                  <c:v>Average of RKVAH_Loss_Percentage</c:v>
                </c:pt>
              </c:strCache>
            </c:strRef>
          </c:tx>
          <c:spPr>
            <a:solidFill>
              <a:schemeClr val="accent2"/>
            </a:solidFill>
            <a:ln>
              <a:noFill/>
            </a:ln>
            <a:effectLst/>
          </c:spPr>
          <c:invertIfNegative val="0"/>
          <c:cat>
            <c:strRef>
              <c:f>RKVAH_Analysis!$A$4:$A$29</c:f>
              <c:strCach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strCache>
            </c:strRef>
          </c:cat>
          <c:val>
            <c:numRef>
              <c:f>RKVAH_Analysis!$C$4:$C$29</c:f>
              <c:numCache>
                <c:formatCode>0.00%</c:formatCode>
                <c:ptCount val="25"/>
                <c:pt idx="0">
                  <c:v>0.11516666666666668</c:v>
                </c:pt>
                <c:pt idx="1">
                  <c:v>1.7916666666666668E-2</c:v>
                </c:pt>
                <c:pt idx="2">
                  <c:v>1.6666666666666666E-4</c:v>
                </c:pt>
                <c:pt idx="3">
                  <c:v>3.0666666666666675E-2</c:v>
                </c:pt>
                <c:pt idx="4">
                  <c:v>5.7749999999999996E-2</c:v>
                </c:pt>
                <c:pt idx="5">
                  <c:v>2.6083333333333337E-2</c:v>
                </c:pt>
                <c:pt idx="6">
                  <c:v>9.8333333333333328E-3</c:v>
                </c:pt>
                <c:pt idx="7">
                  <c:v>0.13091666666666668</c:v>
                </c:pt>
                <c:pt idx="8">
                  <c:v>2.5333333333333336E-2</c:v>
                </c:pt>
                <c:pt idx="9">
                  <c:v>8.3333333333333331E-5</c:v>
                </c:pt>
                <c:pt idx="10">
                  <c:v>6.6666666666666664E-4</c:v>
                </c:pt>
                <c:pt idx="11">
                  <c:v>1.8666666666666668E-2</c:v>
                </c:pt>
                <c:pt idx="12">
                  <c:v>3.3333333333333332E-4</c:v>
                </c:pt>
                <c:pt idx="13">
                  <c:v>4.1666666666666669E-4</c:v>
                </c:pt>
                <c:pt idx="14">
                  <c:v>4.1666666666666669E-4</c:v>
                </c:pt>
                <c:pt idx="15">
                  <c:v>6.4750000000000016E-2</c:v>
                </c:pt>
                <c:pt idx="16">
                  <c:v>1.7749999999999998E-2</c:v>
                </c:pt>
                <c:pt idx="17">
                  <c:v>6.3333333333333332E-3</c:v>
                </c:pt>
                <c:pt idx="18">
                  <c:v>2.2500000000000003E-3</c:v>
                </c:pt>
                <c:pt idx="19">
                  <c:v>1.1000000000000003E-2</c:v>
                </c:pt>
                <c:pt idx="20">
                  <c:v>3.3416666666666671E-2</c:v>
                </c:pt>
                <c:pt idx="21">
                  <c:v>1.9583333333333335E-2</c:v>
                </c:pt>
                <c:pt idx="22">
                  <c:v>1.6500000000000001E-2</c:v>
                </c:pt>
                <c:pt idx="23">
                  <c:v>1.5000000000000001E-2</c:v>
                </c:pt>
                <c:pt idx="24">
                  <c:v>1.5833333333333335E-3</c:v>
                </c:pt>
              </c:numCache>
            </c:numRef>
          </c:val>
          <c:extLst>
            <c:ext xmlns:c16="http://schemas.microsoft.com/office/drawing/2014/chart" uri="{C3380CC4-5D6E-409C-BE32-E72D297353CC}">
              <c16:uniqueId val="{00000001-7212-484C-98DB-2E82C4BE15E8}"/>
            </c:ext>
          </c:extLst>
        </c:ser>
        <c:dLbls>
          <c:showLegendKey val="0"/>
          <c:showVal val="0"/>
          <c:showCatName val="0"/>
          <c:showSerName val="0"/>
          <c:showPercent val="0"/>
          <c:showBubbleSize val="0"/>
        </c:dLbls>
        <c:gapWidth val="182"/>
        <c:axId val="2045667743"/>
        <c:axId val="2079057199"/>
      </c:barChart>
      <c:catAx>
        <c:axId val="204566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057199"/>
        <c:crosses val="autoZero"/>
        <c:auto val="1"/>
        <c:lblAlgn val="ctr"/>
        <c:lblOffset val="100"/>
        <c:noMultiLvlLbl val="0"/>
      </c:catAx>
      <c:valAx>
        <c:axId val="2079057199"/>
        <c:scaling>
          <c:orientation val="minMax"/>
        </c:scaling>
        <c:delete val="0"/>
        <c:axPos val="b"/>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66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Average RKVAH Loss by Plant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RKVAH_Analysis!$B$32</c:f>
              <c:strCache>
                <c:ptCount val="1"/>
                <c:pt idx="0">
                  <c:v>Average of RKVAH_Loss_Percentage</c:v>
                </c:pt>
              </c:strCache>
            </c:strRef>
          </c:tx>
          <c:spPr>
            <a:solidFill>
              <a:schemeClr val="accent1"/>
            </a:solidFill>
            <a:ln>
              <a:noFill/>
            </a:ln>
            <a:effectLst/>
          </c:spPr>
          <c:invertIfNegative val="0"/>
          <c:cat>
            <c:strRef>
              <c:f>RKVAH_Analysis!$A$33:$A$58</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Grand Total</c:v>
                </c:pt>
              </c:strCache>
            </c:strRef>
          </c:cat>
          <c:val>
            <c:numRef>
              <c:f>RKVAH_Analysis!$B$33:$B$58</c:f>
              <c:numCache>
                <c:formatCode>0.00%</c:formatCode>
                <c:ptCount val="26"/>
                <c:pt idx="0">
                  <c:v>0.11516666666666668</c:v>
                </c:pt>
                <c:pt idx="1">
                  <c:v>1.7916666666666668E-2</c:v>
                </c:pt>
                <c:pt idx="2">
                  <c:v>1.6666666666666666E-4</c:v>
                </c:pt>
                <c:pt idx="3">
                  <c:v>3.0666666666666675E-2</c:v>
                </c:pt>
                <c:pt idx="4">
                  <c:v>5.7749999999999996E-2</c:v>
                </c:pt>
                <c:pt idx="5">
                  <c:v>2.6083333333333337E-2</c:v>
                </c:pt>
                <c:pt idx="6">
                  <c:v>9.8333333333333328E-3</c:v>
                </c:pt>
                <c:pt idx="7">
                  <c:v>0.13091666666666668</c:v>
                </c:pt>
                <c:pt idx="8">
                  <c:v>2.5333333333333336E-2</c:v>
                </c:pt>
                <c:pt idx="9">
                  <c:v>8.3333333333333331E-5</c:v>
                </c:pt>
                <c:pt idx="10">
                  <c:v>6.6666666666666664E-4</c:v>
                </c:pt>
                <c:pt idx="11">
                  <c:v>1.8666666666666668E-2</c:v>
                </c:pt>
                <c:pt idx="12">
                  <c:v>3.3333333333333332E-4</c:v>
                </c:pt>
                <c:pt idx="13">
                  <c:v>4.1666666666666669E-4</c:v>
                </c:pt>
                <c:pt idx="14">
                  <c:v>4.1666666666666669E-4</c:v>
                </c:pt>
                <c:pt idx="15">
                  <c:v>6.4750000000000016E-2</c:v>
                </c:pt>
                <c:pt idx="16">
                  <c:v>1.7749999999999998E-2</c:v>
                </c:pt>
                <c:pt idx="17">
                  <c:v>6.3333333333333332E-3</c:v>
                </c:pt>
                <c:pt idx="18">
                  <c:v>2.2500000000000003E-3</c:v>
                </c:pt>
                <c:pt idx="19">
                  <c:v>1.1000000000000003E-2</c:v>
                </c:pt>
                <c:pt idx="20">
                  <c:v>3.3416666666666671E-2</c:v>
                </c:pt>
                <c:pt idx="21">
                  <c:v>1.9583333333333335E-2</c:v>
                </c:pt>
                <c:pt idx="22">
                  <c:v>1.6500000000000001E-2</c:v>
                </c:pt>
                <c:pt idx="23">
                  <c:v>1.5000000000000001E-2</c:v>
                </c:pt>
                <c:pt idx="24">
                  <c:v>1.5833333333333335E-3</c:v>
                </c:pt>
                <c:pt idx="25">
                  <c:v>2.4903333333333319E-2</c:v>
                </c:pt>
              </c:numCache>
            </c:numRef>
          </c:val>
          <c:extLst>
            <c:ext xmlns:c16="http://schemas.microsoft.com/office/drawing/2014/chart" uri="{C3380CC4-5D6E-409C-BE32-E72D297353CC}">
              <c16:uniqueId val="{00000000-E2FD-4CFD-91F4-95B9335E44F5}"/>
            </c:ext>
          </c:extLst>
        </c:ser>
        <c:dLbls>
          <c:showLegendKey val="0"/>
          <c:showVal val="0"/>
          <c:showCatName val="0"/>
          <c:showSerName val="0"/>
          <c:showPercent val="0"/>
          <c:showBubbleSize val="0"/>
        </c:dLbls>
        <c:gapWidth val="182"/>
        <c:axId val="2027766703"/>
        <c:axId val="2079056719"/>
      </c:barChart>
      <c:catAx>
        <c:axId val="202776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056719"/>
        <c:crosses val="autoZero"/>
        <c:auto val="1"/>
        <c:lblAlgn val="ctr"/>
        <c:lblOffset val="100"/>
        <c:noMultiLvlLbl val="0"/>
      </c:catAx>
      <c:valAx>
        <c:axId val="20790567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6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2</xdr:col>
      <xdr:colOff>470535</xdr:colOff>
      <xdr:row>1</xdr:row>
      <xdr:rowOff>7621</xdr:rowOff>
    </xdr:from>
    <xdr:to>
      <xdr:col>5</xdr:col>
      <xdr:colOff>470535</xdr:colOff>
      <xdr:row>6</xdr:row>
      <xdr:rowOff>129541</xdr:rowOff>
    </xdr:to>
    <mc:AlternateContent xmlns:mc="http://schemas.openxmlformats.org/markup-compatibility/2006">
      <mc:Choice xmlns:a14="http://schemas.microsoft.com/office/drawing/2010/main" Requires="a14">
        <xdr:graphicFrame macro="">
          <xdr:nvGraphicFramePr>
            <xdr:cNvPr id="2" name="Month 1">
              <a:extLst>
                <a:ext uri="{FF2B5EF4-FFF2-40B4-BE49-F238E27FC236}">
                  <a16:creationId xmlns:a16="http://schemas.microsoft.com/office/drawing/2014/main" id="{1623C73F-7F75-4EBC-82E3-2F5C3CD687C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689735" y="782321"/>
              <a:ext cx="1828800" cy="1010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xdr:colOff>
      <xdr:row>1</xdr:row>
      <xdr:rowOff>15241</xdr:rowOff>
    </xdr:from>
    <xdr:to>
      <xdr:col>10</xdr:col>
      <xdr:colOff>15240</xdr:colOff>
      <xdr:row>6</xdr:row>
      <xdr:rowOff>160021</xdr:rowOff>
    </xdr:to>
    <mc:AlternateContent xmlns:mc="http://schemas.openxmlformats.org/markup-compatibility/2006">
      <mc:Choice xmlns:a14="http://schemas.microsoft.com/office/drawing/2010/main" Requires="a14">
        <xdr:graphicFrame macro="">
          <xdr:nvGraphicFramePr>
            <xdr:cNvPr id="3" name="Plant_ID 1">
              <a:extLst>
                <a:ext uri="{FF2B5EF4-FFF2-40B4-BE49-F238E27FC236}">
                  <a16:creationId xmlns:a16="http://schemas.microsoft.com/office/drawing/2014/main" id="{4A31D3BB-CCDA-4CE2-AEDC-DE4122799268}"/>
                </a:ext>
              </a:extLst>
            </xdr:cNvPr>
            <xdr:cNvGraphicFramePr/>
          </xdr:nvGraphicFramePr>
          <xdr:xfrm>
            <a:off x="0" y="0"/>
            <a:ext cx="0" cy="0"/>
          </xdr:xfrm>
          <a:graphic>
            <a:graphicData uri="http://schemas.microsoft.com/office/drawing/2010/slicer">
              <sle:slicer xmlns:sle="http://schemas.microsoft.com/office/drawing/2010/slicer" name="Plant_ID 1"/>
            </a:graphicData>
          </a:graphic>
        </xdr:graphicFrame>
      </mc:Choice>
      <mc:Fallback>
        <xdr:sp macro="" textlink="">
          <xdr:nvSpPr>
            <xdr:cNvPr id="0" name=""/>
            <xdr:cNvSpPr>
              <a:spLocks noTextEdit="1"/>
            </xdr:cNvSpPr>
          </xdr:nvSpPr>
          <xdr:spPr>
            <a:xfrm>
              <a:off x="4282440" y="789941"/>
              <a:ext cx="1828800" cy="1033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238125</xdr:colOff>
      <xdr:row>1</xdr:row>
      <xdr:rowOff>5716</xdr:rowOff>
    </xdr:from>
    <xdr:to>
      <xdr:col>14</xdr:col>
      <xdr:colOff>238125</xdr:colOff>
      <xdr:row>6</xdr:row>
      <xdr:rowOff>165735</xdr:rowOff>
    </xdr:to>
    <mc:AlternateContent xmlns:mc="http://schemas.openxmlformats.org/markup-compatibility/2006">
      <mc:Choice xmlns:a14="http://schemas.microsoft.com/office/drawing/2010/main" Requires="a14">
        <xdr:graphicFrame macro="">
          <xdr:nvGraphicFramePr>
            <xdr:cNvPr id="4" name="Financial_Year 1">
              <a:extLst>
                <a:ext uri="{FF2B5EF4-FFF2-40B4-BE49-F238E27FC236}">
                  <a16:creationId xmlns:a16="http://schemas.microsoft.com/office/drawing/2014/main" id="{6C0E579B-BCB6-426E-9311-7EB9FFF1F5F8}"/>
                </a:ext>
              </a:extLst>
            </xdr:cNvPr>
            <xdr:cNvGraphicFramePr/>
          </xdr:nvGraphicFramePr>
          <xdr:xfrm>
            <a:off x="0" y="0"/>
            <a:ext cx="0" cy="0"/>
          </xdr:xfrm>
          <a:graphic>
            <a:graphicData uri="http://schemas.microsoft.com/office/drawing/2010/slicer">
              <sle:slicer xmlns:sle="http://schemas.microsoft.com/office/drawing/2010/slicer" name="Financial_Year 1"/>
            </a:graphicData>
          </a:graphic>
        </xdr:graphicFrame>
      </mc:Choice>
      <mc:Fallback>
        <xdr:sp macro="" textlink="">
          <xdr:nvSpPr>
            <xdr:cNvPr id="0" name=""/>
            <xdr:cNvSpPr>
              <a:spLocks noTextEdit="1"/>
            </xdr:cNvSpPr>
          </xdr:nvSpPr>
          <xdr:spPr>
            <a:xfrm>
              <a:off x="6943725" y="780416"/>
              <a:ext cx="1828800" cy="1049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9524</xdr:colOff>
      <xdr:row>13</xdr:row>
      <xdr:rowOff>85725</xdr:rowOff>
    </xdr:from>
    <xdr:to>
      <xdr:col>5</xdr:col>
      <xdr:colOff>457199</xdr:colOff>
      <xdr:row>26</xdr:row>
      <xdr:rowOff>9525</xdr:rowOff>
    </xdr:to>
    <xdr:graphicFrame macro="">
      <xdr:nvGraphicFramePr>
        <xdr:cNvPr id="5" name="Chart 4">
          <a:extLst>
            <a:ext uri="{FF2B5EF4-FFF2-40B4-BE49-F238E27FC236}">
              <a16:creationId xmlns:a16="http://schemas.microsoft.com/office/drawing/2014/main" id="{963CDDE4-DCE1-4D2B-8D2E-696325B48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466725</xdr:colOff>
      <xdr:row>13</xdr:row>
      <xdr:rowOff>95251</xdr:rowOff>
    </xdr:from>
    <xdr:to>
      <xdr:col>11</xdr:col>
      <xdr:colOff>371474</xdr:colOff>
      <xdr:row>25</xdr:row>
      <xdr:rowOff>171451</xdr:rowOff>
    </xdr:to>
    <xdr:graphicFrame macro="">
      <xdr:nvGraphicFramePr>
        <xdr:cNvPr id="6" name="Chart 5">
          <a:extLst>
            <a:ext uri="{FF2B5EF4-FFF2-40B4-BE49-F238E27FC236}">
              <a16:creationId xmlns:a16="http://schemas.microsoft.com/office/drawing/2014/main" id="{575F860F-078E-4145-86AC-083D2969A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352425</xdr:colOff>
      <xdr:row>13</xdr:row>
      <xdr:rowOff>95251</xdr:rowOff>
    </xdr:from>
    <xdr:to>
      <xdr:col>17</xdr:col>
      <xdr:colOff>9525</xdr:colOff>
      <xdr:row>26</xdr:row>
      <xdr:rowOff>28576</xdr:rowOff>
    </xdr:to>
    <xdr:graphicFrame macro="">
      <xdr:nvGraphicFramePr>
        <xdr:cNvPr id="7" name="Chart 6">
          <a:extLst>
            <a:ext uri="{FF2B5EF4-FFF2-40B4-BE49-F238E27FC236}">
              <a16:creationId xmlns:a16="http://schemas.microsoft.com/office/drawing/2014/main" id="{DB5B6908-C457-4E1F-BBD4-9475C42E7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26</xdr:row>
      <xdr:rowOff>9525</xdr:rowOff>
    </xdr:from>
    <xdr:to>
      <xdr:col>5</xdr:col>
      <xdr:colOff>447674</xdr:colOff>
      <xdr:row>38</xdr:row>
      <xdr:rowOff>19050</xdr:rowOff>
    </xdr:to>
    <xdr:graphicFrame macro="">
      <xdr:nvGraphicFramePr>
        <xdr:cNvPr id="8" name="Chart 7">
          <a:extLst>
            <a:ext uri="{FF2B5EF4-FFF2-40B4-BE49-F238E27FC236}">
              <a16:creationId xmlns:a16="http://schemas.microsoft.com/office/drawing/2014/main" id="{D351BE0C-9D5F-412C-B7E0-D8397C62D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447674</xdr:colOff>
      <xdr:row>26</xdr:row>
      <xdr:rowOff>0</xdr:rowOff>
    </xdr:from>
    <xdr:to>
      <xdr:col>11</xdr:col>
      <xdr:colOff>323849</xdr:colOff>
      <xdr:row>38</xdr:row>
      <xdr:rowOff>19050</xdr:rowOff>
    </xdr:to>
    <xdr:graphicFrame macro="">
      <xdr:nvGraphicFramePr>
        <xdr:cNvPr id="9" name="Chart 8">
          <a:extLst>
            <a:ext uri="{FF2B5EF4-FFF2-40B4-BE49-F238E27FC236}">
              <a16:creationId xmlns:a16="http://schemas.microsoft.com/office/drawing/2014/main" id="{F3FE8D9C-520F-406C-BB61-D30ED3800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317500</xdr:colOff>
      <xdr:row>25</xdr:row>
      <xdr:rowOff>165100</xdr:rowOff>
    </xdr:from>
    <xdr:to>
      <xdr:col>17</xdr:col>
      <xdr:colOff>25400</xdr:colOff>
      <xdr:row>38</xdr:row>
      <xdr:rowOff>12700</xdr:rowOff>
    </xdr:to>
    <xdr:graphicFrame macro="">
      <xdr:nvGraphicFramePr>
        <xdr:cNvPr id="11" name="Chart 10">
          <a:extLst>
            <a:ext uri="{FF2B5EF4-FFF2-40B4-BE49-F238E27FC236}">
              <a16:creationId xmlns:a16="http://schemas.microsoft.com/office/drawing/2014/main" id="{1A99A604-A1FA-44A2-8DC8-7B1A65DD9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556260</xdr:colOff>
      <xdr:row>1</xdr:row>
      <xdr:rowOff>49530</xdr:rowOff>
    </xdr:from>
    <xdr:to>
      <xdr:col>17</xdr:col>
      <xdr:colOff>251460</xdr:colOff>
      <xdr:row>16</xdr:row>
      <xdr:rowOff>49530</xdr:rowOff>
    </xdr:to>
    <xdr:graphicFrame macro="">
      <xdr:nvGraphicFramePr>
        <xdr:cNvPr id="2" name="Chart 1">
          <a:extLst>
            <a:ext uri="{FF2B5EF4-FFF2-40B4-BE49-F238E27FC236}">
              <a16:creationId xmlns:a16="http://schemas.microsoft.com/office/drawing/2014/main" id="{66F6A475-3B26-4355-5AD4-6919AA86D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xdr:colOff>
      <xdr:row>17</xdr:row>
      <xdr:rowOff>80010</xdr:rowOff>
    </xdr:from>
    <xdr:to>
      <xdr:col>17</xdr:col>
      <xdr:colOff>350520</xdr:colOff>
      <xdr:row>32</xdr:row>
      <xdr:rowOff>80010</xdr:rowOff>
    </xdr:to>
    <xdr:graphicFrame macro="">
      <xdr:nvGraphicFramePr>
        <xdr:cNvPr id="8" name="Chart 7">
          <a:extLst>
            <a:ext uri="{FF2B5EF4-FFF2-40B4-BE49-F238E27FC236}">
              <a16:creationId xmlns:a16="http://schemas.microsoft.com/office/drawing/2014/main" id="{9C2C15D9-253A-9C72-4CC1-2355BB1C8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205740</xdr:colOff>
      <xdr:row>0</xdr:row>
      <xdr:rowOff>148590</xdr:rowOff>
    </xdr:from>
    <xdr:to>
      <xdr:col>10</xdr:col>
      <xdr:colOff>510540</xdr:colOff>
      <xdr:row>15</xdr:row>
      <xdr:rowOff>148590</xdr:rowOff>
    </xdr:to>
    <xdr:graphicFrame macro="">
      <xdr:nvGraphicFramePr>
        <xdr:cNvPr id="2" name="Chart 1">
          <a:extLst>
            <a:ext uri="{FF2B5EF4-FFF2-40B4-BE49-F238E27FC236}">
              <a16:creationId xmlns:a16="http://schemas.microsoft.com/office/drawing/2014/main" id="{5CE7775D-9216-D7F7-1950-2409B0E0B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99060</xdr:colOff>
      <xdr:row>17</xdr:row>
      <xdr:rowOff>22860</xdr:rowOff>
    </xdr:from>
    <xdr:to>
      <xdr:col>2</xdr:col>
      <xdr:colOff>30031</xdr:colOff>
      <xdr:row>31</xdr:row>
      <xdr:rowOff>43815</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87E571F9-E869-610F-2342-BAB2BA4A83C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86566" y="3070860"/>
              <a:ext cx="1831489" cy="2531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502920</xdr:colOff>
      <xdr:row>16</xdr:row>
      <xdr:rowOff>114300</xdr:rowOff>
    </xdr:from>
    <xdr:to>
      <xdr:col>3</xdr:col>
      <xdr:colOff>543262</xdr:colOff>
      <xdr:row>30</xdr:row>
      <xdr:rowOff>135255</xdr:rowOff>
    </xdr:to>
    <mc:AlternateContent xmlns:mc="http://schemas.openxmlformats.org/markup-compatibility/2006">
      <mc:Choice xmlns:a14="http://schemas.microsoft.com/office/drawing/2010/main" Requires="a14">
        <xdr:graphicFrame macro="">
          <xdr:nvGraphicFramePr>
            <xdr:cNvPr id="4" name="Plant_ID">
              <a:extLst>
                <a:ext uri="{FF2B5EF4-FFF2-40B4-BE49-F238E27FC236}">
                  <a16:creationId xmlns:a16="http://schemas.microsoft.com/office/drawing/2014/main" id="{4C5D2215-1F5C-65DE-D17C-7CC8E63853FA}"/>
                </a:ext>
              </a:extLst>
            </xdr:cNvPr>
            <xdr:cNvGraphicFramePr/>
          </xdr:nvGraphicFramePr>
          <xdr:xfrm>
            <a:off x="0" y="0"/>
            <a:ext cx="0" cy="0"/>
          </xdr:xfrm>
          <a:graphic>
            <a:graphicData uri="http://schemas.microsoft.com/office/drawing/2010/slicer">
              <sle:slicer xmlns:sle="http://schemas.microsoft.com/office/drawing/2010/slicer" name="Plant_ID"/>
            </a:graphicData>
          </a:graphic>
        </xdr:graphicFrame>
      </mc:Choice>
      <mc:Fallback>
        <xdr:sp macro="" textlink="">
          <xdr:nvSpPr>
            <xdr:cNvPr id="0" name=""/>
            <xdr:cNvSpPr>
              <a:spLocks noTextEdit="1"/>
            </xdr:cNvSpPr>
          </xdr:nvSpPr>
          <xdr:spPr>
            <a:xfrm>
              <a:off x="3290944" y="2983006"/>
              <a:ext cx="1833283" cy="2531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388620</xdr:colOff>
      <xdr:row>15</xdr:row>
      <xdr:rowOff>121920</xdr:rowOff>
    </xdr:from>
    <xdr:to>
      <xdr:col>7</xdr:col>
      <xdr:colOff>388620</xdr:colOff>
      <xdr:row>29</xdr:row>
      <xdr:rowOff>142875</xdr:rowOff>
    </xdr:to>
    <mc:AlternateContent xmlns:mc="http://schemas.openxmlformats.org/markup-compatibility/2006">
      <mc:Choice xmlns:a14="http://schemas.microsoft.com/office/drawing/2010/main" Requires="a14">
        <xdr:graphicFrame macro="">
          <xdr:nvGraphicFramePr>
            <xdr:cNvPr id="5" name="Financial_Year">
              <a:extLst>
                <a:ext uri="{FF2B5EF4-FFF2-40B4-BE49-F238E27FC236}">
                  <a16:creationId xmlns:a16="http://schemas.microsoft.com/office/drawing/2014/main" id="{F63F7585-7FB6-9D33-1091-BE2AB29A1468}"/>
                </a:ext>
              </a:extLst>
            </xdr:cNvPr>
            <xdr:cNvGraphicFramePr/>
          </xdr:nvGraphicFramePr>
          <xdr:xfrm>
            <a:off x="0" y="0"/>
            <a:ext cx="0" cy="0"/>
          </xdr:xfrm>
          <a:graphic>
            <a:graphicData uri="http://schemas.microsoft.com/office/drawing/2010/slicer">
              <sle:slicer xmlns:sle="http://schemas.microsoft.com/office/drawing/2010/slicer" name="Financial_Year"/>
            </a:graphicData>
          </a:graphic>
        </xdr:graphicFrame>
      </mc:Choice>
      <mc:Fallback>
        <xdr:sp macro="" textlink="">
          <xdr:nvSpPr>
            <xdr:cNvPr id="0" name=""/>
            <xdr:cNvSpPr>
              <a:spLocks noTextEdit="1"/>
            </xdr:cNvSpPr>
          </xdr:nvSpPr>
          <xdr:spPr>
            <a:xfrm>
              <a:off x="5579185" y="2811332"/>
              <a:ext cx="1828800" cy="2531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129540</xdr:colOff>
      <xdr:row>2</xdr:row>
      <xdr:rowOff>57150</xdr:rowOff>
    </xdr:from>
    <xdr:to>
      <xdr:col>11</xdr:col>
      <xdr:colOff>434340</xdr:colOff>
      <xdr:row>17</xdr:row>
      <xdr:rowOff>57150</xdr:rowOff>
    </xdr:to>
    <xdr:graphicFrame macro="">
      <xdr:nvGraphicFramePr>
        <xdr:cNvPr id="2" name="Chart 1">
          <a:extLst>
            <a:ext uri="{FF2B5EF4-FFF2-40B4-BE49-F238E27FC236}">
              <a16:creationId xmlns:a16="http://schemas.microsoft.com/office/drawing/2014/main" id="{631E6568-83AB-B92F-7B63-48F0A0289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891540</xdr:colOff>
      <xdr:row>29</xdr:row>
      <xdr:rowOff>49530</xdr:rowOff>
    </xdr:from>
    <xdr:to>
      <xdr:col>9</xdr:col>
      <xdr:colOff>175260</xdr:colOff>
      <xdr:row>44</xdr:row>
      <xdr:rowOff>49530</xdr:rowOff>
    </xdr:to>
    <xdr:graphicFrame macro="">
      <xdr:nvGraphicFramePr>
        <xdr:cNvPr id="3" name="Chart 2">
          <a:extLst>
            <a:ext uri="{FF2B5EF4-FFF2-40B4-BE49-F238E27FC236}">
              <a16:creationId xmlns:a16="http://schemas.microsoft.com/office/drawing/2014/main" id="{0E9C05DE-F9FB-A598-C7EB-F9BE7F861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368508</xdr:colOff>
      <xdr:row>20</xdr:row>
      <xdr:rowOff>158646</xdr:rowOff>
    </xdr:from>
    <xdr:to>
      <xdr:col>17</xdr:col>
      <xdr:colOff>493426</xdr:colOff>
      <xdr:row>35</xdr:row>
      <xdr:rowOff>91190</xdr:rowOff>
    </xdr:to>
    <xdr:graphicFrame macro="">
      <xdr:nvGraphicFramePr>
        <xdr:cNvPr id="4" name="Chart 3">
          <a:extLst>
            <a:ext uri="{FF2B5EF4-FFF2-40B4-BE49-F238E27FC236}">
              <a16:creationId xmlns:a16="http://schemas.microsoft.com/office/drawing/2014/main" id="{EFE7607B-766E-EF6F-BC45-A51AFBD02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220980</xdr:colOff>
      <xdr:row>0</xdr:row>
      <xdr:rowOff>110490</xdr:rowOff>
    </xdr:from>
    <xdr:to>
      <xdr:col>11</xdr:col>
      <xdr:colOff>525780</xdr:colOff>
      <xdr:row>15</xdr:row>
      <xdr:rowOff>110490</xdr:rowOff>
    </xdr:to>
    <xdr:graphicFrame macro="">
      <xdr:nvGraphicFramePr>
        <xdr:cNvPr id="2" name="Chart 1">
          <a:extLst>
            <a:ext uri="{FF2B5EF4-FFF2-40B4-BE49-F238E27FC236}">
              <a16:creationId xmlns:a16="http://schemas.microsoft.com/office/drawing/2014/main" id="{3258011B-9350-E047-1381-CCBC4F8D7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381164</xdr:colOff>
      <xdr:row>32</xdr:row>
      <xdr:rowOff>116676</xdr:rowOff>
    </xdr:from>
    <xdr:to>
      <xdr:col>11</xdr:col>
      <xdr:colOff>96028</xdr:colOff>
      <xdr:row>47</xdr:row>
      <xdr:rowOff>156005</xdr:rowOff>
    </xdr:to>
    <xdr:graphicFrame macro="">
      <xdr:nvGraphicFramePr>
        <xdr:cNvPr id="3" name="Chart 2">
          <a:extLst>
            <a:ext uri="{FF2B5EF4-FFF2-40B4-BE49-F238E27FC236}">
              <a16:creationId xmlns:a16="http://schemas.microsoft.com/office/drawing/2014/main" id="{91AD3A72-CB58-8A29-9E2D-BFEE05E04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68580</xdr:colOff>
      <xdr:row>2</xdr:row>
      <xdr:rowOff>11430</xdr:rowOff>
    </xdr:from>
    <xdr:to>
      <xdr:col>11</xdr:col>
      <xdr:colOff>373380</xdr:colOff>
      <xdr:row>17</xdr:row>
      <xdr:rowOff>11430</xdr:rowOff>
    </xdr:to>
    <xdr:graphicFrame macro="">
      <xdr:nvGraphicFramePr>
        <xdr:cNvPr id="2" name="Chart 1">
          <a:extLst>
            <a:ext uri="{FF2B5EF4-FFF2-40B4-BE49-F238E27FC236}">
              <a16:creationId xmlns:a16="http://schemas.microsoft.com/office/drawing/2014/main" id="{F81C097C-FF4E-8628-1BB6-FAD4CE2D4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32</xdr:row>
      <xdr:rowOff>41910</xdr:rowOff>
    </xdr:from>
    <xdr:to>
      <xdr:col>11</xdr:col>
      <xdr:colOff>228600</xdr:colOff>
      <xdr:row>47</xdr:row>
      <xdr:rowOff>41910</xdr:rowOff>
    </xdr:to>
    <xdr:graphicFrame macro="">
      <xdr:nvGraphicFramePr>
        <xdr:cNvPr id="3" name="Chart 2">
          <a:extLst>
            <a:ext uri="{FF2B5EF4-FFF2-40B4-BE49-F238E27FC236}">
              <a16:creationId xmlns:a16="http://schemas.microsoft.com/office/drawing/2014/main" id="{99A82DB9-5CF2-C0A1-0C65-D8D2B9E3B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525780</xdr:colOff>
      <xdr:row>1</xdr:row>
      <xdr:rowOff>156210</xdr:rowOff>
    </xdr:from>
    <xdr:to>
      <xdr:col>11</xdr:col>
      <xdr:colOff>220980</xdr:colOff>
      <xdr:row>16</xdr:row>
      <xdr:rowOff>156210</xdr:rowOff>
    </xdr:to>
    <xdr:graphicFrame macro="">
      <xdr:nvGraphicFramePr>
        <xdr:cNvPr id="2" name="Chart 1">
          <a:extLst>
            <a:ext uri="{FF2B5EF4-FFF2-40B4-BE49-F238E27FC236}">
              <a16:creationId xmlns:a16="http://schemas.microsoft.com/office/drawing/2014/main" id="{DF91CCDD-79D0-AF60-0292-8EB7CF111E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252046</xdr:colOff>
      <xdr:row>31</xdr:row>
      <xdr:rowOff>134814</xdr:rowOff>
    </xdr:from>
    <xdr:to>
      <xdr:col>10</xdr:col>
      <xdr:colOff>556846</xdr:colOff>
      <xdr:row>46</xdr:row>
      <xdr:rowOff>64475</xdr:rowOff>
    </xdr:to>
    <xdr:graphicFrame macro="">
      <xdr:nvGraphicFramePr>
        <xdr:cNvPr id="3" name="Chart 2">
          <a:extLst>
            <a:ext uri="{FF2B5EF4-FFF2-40B4-BE49-F238E27FC236}">
              <a16:creationId xmlns:a16="http://schemas.microsoft.com/office/drawing/2014/main" id="{11E52321-4F8E-0DAC-C66D-590746250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1.917555902779" createdVersion="8" refreshedVersion="8" minRefreshableVersion="3" recordCount="300" xr:uid="{3BE9DF84-53DF-4A8C-AEEF-E47A32F2E24B}">
  <cacheSource type="worksheet">
    <worksheetSource name="Montly_Generation9"/>
  </cacheSource>
  <cacheFields count="12">
    <cacheField name="Month" numFmtId="14">
      <sharedItems containsSemiMixedTypes="0" containsNonDate="0" containsDate="1" containsString="0" minDate="2025-04-01T00:00:00" maxDate="2026-03-02T00:00:00" count="12">
        <d v="2025-04-01T00:00:00"/>
        <d v="2025-05-01T00:00:00"/>
        <d v="2025-06-01T00:00:00"/>
        <d v="2025-07-01T00:00:00"/>
        <d v="2025-08-01T00:00:00"/>
        <d v="2025-09-01T00:00:00"/>
        <d v="2025-10-01T00:00:00"/>
        <d v="2025-11-01T00:00:00"/>
        <d v="2025-12-01T00:00:00"/>
        <d v="2026-01-01T00:00:00"/>
        <d v="2026-02-01T00:00:00"/>
        <d v="2026-03-01T00:00:00"/>
      </sharedItems>
      <fieldGroup par="11"/>
    </cacheField>
    <cacheField name="Day_in_months" numFmtId="0">
      <sharedItems containsSemiMixedTypes="0" containsString="0" containsNumber="1" containsInteger="1" minValue="28" maxValue="31"/>
    </cacheField>
    <cacheField name="Financial_Year" numFmtId="0">
      <sharedItems count="1">
        <s v="FY 2025-26"/>
      </sharedItems>
    </cacheField>
    <cacheField name="Plant_ID" numFmtId="0">
      <sharedItems containsSemiMixedTypes="0" containsString="0" containsNumber="1" containsInteger="1" minValue="1" maxValue="25" count="25">
        <n v="1"/>
        <n v="2"/>
        <n v="3"/>
        <n v="4"/>
        <n v="5"/>
        <n v="6"/>
        <n v="7"/>
        <n v="8"/>
        <n v="9"/>
        <n v="10"/>
        <n v="11"/>
        <n v="12"/>
        <n v="13"/>
        <n v="14"/>
        <n v="15"/>
        <n v="16"/>
        <n v="17"/>
        <n v="18"/>
        <n v="19"/>
        <n v="20"/>
        <n v="21"/>
        <n v="22"/>
        <n v="23"/>
        <n v="24"/>
        <n v="25"/>
      </sharedItems>
    </cacheField>
    <cacheField name="Energy_Generated_kWh" numFmtId="0">
      <sharedItems containsSemiMixedTypes="0" containsString="0" containsNumber="1" containsInteger="1" minValue="11986" maxValue="2993395"/>
    </cacheField>
    <cacheField name="Energy_Exported_kWh" numFmtId="0">
      <sharedItems containsSemiMixedTypes="0" containsString="0" containsNumber="1" containsInteger="1" minValue="11446" maxValue="2919780"/>
    </cacheField>
    <cacheField name="Import_Units" numFmtId="0">
      <sharedItems containsSemiMixedTypes="0" containsString="0" containsNumber="1" containsInteger="1" minValue="0" maxValue="9240"/>
    </cacheField>
    <cacheField name="Duplicate_Check" numFmtId="0">
      <sharedItems/>
    </cacheField>
    <cacheField name="Export_Efficiency_%" numFmtId="164">
      <sharedItems containsSemiMixedTypes="0" containsString="0" containsNumber="1" minValue="89.412715368139075" maxValue="250.07856020568488"/>
    </cacheField>
    <cacheField name="Months (Month)" numFmtId="0" databaseField="0">
      <fieldGroup base="0">
        <rangePr groupBy="months" startDate="2025-04-01T00:00:00" endDate="2026-03-02T00:00:00"/>
        <groupItems count="14">
          <s v="&lt;01-04-2025"/>
          <s v="Jan"/>
          <s v="Feb"/>
          <s v="Mar"/>
          <s v="Apr"/>
          <s v="May"/>
          <s v="Jun"/>
          <s v="Jul"/>
          <s v="Aug"/>
          <s v="Sep"/>
          <s v="Oct"/>
          <s v="Nov"/>
          <s v="Dec"/>
          <s v="&gt;02-03-2026"/>
        </groupItems>
      </fieldGroup>
    </cacheField>
    <cacheField name="Quarters (Month)" numFmtId="0" databaseField="0">
      <fieldGroup base="0">
        <rangePr groupBy="quarters" startDate="2025-04-01T00:00:00" endDate="2026-03-02T00:00:00"/>
        <groupItems count="6">
          <s v="&lt;01-04-2025"/>
          <s v="Qtr1"/>
          <s v="Qtr2"/>
          <s v="Qtr3"/>
          <s v="Qtr4"/>
          <s v="&gt;02-03-2026"/>
        </groupItems>
      </fieldGroup>
    </cacheField>
    <cacheField name="Years (Month)" numFmtId="0" databaseField="0">
      <fieldGroup base="0">
        <rangePr groupBy="years" startDate="2025-04-01T00:00:00" endDate="2026-03-02T00:00:00"/>
        <groupItems count="4">
          <s v="&lt;01-04-2025"/>
          <s v="2025"/>
          <s v="2026"/>
          <s v="&gt;02-03-2026"/>
        </groupItems>
      </fieldGroup>
    </cacheField>
  </cacheFields>
  <extLst>
    <ext xmlns:x14="http://schemas.microsoft.com/office/spreadsheetml/2009/9/main" uri="{725AE2AE-9491-48be-B2B4-4EB974FC3084}">
      <x14:pivotCacheDefinition pivotCacheId="9434863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1.994967592589" createdVersion="8" refreshedVersion="8" minRefreshableVersion="3" recordCount="300" xr:uid="{D57ED508-6522-4851-A370-CEC5B25E005B}">
  <cacheSource type="worksheet">
    <worksheetSource name="TL_12"/>
  </cacheSource>
  <cacheFields count="8">
    <cacheField name="Billing_Month" numFmtId="14">
      <sharedItems containsSemiMixedTypes="0" containsNonDate="0" containsDate="1" containsString="0" minDate="2025-04-01T00:00:00" maxDate="2026-03-02T00:00:00"/>
    </cacheField>
    <cacheField name="Financial_Year" numFmtId="0">
      <sharedItems/>
    </cacheField>
    <cacheField name="Plant_ID" numFmtId="0">
      <sharedItems containsSemiMixedTypes="0" containsString="0" containsNumber="1" containsInteger="1" minValue="1" maxValue="25" count="25">
        <n v="1"/>
        <n v="2"/>
        <n v="3"/>
        <n v="4"/>
        <n v="5"/>
        <n v="6"/>
        <n v="7"/>
        <n v="8"/>
        <n v="9"/>
        <n v="10"/>
        <n v="11"/>
        <n v="12"/>
        <n v="13"/>
        <n v="14"/>
        <n v="15"/>
        <n v="16"/>
        <n v="17"/>
        <n v="18"/>
        <n v="19"/>
        <n v="20"/>
        <n v="21"/>
        <n v="22"/>
        <n v="23"/>
        <n v="24"/>
        <n v="25"/>
      </sharedItems>
    </cacheField>
    <cacheField name="Energy_Generated_kWh" numFmtId="0">
      <sharedItems containsSemiMixedTypes="0" containsString="0" containsNumber="1" containsInteger="1" minValue="11986" maxValue="2993395"/>
    </cacheField>
    <cacheField name="Energy_Exported_kWh" numFmtId="0">
      <sharedItems containsSemiMixedTypes="0" containsString="0" containsNumber="1" containsInteger="1" minValue="11446" maxValue="2919780"/>
    </cacheField>
    <cacheField name="TL loss units" numFmtId="0">
      <sharedItems containsSemiMixedTypes="0" containsString="0" containsNumber="1" containsInteger="1" minValue="-429195" maxValue="109494"/>
    </cacheField>
    <cacheField name="TL%" numFmtId="0">
      <sharedItems containsSemiMixedTypes="0" containsString="0" containsNumber="1" minValue="-1.5007999999999999" maxValue="0.10589999999999999"/>
    </cacheField>
    <cacheField name="TL_Check"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2.001081828705" createdVersion="8" refreshedVersion="8" minRefreshableVersion="3" recordCount="300" xr:uid="{50C9A1FB-5A76-4BF1-A1CF-366F7124C127}">
  <cacheSource type="worksheet">
    <worksheetSource name="RKVAH13"/>
  </cacheSource>
  <cacheFields count="9">
    <cacheField name="Billing_Month" numFmtId="14">
      <sharedItems containsSemiMixedTypes="0" containsNonDate="0" containsDate="1" containsString="0" minDate="2025-04-01T00:00:00" maxDate="2026-03-02T00:00:00"/>
    </cacheField>
    <cacheField name="Financial_Year" numFmtId="0">
      <sharedItems/>
    </cacheField>
    <cacheField name="Plant_ID" numFmtId="0">
      <sharedItems containsSemiMixedTypes="0" containsString="0" containsNumber="1" containsInteger="1" minValue="1" maxValue="25" count="25">
        <n v="1"/>
        <n v="2"/>
        <n v="3"/>
        <n v="4"/>
        <n v="5"/>
        <n v="6"/>
        <n v="7"/>
        <n v="8"/>
        <n v="9"/>
        <n v="10"/>
        <n v="11"/>
        <n v="12"/>
        <n v="13"/>
        <n v="14"/>
        <n v="15"/>
        <n v="16"/>
        <n v="17"/>
        <n v="18"/>
        <n v="19"/>
        <n v="20"/>
        <n v="21"/>
        <n v="22"/>
        <n v="23"/>
        <n v="24"/>
        <n v="25"/>
      </sharedItems>
    </cacheField>
    <cacheField name="Energy_Exported_kWh" numFmtId="0">
      <sharedItems containsSemiMixedTypes="0" containsString="0" containsNumber="1" containsInteger="1" minValue="11446" maxValue="2919780"/>
    </cacheField>
    <cacheField name="RKVAH_Import" numFmtId="0">
      <sharedItems containsSemiMixedTypes="0" containsString="0" containsNumber="1" containsInteger="1" minValue="-30" maxValue="292428"/>
    </cacheField>
    <cacheField name="RKVAH_Loss_Percentage" numFmtId="0">
      <sharedItems containsSemiMixedTypes="0" containsString="0" containsNumber="1" minValue="-1E-3" maxValue="0.45600000000000002"/>
    </cacheField>
    <cacheField name="Permissible_Limit" numFmtId="0">
      <sharedItems containsSemiMixedTypes="0" containsString="0" containsNumber="1" minValue="0.05" maxValue="0.05"/>
    </cacheField>
    <cacheField name="Status" numFmtId="0">
      <sharedItems/>
    </cacheField>
    <cacheField name="Status_Check"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2.005187499999" createdVersion="8" refreshedVersion="8" minRefreshableVersion="3" recordCount="300" xr:uid="{5110F799-29C6-4E69-BD57-54F9F05F3D71}">
  <cacheSource type="worksheet">
    <worksheetSource name="Billing10"/>
  </cacheSource>
  <cacheFields count="17">
    <cacheField name="Invoice_No" numFmtId="0">
      <sharedItems containsSemiMixedTypes="0" containsString="0" containsNumber="1" containsInteger="1" minValue="1" maxValue="12"/>
    </cacheField>
    <cacheField name="Invoice_Date" numFmtId="14">
      <sharedItems containsSemiMixedTypes="0" containsNonDate="0" containsDate="1" containsString="0" minDate="2025-01-07T00:00:00" maxDate="2026-04-05T00:00:00"/>
    </cacheField>
    <cacheField name="Billing_Month" numFmtId="14">
      <sharedItems containsSemiMixedTypes="0" containsNonDate="0" containsDate="1" containsString="0" minDate="2025-04-01T00:00:00" maxDate="2026-03-02T00:00:00" count="12">
        <d v="2025-04-01T00:00:00"/>
        <d v="2025-05-01T00:00:00"/>
        <d v="2025-06-01T00:00:00"/>
        <d v="2025-07-01T00:00:00"/>
        <d v="2025-08-01T00:00:00"/>
        <d v="2025-09-01T00:00:00"/>
        <d v="2025-10-01T00:00:00"/>
        <d v="2025-11-01T00:00:00"/>
        <d v="2025-12-01T00:00:00"/>
        <d v="2026-01-01T00:00:00"/>
        <d v="2026-02-01T00:00:00"/>
        <d v="2026-03-01T00:00:00"/>
      </sharedItems>
      <fieldGroup par="16"/>
    </cacheField>
    <cacheField name="Financial_Year" numFmtId="0">
      <sharedItems/>
    </cacheField>
    <cacheField name="Plant_ID" numFmtId="0">
      <sharedItems containsSemiMixedTypes="0" containsString="0" containsNumber="1" containsInteger="1" minValue="1" maxValue="25" count="25">
        <n v="1"/>
        <n v="2"/>
        <n v="3"/>
        <n v="4"/>
        <n v="5"/>
        <n v="6"/>
        <n v="7"/>
        <n v="8"/>
        <n v="9"/>
        <n v="10"/>
        <n v="11"/>
        <n v="12"/>
        <n v="13"/>
        <n v="14"/>
        <n v="15"/>
        <n v="16"/>
        <n v="17"/>
        <n v="18"/>
        <n v="19"/>
        <n v="20"/>
        <n v="21"/>
        <n v="22"/>
        <n v="23"/>
        <n v="24"/>
        <n v="25"/>
      </sharedItems>
    </cacheField>
    <cacheField name="Energy_Exported_kWh" numFmtId="0">
      <sharedItems containsSemiMixedTypes="0" containsString="0" containsNumber="1" containsInteger="1" minValue="11446" maxValue="2919780"/>
    </cacheField>
    <cacheField name="Tariff_Per_Unit" numFmtId="0">
      <sharedItems containsSemiMixedTypes="0" containsString="0" containsNumber="1" minValue="2.2000000000000002" maxValue="6"/>
    </cacheField>
    <cacheField name="Invoice_Amount" numFmtId="0">
      <sharedItems containsSemiMixedTypes="0" containsString="0" containsNumber="1" containsInteger="1" minValue="25181" maxValue="17518678"/>
    </cacheField>
    <cacheField name="TDS" numFmtId="0">
      <sharedItems containsSemiMixedTypes="0" containsString="0" containsNumber="1" containsInteger="1" minValue="25" maxValue="17519"/>
    </cacheField>
    <cacheField name="Amount_Receivable" numFmtId="0">
      <sharedItems containsSemiMixedTypes="0" containsString="0" containsNumber="1" containsInteger="1" minValue="25156" maxValue="17501159"/>
    </cacheField>
    <cacheField name="Due_Date" numFmtId="14">
      <sharedItems containsSemiMixedTypes="0" containsNonDate="0" containsDate="1" containsString="0" minDate="2025-01-14T00:00:00" maxDate="2026-05-24T00:00:00"/>
    </cacheField>
    <cacheField name="Invoice_Status" numFmtId="0">
      <sharedItems count="2">
        <s v="Paid"/>
        <s v="Unpaid"/>
      </sharedItems>
    </cacheField>
    <cacheField name="Billing_Check" numFmtId="0">
      <sharedItems/>
    </cacheField>
    <cacheField name="Billing_Difference" numFmtId="0">
      <sharedItems containsSemiMixedTypes="0" containsString="0" containsNumber="1" containsInteger="1" minValue="-1" maxValue="1"/>
    </cacheField>
    <cacheField name="Months (Billing_Month)" numFmtId="0" databaseField="0">
      <fieldGroup base="2">
        <rangePr groupBy="months" startDate="2025-04-01T00:00:00" endDate="2026-03-02T00:00:00"/>
        <groupItems count="14">
          <s v="&lt;01-04-2025"/>
          <s v="Jan"/>
          <s v="Feb"/>
          <s v="Mar"/>
          <s v="Apr"/>
          <s v="May"/>
          <s v="Jun"/>
          <s v="Jul"/>
          <s v="Aug"/>
          <s v="Sep"/>
          <s v="Oct"/>
          <s v="Nov"/>
          <s v="Dec"/>
          <s v="&gt;02-03-2026"/>
        </groupItems>
      </fieldGroup>
    </cacheField>
    <cacheField name="Quarters (Billing_Month)" numFmtId="0" databaseField="0">
      <fieldGroup base="2">
        <rangePr groupBy="quarters" startDate="2025-04-01T00:00:00" endDate="2026-03-02T00:00:00"/>
        <groupItems count="6">
          <s v="&lt;01-04-2025"/>
          <s v="Qtr1"/>
          <s v="Qtr2"/>
          <s v="Qtr3"/>
          <s v="Qtr4"/>
          <s v="&gt;02-03-2026"/>
        </groupItems>
      </fieldGroup>
    </cacheField>
    <cacheField name="Years (Billing_Month)" numFmtId="0" databaseField="0">
      <fieldGroup base="2">
        <rangePr groupBy="years" startDate="2025-04-01T00:00:00" endDate="2026-03-02T00:00:00"/>
        <groupItems count="4">
          <s v="&lt;01-04-2025"/>
          <s v="2025"/>
          <s v="2026"/>
          <s v="&gt;02-03-2026"/>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2.011813657409" createdVersion="8" refreshedVersion="8" minRefreshableVersion="3" recordCount="300" xr:uid="{92AEFA03-76B1-4CAF-8D99-BF882ABACC5A}">
  <cacheSource type="worksheet">
    <worksheetSource name="Receivable11"/>
  </cacheSource>
  <cacheFields count="14">
    <cacheField name="Invoice_No" numFmtId="0">
      <sharedItems containsSemiMixedTypes="0" containsString="0" containsNumber="1" containsInteger="1" minValue="1" maxValue="12"/>
    </cacheField>
    <cacheField name="Plant_ID" numFmtId="0">
      <sharedItems containsSemiMixedTypes="0" containsString="0" containsNumber="1" containsInteger="1" minValue="1" maxValue="25" count="25">
        <n v="1"/>
        <n v="2"/>
        <n v="3"/>
        <n v="4"/>
        <n v="5"/>
        <n v="6"/>
        <n v="7"/>
        <n v="8"/>
        <n v="9"/>
        <n v="10"/>
        <n v="11"/>
        <n v="12"/>
        <n v="13"/>
        <n v="14"/>
        <n v="15"/>
        <n v="16"/>
        <n v="17"/>
        <n v="18"/>
        <n v="19"/>
        <n v="20"/>
        <n v="21"/>
        <n v="22"/>
        <n v="23"/>
        <n v="24"/>
        <n v="25"/>
      </sharedItems>
    </cacheField>
    <cacheField name="Due_Date" numFmtId="14">
      <sharedItems containsSemiMixedTypes="0" containsNonDate="0" containsDate="1" containsString="0" minDate="2025-01-14T00:00:00" maxDate="2026-05-24T00:00:00" count="128">
        <d v="2025-05-27T00:00:00"/>
        <d v="2025-06-25T00:00:00"/>
        <d v="2025-07-22T00:00:00"/>
        <d v="2025-08-26T00:00:00"/>
        <d v="2025-09-30T00:00:00"/>
        <d v="2025-10-23T00:00:00"/>
        <d v="2025-11-24T00:00:00"/>
        <d v="2025-12-21T00:00:00"/>
        <d v="2026-02-11T00:00:00"/>
        <d v="2026-03-08T00:00:00"/>
        <d v="2026-04-08T00:00:00"/>
        <d v="2025-05-20T00:00:00"/>
        <d v="2025-06-12T00:00:00"/>
        <d v="2025-07-11T00:00:00"/>
        <d v="2025-07-31T00:00:00"/>
        <d v="2025-09-02T00:00:00"/>
        <d v="2025-09-27T00:00:00"/>
        <d v="2025-10-31T00:00:00"/>
        <d v="2025-12-16T00:00:00"/>
        <d v="2025-12-27T00:00:00"/>
        <d v="2026-01-22T00:00:00"/>
        <d v="2026-04-15T00:00:00"/>
        <d v="2025-06-06T00:00:00"/>
        <d v="2025-08-08T00:00:00"/>
        <d v="2025-09-12T00:00:00"/>
        <d v="2025-10-13T00:00:00"/>
        <d v="2025-11-07T00:00:00"/>
        <d v="2025-12-07T00:00:00"/>
        <d v="2026-01-11T00:00:00"/>
        <d v="2026-02-10T00:00:00"/>
        <d v="2026-04-20T00:00:00"/>
        <d v="2026-05-06T00:00:00"/>
        <d v="2025-04-22T00:00:00"/>
        <d v="2025-05-23T00:00:00"/>
        <d v="2025-06-24T00:00:00"/>
        <d v="2026-03-19T00:00:00"/>
        <d v="2026-03-04T00:00:00"/>
        <d v="2026-04-14T00:00:00"/>
        <d v="2025-05-24T00:00:00"/>
        <d v="2025-06-20T00:00:00"/>
        <d v="2025-07-14T00:00:00"/>
        <d v="2025-08-28T00:00:00"/>
        <d v="2025-10-19T00:00:00"/>
        <d v="2025-12-11T00:00:00"/>
        <d v="2025-12-22T00:00:00"/>
        <d v="2026-02-07T00:00:00"/>
        <d v="2026-03-03T00:00:00"/>
        <d v="2026-04-03T00:00:00"/>
        <d v="2026-04-11T00:00:00"/>
        <d v="2025-05-21T00:00:00"/>
        <d v="2025-06-17T00:00:00"/>
        <d v="2025-08-25T00:00:00"/>
        <d v="2025-09-24T00:00:00"/>
        <d v="2025-10-16T00:00:00"/>
        <d v="2025-12-08T00:00:00"/>
        <d v="2025-12-19T00:00:00"/>
        <d v="2026-02-04T00:00:00"/>
        <d v="2026-02-28T00:00:00"/>
        <d v="2026-03-31T00:00:00"/>
        <d v="2026-04-19T00:00:00"/>
        <d v="2025-05-29T00:00:00"/>
        <d v="2025-07-19T00:00:00"/>
        <d v="2025-10-02T00:00:00"/>
        <d v="2025-10-24T00:00:00"/>
        <d v="2026-02-12T00:00:00"/>
        <d v="2025-04-23T00:00:00"/>
        <d v="2025-07-29T00:00:00"/>
        <d v="2025-08-29T00:00:00"/>
        <d v="2025-09-23T00:00:00"/>
        <d v="2025-11-11T00:00:00"/>
        <d v="2025-11-27T00:00:00"/>
        <d v="2026-01-23T00:00:00"/>
        <d v="2026-03-07T00:00:00"/>
        <d v="2026-03-22T00:00:00"/>
        <d v="2025-04-18T00:00:00"/>
        <d v="2025-05-22T00:00:00"/>
        <d v="2025-06-19T00:00:00"/>
        <d v="2025-07-24T00:00:00"/>
        <d v="2025-08-24T00:00:00"/>
        <d v="2025-09-18T00:00:00"/>
        <d v="2025-11-06T00:00:00"/>
        <d v="2025-11-22T00:00:00"/>
        <d v="2026-01-18T00:00:00"/>
        <d v="2026-03-02T00:00:00"/>
        <d v="2026-03-17T00:00:00"/>
        <d v="2025-08-09T00:00:00"/>
        <d v="2025-09-05T00:00:00"/>
        <d v="2025-10-10T00:00:00"/>
        <d v="2025-11-14T00:00:00"/>
        <d v="2026-01-08T00:00:00"/>
        <d v="2026-03-28T00:00:00"/>
        <d v="2026-04-22T00:00:00"/>
        <d v="2026-05-23T00:00:00"/>
        <d v="2025-10-15T00:00:00"/>
        <d v="2025-12-13T00:00:00"/>
        <d v="2026-02-03T00:00:00"/>
        <d v="2025-03-08T00:00:00"/>
        <d v="2025-04-21T00:00:00"/>
        <d v="2025-04-17T00:00:00"/>
        <d v="2025-12-15T00:00:00"/>
        <d v="2025-01-17T00:00:00"/>
        <d v="2025-03-02T00:00:00"/>
        <d v="2025-04-14T00:00:00"/>
        <d v="2025-06-16T00:00:00"/>
        <d v="2025-07-21T00:00:00"/>
        <d v="2025-08-23T00:00:00"/>
        <d v="2025-09-15T00:00:00"/>
        <d v="2025-10-21T00:00:00"/>
        <d v="2025-11-19T00:00:00"/>
        <d v="2025-12-12T00:00:00"/>
        <d v="2025-01-14T00:00:00"/>
        <d v="2025-02-27T00:00:00"/>
        <d v="2026-03-14T00:00:00"/>
        <d v="2025-04-27T00:00:00"/>
        <d v="2025-06-29T00:00:00"/>
        <d v="2025-08-03T00:00:00"/>
        <d v="2025-09-28T00:00:00"/>
        <d v="2025-11-03T00:00:00"/>
        <d v="2025-12-02T00:00:00"/>
        <d v="2025-12-25T00:00:00"/>
        <d v="2025-01-27T00:00:00"/>
        <d v="2025-03-12T00:00:00"/>
        <d v="2026-03-27T00:00:00"/>
        <d v="2026-03-06T00:00:00"/>
        <d v="2025-04-20T00:00:00"/>
        <d v="2025-09-26T00:00:00"/>
        <d v="2026-01-01T00:00:00"/>
        <d v="2026-03-01T00:00:00"/>
      </sharedItems>
      <fieldGroup par="13"/>
    </cacheField>
    <cacheField name="Payment_Date" numFmtId="14">
      <sharedItems containsSemiMixedTypes="0" containsNonDate="0" containsDate="1" containsString="0" minDate="2025-01-11T00:00:00" maxDate="2026-07-17T00:00:00"/>
    </cacheField>
    <cacheField name="Amount_Receivable" numFmtId="0">
      <sharedItems containsSemiMixedTypes="0" containsString="0" containsNumber="1" containsInteger="1" minValue="25156" maxValue="17501159"/>
    </cacheField>
    <cacheField name="Amount_Received" numFmtId="0">
      <sharedItems containsString="0" containsBlank="1" containsNumber="1" containsInteger="1" minValue="43344" maxValue="17501161"/>
    </cacheField>
    <cacheField name="Outstanding_Amount" numFmtId="0">
      <sharedItems containsSemiMixedTypes="0" containsString="0" containsNumber="1" containsInteger="1" minValue="-5" maxValue="12572271"/>
    </cacheField>
    <cacheField name="Collection" numFmtId="0">
      <sharedItems containsSemiMixedTypes="0" containsString="0" containsNumber="1" containsInteger="1" minValue="0" maxValue="17501161"/>
    </cacheField>
    <cacheField name="Delay_Days" numFmtId="0">
      <sharedItems containsSemiMixedTypes="0" containsString="0" containsNumber="1" containsInteger="1" minValue="-3" maxValue="545"/>
    </cacheField>
    <cacheField name="Invoice_Status" numFmtId="0">
      <sharedItems/>
    </cacheField>
    <cacheField name="Payment_Status_Check" numFmtId="0">
      <sharedItems/>
    </cacheField>
    <cacheField name="Months (Due_Date)" numFmtId="0" databaseField="0">
      <fieldGroup base="2">
        <rangePr groupBy="months" startDate="2025-01-14T00:00:00" endDate="2026-05-24T00:00:00"/>
        <groupItems count="14">
          <s v="&lt;14-01-2025"/>
          <s v="Jan"/>
          <s v="Feb"/>
          <s v="Mar"/>
          <s v="Apr"/>
          <s v="May"/>
          <s v="Jun"/>
          <s v="Jul"/>
          <s v="Aug"/>
          <s v="Sep"/>
          <s v="Oct"/>
          <s v="Nov"/>
          <s v="Dec"/>
          <s v="&gt;24-05-2026"/>
        </groupItems>
      </fieldGroup>
    </cacheField>
    <cacheField name="Quarters (Due_Date)" numFmtId="0" databaseField="0">
      <fieldGroup base="2">
        <rangePr groupBy="quarters" startDate="2025-01-14T00:00:00" endDate="2026-05-24T00:00:00"/>
        <groupItems count="6">
          <s v="&lt;14-01-2025"/>
          <s v="Qtr1"/>
          <s v="Qtr2"/>
          <s v="Qtr3"/>
          <s v="Qtr4"/>
          <s v="&gt;24-05-2026"/>
        </groupItems>
      </fieldGroup>
    </cacheField>
    <cacheField name="Years (Due_Date)" numFmtId="0" databaseField="0">
      <fieldGroup base="2">
        <rangePr groupBy="years" startDate="2025-01-14T00:00:00" endDate="2026-05-24T00:00:00"/>
        <groupItems count="4">
          <s v="&lt;14-01-2025"/>
          <s v="2025"/>
          <s v="2026"/>
          <s v="&gt;24-05-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n v="30"/>
    <x v="0"/>
    <x v="0"/>
    <n v="217947"/>
    <n v="209819"/>
    <n v="0"/>
    <s v="Unique"/>
    <n v="96.270652956911533"/>
  </r>
  <r>
    <x v="1"/>
    <n v="31"/>
    <x v="0"/>
    <x v="0"/>
    <n v="254619"/>
    <n v="274677"/>
    <n v="0"/>
    <s v="Unique"/>
    <n v="107.87765249254768"/>
  </r>
  <r>
    <x v="2"/>
    <n v="30"/>
    <x v="0"/>
    <x v="0"/>
    <n v="605946"/>
    <n v="611235"/>
    <n v="0"/>
    <s v="Unique"/>
    <n v="100.87285005594558"/>
  </r>
  <r>
    <x v="3"/>
    <n v="31"/>
    <x v="0"/>
    <x v="0"/>
    <n v="916873"/>
    <n v="897647"/>
    <n v="0"/>
    <s v="Unique"/>
    <n v="97.903090177156486"/>
  </r>
  <r>
    <x v="4"/>
    <n v="31"/>
    <x v="0"/>
    <x v="0"/>
    <n v="456470"/>
    <n v="448823"/>
    <n v="0"/>
    <s v="Unique"/>
    <n v="98.324752995815714"/>
  </r>
  <r>
    <x v="5"/>
    <n v="30"/>
    <x v="0"/>
    <x v="0"/>
    <n v="212766"/>
    <n v="217455"/>
    <n v="0"/>
    <s v="Unique"/>
    <n v="102.20382955923408"/>
  </r>
  <r>
    <x v="6"/>
    <n v="31"/>
    <x v="0"/>
    <x v="0"/>
    <n v="158041"/>
    <n v="152769"/>
    <n v="0"/>
    <s v="Unique"/>
    <n v="96.66415676944591"/>
  </r>
  <r>
    <x v="7"/>
    <n v="30"/>
    <x v="0"/>
    <x v="0"/>
    <n v="228812"/>
    <n v="216193"/>
    <n v="0"/>
    <s v="Unique"/>
    <n v="94.484992045871721"/>
  </r>
  <r>
    <x v="8"/>
    <n v="31"/>
    <x v="0"/>
    <x v="0"/>
    <n v="355409"/>
    <n v="355304"/>
    <n v="0"/>
    <s v="Unique"/>
    <n v="99.970456572568494"/>
  </r>
  <r>
    <x v="9"/>
    <n v="31"/>
    <x v="0"/>
    <x v="0"/>
    <n v="88129"/>
    <n v="83708"/>
    <n v="0"/>
    <s v="Unique"/>
    <n v="94.98349011108715"/>
  </r>
  <r>
    <x v="10"/>
    <n v="28"/>
    <x v="0"/>
    <x v="0"/>
    <n v="104770"/>
    <n v="101267"/>
    <n v="0"/>
    <s v="Unique"/>
    <n v="96.656485635200923"/>
  </r>
  <r>
    <x v="11"/>
    <n v="31"/>
    <x v="0"/>
    <x v="0"/>
    <n v="101593"/>
    <n v="95418"/>
    <n v="0"/>
    <s v="Unique"/>
    <n v="93.921825322610815"/>
  </r>
  <r>
    <x v="0"/>
    <n v="30"/>
    <x v="0"/>
    <x v="1"/>
    <n v="61241"/>
    <n v="59664"/>
    <n v="1404"/>
    <s v="Unique"/>
    <n v="97.424927744484904"/>
  </r>
  <r>
    <x v="1"/>
    <n v="31"/>
    <x v="0"/>
    <x v="1"/>
    <n v="144532"/>
    <n v="142434"/>
    <n v="672"/>
    <s v="Unique"/>
    <n v="98.548418343342647"/>
  </r>
  <r>
    <x v="2"/>
    <n v="30"/>
    <x v="0"/>
    <x v="1"/>
    <n v="212401"/>
    <n v="209574"/>
    <n v="66"/>
    <s v="Unique"/>
    <n v="98.669026981982185"/>
  </r>
  <r>
    <x v="3"/>
    <n v="31"/>
    <x v="0"/>
    <x v="1"/>
    <n v="251795"/>
    <n v="247152"/>
    <n v="72"/>
    <s v="Unique"/>
    <n v="98.156039635417699"/>
  </r>
  <r>
    <x v="4"/>
    <n v="31"/>
    <x v="0"/>
    <x v="1"/>
    <n v="173052"/>
    <n v="170958"/>
    <n v="216"/>
    <s v="Unique"/>
    <n v="98.789959087441929"/>
  </r>
  <r>
    <x v="5"/>
    <n v="30"/>
    <x v="0"/>
    <x v="1"/>
    <n v="152977"/>
    <n v="151764"/>
    <n v="102"/>
    <s v="Unique"/>
    <n v="99.207070343907915"/>
  </r>
  <r>
    <x v="6"/>
    <n v="31"/>
    <x v="0"/>
    <x v="1"/>
    <n v="65827"/>
    <n v="64434"/>
    <n v="870"/>
    <s v="Unique"/>
    <n v="97.883847053640608"/>
  </r>
  <r>
    <x v="7"/>
    <n v="30"/>
    <x v="0"/>
    <x v="1"/>
    <n v="36192"/>
    <n v="36330"/>
    <n v="840"/>
    <s v="Unique"/>
    <n v="100.38129973474801"/>
  </r>
  <r>
    <x v="8"/>
    <n v="31"/>
    <x v="0"/>
    <x v="1"/>
    <n v="26592"/>
    <n v="26292"/>
    <n v="966"/>
    <s v="Unique"/>
    <n v="98.871841155234648"/>
  </r>
  <r>
    <x v="9"/>
    <n v="31"/>
    <x v="0"/>
    <x v="1"/>
    <n v="28477"/>
    <n v="28206"/>
    <n v="954"/>
    <s v="Unique"/>
    <n v="99.04835481265583"/>
  </r>
  <r>
    <x v="10"/>
    <n v="28"/>
    <x v="0"/>
    <x v="1"/>
    <n v="24663"/>
    <n v="24264"/>
    <n v="858"/>
    <s v="Unique"/>
    <n v="98.382191947451645"/>
  </r>
  <r>
    <x v="11"/>
    <n v="31"/>
    <x v="0"/>
    <x v="1"/>
    <n v="35997"/>
    <n v="36072"/>
    <n v="978"/>
    <s v="Unique"/>
    <n v="100.20835069589134"/>
  </r>
  <r>
    <x v="0"/>
    <n v="30"/>
    <x v="0"/>
    <x v="2"/>
    <n v="272213"/>
    <n v="261840"/>
    <n v="9240"/>
    <s v="Unique"/>
    <n v="96.189381109645751"/>
  </r>
  <r>
    <x v="1"/>
    <n v="31"/>
    <x v="0"/>
    <x v="2"/>
    <n v="589198"/>
    <n v="579600"/>
    <n v="4050"/>
    <s v="Unique"/>
    <n v="98.371006011561477"/>
  </r>
  <r>
    <x v="2"/>
    <n v="30"/>
    <x v="0"/>
    <x v="2"/>
    <n v="899206"/>
    <n v="887940"/>
    <n v="240"/>
    <s v="Unique"/>
    <n v="98.747116900910356"/>
  </r>
  <r>
    <x v="3"/>
    <n v="31"/>
    <x v="0"/>
    <x v="2"/>
    <n v="1233923"/>
    <n v="1208880"/>
    <n v="30"/>
    <s v="Unique"/>
    <n v="97.970456827532999"/>
  </r>
  <r>
    <x v="4"/>
    <n v="31"/>
    <x v="0"/>
    <x v="2"/>
    <n v="848303"/>
    <n v="834270"/>
    <n v="600"/>
    <s v="Unique"/>
    <n v="98.345756174385798"/>
  </r>
  <r>
    <x v="5"/>
    <n v="30"/>
    <x v="0"/>
    <x v="2"/>
    <n v="606468"/>
    <n v="597360"/>
    <n v="150"/>
    <s v="Unique"/>
    <n v="98.498189517006679"/>
  </r>
  <r>
    <x v="6"/>
    <n v="31"/>
    <x v="0"/>
    <x v="2"/>
    <n v="235504"/>
    <n v="237390"/>
    <n v="5100"/>
    <s v="Unique"/>
    <n v="100.8008356545961"/>
  </r>
  <r>
    <x v="7"/>
    <n v="30"/>
    <x v="0"/>
    <x v="2"/>
    <n v="151607"/>
    <n v="150810"/>
    <n v="4080"/>
    <s v="Unique"/>
    <n v="99.474298680140095"/>
  </r>
  <r>
    <x v="8"/>
    <n v="31"/>
    <x v="0"/>
    <x v="2"/>
    <n v="181737"/>
    <n v="175080"/>
    <n v="2580"/>
    <s v="Unique"/>
    <n v="96.337014476963972"/>
  </r>
  <r>
    <x v="9"/>
    <n v="31"/>
    <x v="0"/>
    <x v="2"/>
    <n v="200483"/>
    <n v="200040"/>
    <n v="2640"/>
    <s v="Unique"/>
    <n v="99.779033633774432"/>
  </r>
  <r>
    <x v="10"/>
    <n v="28"/>
    <x v="0"/>
    <x v="2"/>
    <n v="157615"/>
    <n v="155580"/>
    <n v="3630"/>
    <s v="Unique"/>
    <n v="98.708879231037656"/>
  </r>
  <r>
    <x v="11"/>
    <n v="31"/>
    <x v="0"/>
    <x v="2"/>
    <n v="160831"/>
    <n v="160590"/>
    <n v="8430"/>
    <s v="Unique"/>
    <n v="99.850153266472262"/>
  </r>
  <r>
    <x v="0"/>
    <n v="30"/>
    <x v="0"/>
    <x v="3"/>
    <n v="163814"/>
    <n v="261840"/>
    <n v="4912"/>
    <s v="Unique"/>
    <n v="159.83981833054563"/>
  </r>
  <r>
    <x v="1"/>
    <n v="31"/>
    <x v="0"/>
    <x v="3"/>
    <n v="458888"/>
    <n v="579600"/>
    <n v="1690"/>
    <s v="Unique"/>
    <n v="126.30532940499644"/>
  </r>
  <r>
    <x v="2"/>
    <n v="30"/>
    <x v="0"/>
    <x v="3"/>
    <n v="667791"/>
    <n v="887940"/>
    <n v="370"/>
    <s v="Unique"/>
    <n v="132.96675157347133"/>
  </r>
  <r>
    <x v="3"/>
    <n v="31"/>
    <x v="0"/>
    <x v="3"/>
    <n v="779685"/>
    <n v="1208880"/>
    <n v="478"/>
    <s v="Unique"/>
    <n v="155.04723061236268"/>
  </r>
  <r>
    <x v="4"/>
    <n v="31"/>
    <x v="0"/>
    <x v="3"/>
    <n v="581677"/>
    <n v="834270"/>
    <n v="2720"/>
    <s v="Unique"/>
    <n v="143.42495921275898"/>
  </r>
  <r>
    <x v="5"/>
    <n v="30"/>
    <x v="0"/>
    <x v="3"/>
    <n v="587854"/>
    <n v="597360"/>
    <n v="700"/>
    <s v="Unique"/>
    <n v="101.61706818359661"/>
  </r>
  <r>
    <x v="6"/>
    <n v="31"/>
    <x v="0"/>
    <x v="3"/>
    <n v="188431"/>
    <n v="237390"/>
    <n v="5009"/>
    <s v="Unique"/>
    <n v="125.98245511619639"/>
  </r>
  <r>
    <x v="7"/>
    <n v="30"/>
    <x v="0"/>
    <x v="3"/>
    <n v="100086"/>
    <n v="150810"/>
    <n v="5618"/>
    <s v="Unique"/>
    <n v="150.68041484323481"/>
  </r>
  <r>
    <x v="8"/>
    <n v="31"/>
    <x v="0"/>
    <x v="3"/>
    <n v="70010"/>
    <n v="175080"/>
    <n v="5392"/>
    <s v="Unique"/>
    <n v="250.07856020568488"/>
  </r>
  <r>
    <x v="9"/>
    <n v="31"/>
    <x v="0"/>
    <x v="3"/>
    <n v="88593"/>
    <n v="200040"/>
    <n v="4395"/>
    <s v="Unique"/>
    <n v="225.796620500491"/>
  </r>
  <r>
    <x v="10"/>
    <n v="28"/>
    <x v="0"/>
    <x v="3"/>
    <n v="86588"/>
    <n v="155580"/>
    <n v="4384"/>
    <s v="Unique"/>
    <n v="179.67847738716682"/>
  </r>
  <r>
    <x v="11"/>
    <n v="31"/>
    <x v="0"/>
    <x v="3"/>
    <n v="71840"/>
    <n v="160590"/>
    <n v="6278"/>
    <s v="Unique"/>
    <n v="223.53841870824053"/>
  </r>
  <r>
    <x v="0"/>
    <n v="30"/>
    <x v="0"/>
    <x v="4"/>
    <n v="109526"/>
    <n v="110052"/>
    <n v="2544"/>
    <s v="Unique"/>
    <n v="100.48025126453992"/>
  </r>
  <r>
    <x v="1"/>
    <n v="31"/>
    <x v="0"/>
    <x v="4"/>
    <n v="230066"/>
    <n v="224220"/>
    <n v="1536"/>
    <s v="Unique"/>
    <n v="97.458990028948207"/>
  </r>
  <r>
    <x v="2"/>
    <n v="30"/>
    <x v="0"/>
    <x v="4"/>
    <n v="315371"/>
    <n v="309600"/>
    <n v="12"/>
    <s v="Unique"/>
    <n v="98.170091733228475"/>
  </r>
  <r>
    <x v="3"/>
    <n v="31"/>
    <x v="0"/>
    <x v="4"/>
    <n v="489014"/>
    <n v="484140"/>
    <n v="48"/>
    <s v="Unique"/>
    <n v="99.003300519003545"/>
  </r>
  <r>
    <x v="4"/>
    <n v="31"/>
    <x v="0"/>
    <x v="4"/>
    <n v="356587"/>
    <n v="358464"/>
    <n v="96"/>
    <s v="Unique"/>
    <n v="100.52637925667509"/>
  </r>
  <r>
    <x v="5"/>
    <n v="30"/>
    <x v="0"/>
    <x v="4"/>
    <n v="310040"/>
    <n v="304452"/>
    <n v="408"/>
    <s v="Unique"/>
    <n v="98.197651915881821"/>
  </r>
  <r>
    <x v="6"/>
    <n v="31"/>
    <x v="0"/>
    <x v="4"/>
    <n v="137425"/>
    <n v="130080"/>
    <n v="264"/>
    <s v="Unique"/>
    <n v="94.655266509004903"/>
  </r>
  <r>
    <x v="7"/>
    <n v="30"/>
    <x v="0"/>
    <x v="4"/>
    <n v="113870"/>
    <n v="109752"/>
    <n v="2148"/>
    <s v="Unique"/>
    <n v="96.383595328005626"/>
  </r>
  <r>
    <x v="8"/>
    <n v="31"/>
    <x v="0"/>
    <x v="4"/>
    <n v="120513"/>
    <n v="119412"/>
    <n v="1608"/>
    <s v="Unique"/>
    <n v="99.086405615991637"/>
  </r>
  <r>
    <x v="9"/>
    <n v="31"/>
    <x v="0"/>
    <x v="4"/>
    <n v="138253"/>
    <n v="137700"/>
    <n v="1380"/>
    <s v="Unique"/>
    <n v="99.600008679739318"/>
  </r>
  <r>
    <x v="10"/>
    <n v="28"/>
    <x v="0"/>
    <x v="4"/>
    <n v="90650"/>
    <n v="89196"/>
    <n v="1296"/>
    <s v="Unique"/>
    <n v="98.396028681742962"/>
  </r>
  <r>
    <x v="11"/>
    <n v="31"/>
    <x v="0"/>
    <x v="4"/>
    <n v="78798"/>
    <n v="79152"/>
    <n v="3936"/>
    <s v="Unique"/>
    <n v="100.44924998096398"/>
  </r>
  <r>
    <x v="0"/>
    <n v="30"/>
    <x v="0"/>
    <x v="5"/>
    <n v="331644"/>
    <n v="323682"/>
    <n v="4912"/>
    <s v="Unique"/>
    <n v="97.599232912400041"/>
  </r>
  <r>
    <x v="1"/>
    <n v="31"/>
    <x v="0"/>
    <x v="5"/>
    <n v="264323"/>
    <n v="255734"/>
    <n v="1690"/>
    <s v="Unique"/>
    <n v="96.750566541693303"/>
  </r>
  <r>
    <x v="2"/>
    <n v="30"/>
    <x v="0"/>
    <x v="5"/>
    <n v="529853"/>
    <n v="517407"/>
    <n v="1380"/>
    <s v="Unique"/>
    <n v="97.651046611041167"/>
  </r>
  <r>
    <x v="3"/>
    <n v="31"/>
    <x v="0"/>
    <x v="5"/>
    <n v="492003"/>
    <n v="480028"/>
    <n v="1296"/>
    <s v="Unique"/>
    <n v="97.566071751595004"/>
  </r>
  <r>
    <x v="4"/>
    <n v="31"/>
    <x v="0"/>
    <x v="5"/>
    <n v="384444"/>
    <n v="373756"/>
    <n v="96"/>
    <s v="Unique"/>
    <n v="97.219881179053388"/>
  </r>
  <r>
    <x v="5"/>
    <n v="30"/>
    <x v="0"/>
    <x v="5"/>
    <n v="285516"/>
    <n v="276438"/>
    <n v="498"/>
    <s v="Unique"/>
    <n v="96.820493422435177"/>
  </r>
  <r>
    <x v="6"/>
    <n v="31"/>
    <x v="0"/>
    <x v="5"/>
    <n v="95973"/>
    <n v="88630"/>
    <n v="264"/>
    <s v="Unique"/>
    <n v="92.348889791920641"/>
  </r>
  <r>
    <x v="7"/>
    <n v="30"/>
    <x v="0"/>
    <x v="5"/>
    <n v="78835"/>
    <n v="73745"/>
    <n v="408"/>
    <s v="Unique"/>
    <n v="93.543476882095504"/>
  </r>
  <r>
    <x v="8"/>
    <n v="31"/>
    <x v="0"/>
    <x v="5"/>
    <n v="88592"/>
    <n v="82779"/>
    <n v="264"/>
    <s v="Unique"/>
    <n v="93.438459454578293"/>
  </r>
  <r>
    <x v="9"/>
    <n v="31"/>
    <x v="0"/>
    <x v="5"/>
    <n v="73156"/>
    <n v="68041"/>
    <n v="2580"/>
    <s v="Unique"/>
    <n v="93.008092295915574"/>
  </r>
  <r>
    <x v="10"/>
    <n v="28"/>
    <x v="0"/>
    <x v="5"/>
    <n v="63235"/>
    <n v="58988"/>
    <n v="2640"/>
    <s v="Unique"/>
    <n v="93.283782715268444"/>
  </r>
  <r>
    <x v="11"/>
    <n v="31"/>
    <x v="0"/>
    <x v="5"/>
    <n v="151526"/>
    <n v="145516"/>
    <n v="936"/>
    <s v="Unique"/>
    <n v="96.033683988226443"/>
  </r>
  <r>
    <x v="0"/>
    <n v="30"/>
    <x v="0"/>
    <x v="6"/>
    <n v="219282"/>
    <n v="207898"/>
    <n v="0"/>
    <s v="Unique"/>
    <n v="94.808511414525583"/>
  </r>
  <r>
    <x v="1"/>
    <n v="31"/>
    <x v="0"/>
    <x v="6"/>
    <n v="300591"/>
    <n v="286144"/>
    <n v="0"/>
    <s v="Unique"/>
    <n v="95.193801544291077"/>
  </r>
  <r>
    <x v="2"/>
    <n v="30"/>
    <x v="0"/>
    <x v="6"/>
    <n v="728153"/>
    <n v="694213"/>
    <n v="0"/>
    <s v="Unique"/>
    <n v="95.338891688971955"/>
  </r>
  <r>
    <x v="3"/>
    <n v="31"/>
    <x v="0"/>
    <x v="6"/>
    <n v="906149"/>
    <n v="864747"/>
    <n v="0"/>
    <s v="Unique"/>
    <n v="95.430994240461558"/>
  </r>
  <r>
    <x v="4"/>
    <n v="31"/>
    <x v="0"/>
    <x v="6"/>
    <n v="563218"/>
    <n v="537907"/>
    <n v="0"/>
    <s v="Unique"/>
    <n v="95.50600300416535"/>
  </r>
  <r>
    <x v="5"/>
    <n v="30"/>
    <x v="0"/>
    <x v="6"/>
    <n v="353039"/>
    <n v="337010"/>
    <n v="0"/>
    <s v="Unique"/>
    <n v="95.459708417483625"/>
  </r>
  <r>
    <x v="6"/>
    <n v="31"/>
    <x v="0"/>
    <x v="6"/>
    <n v="251084"/>
    <n v="239036"/>
    <n v="0"/>
    <s v="Unique"/>
    <n v="95.201605837090369"/>
  </r>
  <r>
    <x v="7"/>
    <n v="30"/>
    <x v="0"/>
    <x v="6"/>
    <n v="240813"/>
    <n v="230110"/>
    <n v="0"/>
    <s v="Unique"/>
    <n v="95.55547250356085"/>
  </r>
  <r>
    <x v="8"/>
    <n v="31"/>
    <x v="0"/>
    <x v="6"/>
    <n v="262489"/>
    <n v="251404"/>
    <n v="0"/>
    <s v="Unique"/>
    <n v="95.776965891904041"/>
  </r>
  <r>
    <x v="9"/>
    <n v="31"/>
    <x v="0"/>
    <x v="6"/>
    <n v="164933"/>
    <n v="155774"/>
    <n v="0"/>
    <s v="Unique"/>
    <n v="94.446835987946613"/>
  </r>
  <r>
    <x v="10"/>
    <n v="28"/>
    <x v="0"/>
    <x v="6"/>
    <n v="108487"/>
    <n v="101237"/>
    <n v="0"/>
    <s v="Unique"/>
    <n v="93.31717164268531"/>
  </r>
  <r>
    <x v="11"/>
    <n v="31"/>
    <x v="0"/>
    <x v="6"/>
    <n v="159730"/>
    <n v="150263"/>
    <n v="0"/>
    <s v="Unique"/>
    <n v="94.073123395730292"/>
  </r>
  <r>
    <x v="0"/>
    <n v="30"/>
    <x v="0"/>
    <x v="7"/>
    <n v="476289"/>
    <n v="441827"/>
    <n v="726"/>
    <s v="Unique"/>
    <n v="92.764477029702547"/>
  </r>
  <r>
    <x v="1"/>
    <n v="31"/>
    <x v="0"/>
    <x v="7"/>
    <n v="658404"/>
    <n v="626816"/>
    <n v="643"/>
    <s v="Unique"/>
    <n v="95.202337774375607"/>
  </r>
  <r>
    <x v="2"/>
    <n v="30"/>
    <x v="0"/>
    <x v="7"/>
    <n v="1676253"/>
    <n v="1655025"/>
    <n v="164"/>
    <s v="Unique"/>
    <n v="98.733604056189606"/>
  </r>
  <r>
    <x v="3"/>
    <n v="31"/>
    <x v="0"/>
    <x v="7"/>
    <n v="1761245"/>
    <n v="1651751"/>
    <n v="554"/>
    <s v="Unique"/>
    <n v="93.783147716530067"/>
  </r>
  <r>
    <x v="4"/>
    <n v="31"/>
    <x v="0"/>
    <x v="7"/>
    <n v="1029272"/>
    <n v="993951"/>
    <n v="169"/>
    <s v="Unique"/>
    <n v="96.568351223000334"/>
  </r>
  <r>
    <x v="5"/>
    <n v="30"/>
    <x v="0"/>
    <x v="7"/>
    <n v="714955"/>
    <n v="691147"/>
    <n v="987"/>
    <s v="Unique"/>
    <n v="96.670000209803419"/>
  </r>
  <r>
    <x v="6"/>
    <n v="31"/>
    <x v="0"/>
    <x v="7"/>
    <n v="389363"/>
    <n v="380298"/>
    <n v="517"/>
    <s v="Unique"/>
    <n v="97.671838361631686"/>
  </r>
  <r>
    <x v="7"/>
    <n v="30"/>
    <x v="0"/>
    <x v="7"/>
    <n v="626254"/>
    <n v="590454"/>
    <n v="610"/>
    <s v="Unique"/>
    <n v="94.28346964650126"/>
  </r>
  <r>
    <x v="8"/>
    <n v="31"/>
    <x v="0"/>
    <x v="7"/>
    <n v="770756"/>
    <n v="753687"/>
    <n v="527"/>
    <s v="Unique"/>
    <n v="97.785421067108132"/>
  </r>
  <r>
    <x v="9"/>
    <n v="31"/>
    <x v="0"/>
    <x v="7"/>
    <n v="300125"/>
    <n v="282805"/>
    <n v="983"/>
    <s v="Unique"/>
    <n v="94.229071220324869"/>
  </r>
  <r>
    <x v="10"/>
    <n v="28"/>
    <x v="0"/>
    <x v="7"/>
    <n v="243955"/>
    <n v="232502"/>
    <n v="663"/>
    <s v="Unique"/>
    <n v="95.30528171179111"/>
  </r>
  <r>
    <x v="11"/>
    <n v="31"/>
    <x v="0"/>
    <x v="7"/>
    <n v="372611"/>
    <n v="360310"/>
    <n v="902"/>
    <s v="Unique"/>
    <n v="96.698701863337362"/>
  </r>
  <r>
    <x v="0"/>
    <n v="30"/>
    <x v="0"/>
    <x v="8"/>
    <n v="140572"/>
    <n v="137022"/>
    <n v="268"/>
    <s v="Unique"/>
    <n v="97.474603761773324"/>
  </r>
  <r>
    <x v="1"/>
    <n v="31"/>
    <x v="0"/>
    <x v="8"/>
    <n v="269319"/>
    <n v="264196"/>
    <n v="133"/>
    <s v="Unique"/>
    <n v="98.097794808387079"/>
  </r>
  <r>
    <x v="2"/>
    <n v="30"/>
    <x v="0"/>
    <x v="8"/>
    <n v="429863"/>
    <n v="423789"/>
    <n v="454"/>
    <s v="Unique"/>
    <n v="98.586991669438873"/>
  </r>
  <r>
    <x v="3"/>
    <n v="31"/>
    <x v="0"/>
    <x v="8"/>
    <n v="640519"/>
    <n v="615882"/>
    <n v="758"/>
    <s v="Unique"/>
    <n v="96.153587949771975"/>
  </r>
  <r>
    <x v="4"/>
    <n v="31"/>
    <x v="0"/>
    <x v="8"/>
    <n v="509323"/>
    <n v="508221"/>
    <n v="221"/>
    <s v="Unique"/>
    <n v="99.783634353838337"/>
  </r>
  <r>
    <x v="5"/>
    <n v="30"/>
    <x v="0"/>
    <x v="8"/>
    <n v="313122"/>
    <n v="315109"/>
    <n v="218"/>
    <s v="Unique"/>
    <n v="100.63457693806248"/>
  </r>
  <r>
    <x v="6"/>
    <n v="31"/>
    <x v="0"/>
    <x v="8"/>
    <n v="236352"/>
    <n v="227708"/>
    <n v="595"/>
    <s v="Unique"/>
    <n v="96.342743027349044"/>
  </r>
  <r>
    <x v="7"/>
    <n v="30"/>
    <x v="0"/>
    <x v="8"/>
    <n v="196029"/>
    <n v="191891"/>
    <n v="289"/>
    <s v="Unique"/>
    <n v="97.889087839044223"/>
  </r>
  <r>
    <x v="8"/>
    <n v="31"/>
    <x v="0"/>
    <x v="8"/>
    <n v="254096"/>
    <n v="250326"/>
    <n v="790"/>
    <s v="Unique"/>
    <n v="98.516308796675261"/>
  </r>
  <r>
    <x v="9"/>
    <n v="31"/>
    <x v="0"/>
    <x v="8"/>
    <n v="117357"/>
    <n v="114966"/>
    <n v="390"/>
    <s v="Unique"/>
    <n v="97.962626856514731"/>
  </r>
  <r>
    <x v="10"/>
    <n v="28"/>
    <x v="0"/>
    <x v="8"/>
    <n v="103604"/>
    <n v="101644"/>
    <n v="983"/>
    <s v="Unique"/>
    <n v="98.108181151306894"/>
  </r>
  <r>
    <x v="11"/>
    <n v="31"/>
    <x v="0"/>
    <x v="8"/>
    <n v="96127"/>
    <n v="94005"/>
    <n v="351"/>
    <s v="Unique"/>
    <n v="97.792503667023837"/>
  </r>
  <r>
    <x v="0"/>
    <n v="30"/>
    <x v="0"/>
    <x v="9"/>
    <n v="258780"/>
    <n v="250800"/>
    <n v="760"/>
    <s v="Unique"/>
    <n v="96.916299559471369"/>
  </r>
  <r>
    <x v="1"/>
    <n v="31"/>
    <x v="0"/>
    <x v="9"/>
    <n v="714965"/>
    <n v="695400"/>
    <n v="747"/>
    <s v="Unique"/>
    <n v="97.26350240920884"/>
  </r>
  <r>
    <x v="2"/>
    <n v="30"/>
    <x v="0"/>
    <x v="9"/>
    <n v="1094593"/>
    <n v="1079100"/>
    <n v="560"/>
    <s v="Unique"/>
    <n v="98.584588061498664"/>
  </r>
  <r>
    <x v="3"/>
    <n v="31"/>
    <x v="0"/>
    <x v="9"/>
    <n v="1264772"/>
    <n v="1250700"/>
    <n v="506"/>
    <s v="Unique"/>
    <n v="98.887388398857652"/>
  </r>
  <r>
    <x v="4"/>
    <n v="31"/>
    <x v="0"/>
    <x v="9"/>
    <n v="786909"/>
    <n v="775500"/>
    <n v="497"/>
    <s v="Unique"/>
    <n v="98.550150017346354"/>
  </r>
  <r>
    <x v="5"/>
    <n v="30"/>
    <x v="0"/>
    <x v="9"/>
    <n v="582525"/>
    <n v="572100"/>
    <n v="779"/>
    <s v="Unique"/>
    <n v="98.210377237028453"/>
  </r>
  <r>
    <x v="6"/>
    <n v="31"/>
    <x v="0"/>
    <x v="9"/>
    <n v="389248"/>
    <n v="354900"/>
    <n v="935"/>
    <s v="Unique"/>
    <n v="91.1758056560342"/>
  </r>
  <r>
    <x v="7"/>
    <n v="30"/>
    <x v="0"/>
    <x v="9"/>
    <n v="363582"/>
    <n v="326700"/>
    <n v="828"/>
    <s v="Unique"/>
    <n v="89.855933462052576"/>
  </r>
  <r>
    <x v="8"/>
    <n v="31"/>
    <x v="0"/>
    <x v="9"/>
    <n v="511622"/>
    <n v="462000"/>
    <n v="357"/>
    <s v="Unique"/>
    <n v="90.301042566582353"/>
  </r>
  <r>
    <x v="9"/>
    <n v="31"/>
    <x v="0"/>
    <x v="9"/>
    <n v="478778"/>
    <n v="431700"/>
    <n v="481"/>
    <s v="Unique"/>
    <n v="90.167050282176703"/>
  </r>
  <r>
    <x v="10"/>
    <n v="28"/>
    <x v="0"/>
    <x v="9"/>
    <n v="361358"/>
    <n v="323100"/>
    <n v="249"/>
    <s v="Unique"/>
    <n v="89.412715368139075"/>
  </r>
  <r>
    <x v="11"/>
    <n v="31"/>
    <x v="0"/>
    <x v="9"/>
    <n v="270088"/>
    <n v="249900"/>
    <n v="798"/>
    <s v="Unique"/>
    <n v="92.525399129172712"/>
  </r>
  <r>
    <x v="0"/>
    <n v="30"/>
    <x v="0"/>
    <x v="10"/>
    <n v="171974"/>
    <n v="168457"/>
    <n v="919"/>
    <s v="Unique"/>
    <n v="97.954923418656307"/>
  </r>
  <r>
    <x v="1"/>
    <n v="31"/>
    <x v="0"/>
    <x v="10"/>
    <n v="196519"/>
    <n v="191144"/>
    <n v="722"/>
    <s v="Unique"/>
    <n v="97.264895506286919"/>
  </r>
  <r>
    <x v="2"/>
    <n v="30"/>
    <x v="0"/>
    <x v="10"/>
    <n v="381766"/>
    <n v="370909"/>
    <n v="468"/>
    <s v="Unique"/>
    <n v="97.156111335215812"/>
  </r>
  <r>
    <x v="3"/>
    <n v="31"/>
    <x v="0"/>
    <x v="10"/>
    <n v="409543"/>
    <n v="406505"/>
    <n v="996"/>
    <s v="Unique"/>
    <n v="99.258197551905411"/>
  </r>
  <r>
    <x v="4"/>
    <n v="31"/>
    <x v="0"/>
    <x v="10"/>
    <n v="241576"/>
    <n v="239028"/>
    <n v="484"/>
    <s v="Unique"/>
    <n v="98.945259462860548"/>
  </r>
  <r>
    <x v="5"/>
    <n v="30"/>
    <x v="0"/>
    <x v="10"/>
    <n v="189969"/>
    <n v="203462"/>
    <n v="608"/>
    <s v="Unique"/>
    <n v="107.10273781511721"/>
  </r>
  <r>
    <x v="6"/>
    <n v="31"/>
    <x v="0"/>
    <x v="10"/>
    <n v="150448"/>
    <n v="152718"/>
    <n v="589"/>
    <s v="Unique"/>
    <n v="101.50882697011592"/>
  </r>
  <r>
    <x v="7"/>
    <n v="30"/>
    <x v="0"/>
    <x v="10"/>
    <n v="143294"/>
    <n v="144096"/>
    <n v="223"/>
    <s v="Unique"/>
    <n v="100.55968847265065"/>
  </r>
  <r>
    <x v="8"/>
    <n v="31"/>
    <x v="0"/>
    <x v="10"/>
    <n v="199338"/>
    <n v="197919"/>
    <n v="379"/>
    <s v="Unique"/>
    <n v="99.288143755831797"/>
  </r>
  <r>
    <x v="9"/>
    <n v="31"/>
    <x v="0"/>
    <x v="10"/>
    <n v="90253"/>
    <n v="87138"/>
    <n v="832"/>
    <s v="Unique"/>
    <n v="96.548591182564564"/>
  </r>
  <r>
    <x v="10"/>
    <n v="28"/>
    <x v="0"/>
    <x v="10"/>
    <n v="64874"/>
    <n v="62945"/>
    <n v="843"/>
    <s v="Unique"/>
    <n v="97.026543761753544"/>
  </r>
  <r>
    <x v="11"/>
    <n v="31"/>
    <x v="0"/>
    <x v="10"/>
    <n v="78518"/>
    <n v="76165"/>
    <n v="784"/>
    <s v="Unique"/>
    <n v="97.003234927023101"/>
  </r>
  <r>
    <x v="0"/>
    <n v="30"/>
    <x v="0"/>
    <x v="11"/>
    <n v="97303"/>
    <n v="95760"/>
    <n v="1060"/>
    <s v="Unique"/>
    <n v="98.414231832523143"/>
  </r>
  <r>
    <x v="1"/>
    <n v="31"/>
    <x v="0"/>
    <x v="11"/>
    <n v="333321"/>
    <n v="329640"/>
    <n v="377"/>
    <s v="Unique"/>
    <n v="98.895659139388158"/>
  </r>
  <r>
    <x v="2"/>
    <n v="30"/>
    <x v="0"/>
    <x v="11"/>
    <n v="512447"/>
    <n v="507120"/>
    <n v="253"/>
    <s v="Unique"/>
    <n v="98.960477864052294"/>
  </r>
  <r>
    <x v="3"/>
    <n v="31"/>
    <x v="0"/>
    <x v="11"/>
    <n v="565152"/>
    <n v="557640"/>
    <n v="926"/>
    <s v="Unique"/>
    <n v="98.670800067946317"/>
  </r>
  <r>
    <x v="4"/>
    <n v="31"/>
    <x v="0"/>
    <x v="11"/>
    <n v="370267"/>
    <n v="366120"/>
    <n v="727"/>
    <s v="Unique"/>
    <n v="98.879997407276363"/>
  </r>
  <r>
    <x v="5"/>
    <n v="30"/>
    <x v="0"/>
    <x v="11"/>
    <n v="328380"/>
    <n v="324480"/>
    <n v="395"/>
    <s v="Unique"/>
    <n v="98.812351543942995"/>
  </r>
  <r>
    <x v="6"/>
    <n v="31"/>
    <x v="0"/>
    <x v="11"/>
    <n v="214405"/>
    <n v="211560"/>
    <n v="634"/>
    <s v="Unique"/>
    <n v="98.673071989925603"/>
  </r>
  <r>
    <x v="7"/>
    <n v="30"/>
    <x v="0"/>
    <x v="11"/>
    <n v="114972"/>
    <n v="112920"/>
    <n v="398"/>
    <s v="Unique"/>
    <n v="98.215217618202686"/>
  </r>
  <r>
    <x v="8"/>
    <n v="31"/>
    <x v="0"/>
    <x v="11"/>
    <n v="151310"/>
    <n v="148800"/>
    <n v="861"/>
    <s v="Unique"/>
    <n v="98.341153922410939"/>
  </r>
  <r>
    <x v="9"/>
    <n v="31"/>
    <x v="0"/>
    <x v="11"/>
    <n v="167433"/>
    <n v="164880"/>
    <n v="542"/>
    <s v="Unique"/>
    <n v="98.475210979914351"/>
  </r>
  <r>
    <x v="10"/>
    <n v="28"/>
    <x v="0"/>
    <x v="11"/>
    <n v="122785"/>
    <n v="120840"/>
    <n v="230"/>
    <s v="Unique"/>
    <n v="98.415930284643892"/>
  </r>
  <r>
    <x v="11"/>
    <n v="31"/>
    <x v="0"/>
    <x v="11"/>
    <n v="107521"/>
    <n v="105720"/>
    <n v="931"/>
    <s v="Unique"/>
    <n v="98.324978376317191"/>
  </r>
  <r>
    <x v="0"/>
    <n v="30"/>
    <x v="0"/>
    <x v="12"/>
    <n v="79898"/>
    <n v="78720"/>
    <n v="2205"/>
    <s v="Unique"/>
    <n v="98.525620165711274"/>
  </r>
  <r>
    <x v="1"/>
    <n v="31"/>
    <x v="0"/>
    <x v="12"/>
    <n v="303507"/>
    <n v="300480"/>
    <n v="3428"/>
    <s v="Unique"/>
    <n v="99.002658917257264"/>
  </r>
  <r>
    <x v="2"/>
    <n v="30"/>
    <x v="0"/>
    <x v="12"/>
    <n v="451797"/>
    <n v="447600"/>
    <n v="2181"/>
    <s v="Unique"/>
    <n v="99.071042968412797"/>
  </r>
  <r>
    <x v="3"/>
    <n v="31"/>
    <x v="0"/>
    <x v="12"/>
    <n v="576227"/>
    <n v="570960"/>
    <n v="1953"/>
    <s v="Unique"/>
    <n v="99.085950502145863"/>
  </r>
  <r>
    <x v="4"/>
    <n v="31"/>
    <x v="0"/>
    <x v="12"/>
    <n v="334623"/>
    <n v="331320"/>
    <n v="2167"/>
    <s v="Unique"/>
    <n v="99.012919016325839"/>
  </r>
  <r>
    <x v="5"/>
    <n v="30"/>
    <x v="0"/>
    <x v="12"/>
    <n v="280705"/>
    <n v="282960"/>
    <n v="2955"/>
    <s v="Unique"/>
    <n v="100.80333446144529"/>
  </r>
  <r>
    <x v="6"/>
    <n v="31"/>
    <x v="0"/>
    <x v="12"/>
    <n v="172176"/>
    <n v="190920"/>
    <n v="612"/>
    <s v="Unique"/>
    <n v="110.8865347086702"/>
  </r>
  <r>
    <x v="7"/>
    <n v="30"/>
    <x v="0"/>
    <x v="12"/>
    <n v="110067"/>
    <n v="121920"/>
    <n v="2319"/>
    <s v="Unique"/>
    <n v="110.76889530922074"/>
  </r>
  <r>
    <x v="8"/>
    <n v="31"/>
    <x v="0"/>
    <x v="12"/>
    <n v="169891"/>
    <n v="188520"/>
    <n v="2294"/>
    <s v="Unique"/>
    <n v="110.96526596464793"/>
  </r>
  <r>
    <x v="9"/>
    <n v="31"/>
    <x v="0"/>
    <x v="12"/>
    <n v="156341"/>
    <n v="174000"/>
    <n v="3068"/>
    <s v="Unique"/>
    <n v="111.29518168618597"/>
  </r>
  <r>
    <x v="10"/>
    <n v="28"/>
    <x v="0"/>
    <x v="12"/>
    <n v="119286"/>
    <n v="132240"/>
    <n v="1544"/>
    <s v="Unique"/>
    <n v="110.85961470750969"/>
  </r>
  <r>
    <x v="11"/>
    <n v="31"/>
    <x v="0"/>
    <x v="12"/>
    <n v="92824"/>
    <n v="92880"/>
    <n v="3464"/>
    <s v="Unique"/>
    <n v="100.06032922520038"/>
  </r>
  <r>
    <x v="0"/>
    <n v="30"/>
    <x v="0"/>
    <x v="13"/>
    <n v="74156"/>
    <n v="72960"/>
    <n v="1123"/>
    <s v="Unique"/>
    <n v="98.387183774745139"/>
  </r>
  <r>
    <x v="1"/>
    <n v="31"/>
    <x v="0"/>
    <x v="13"/>
    <n v="268448"/>
    <n v="265800"/>
    <n v="3835"/>
    <s v="Unique"/>
    <n v="99.013589223983786"/>
  </r>
  <r>
    <x v="2"/>
    <n v="30"/>
    <x v="0"/>
    <x v="13"/>
    <n v="440627"/>
    <n v="436680"/>
    <n v="3973"/>
    <s v="Unique"/>
    <n v="99.104231016256378"/>
  </r>
  <r>
    <x v="3"/>
    <n v="31"/>
    <x v="0"/>
    <x v="13"/>
    <n v="548812"/>
    <n v="543960"/>
    <n v="3017"/>
    <s v="Unique"/>
    <n v="99.115908544273807"/>
  </r>
  <r>
    <x v="4"/>
    <n v="31"/>
    <x v="0"/>
    <x v="13"/>
    <n v="317894"/>
    <n v="314760"/>
    <n v="3753"/>
    <s v="Unique"/>
    <n v="99.014136787734273"/>
  </r>
  <r>
    <x v="5"/>
    <n v="30"/>
    <x v="0"/>
    <x v="13"/>
    <n v="297333"/>
    <n v="293880"/>
    <n v="1259"/>
    <s v="Unique"/>
    <n v="98.838675828111917"/>
  </r>
  <r>
    <x v="6"/>
    <n v="31"/>
    <x v="0"/>
    <x v="13"/>
    <n v="162441"/>
    <n v="160320"/>
    <n v="353"/>
    <s v="Unique"/>
    <n v="98.694295159473285"/>
  </r>
  <r>
    <x v="7"/>
    <n v="30"/>
    <x v="0"/>
    <x v="13"/>
    <n v="82963"/>
    <n v="81600"/>
    <n v="475"/>
    <s v="Unique"/>
    <n v="98.357098947723685"/>
  </r>
  <r>
    <x v="8"/>
    <n v="31"/>
    <x v="0"/>
    <x v="13"/>
    <n v="122817"/>
    <n v="120960"/>
    <n v="964"/>
    <s v="Unique"/>
    <n v="98.487994333032063"/>
  </r>
  <r>
    <x v="9"/>
    <n v="31"/>
    <x v="0"/>
    <x v="13"/>
    <n v="131967"/>
    <n v="130320"/>
    <n v="2375"/>
    <s v="Unique"/>
    <n v="98.751960717452093"/>
  </r>
  <r>
    <x v="10"/>
    <n v="28"/>
    <x v="0"/>
    <x v="13"/>
    <n v="94547"/>
    <n v="93240"/>
    <n v="1822"/>
    <s v="Unique"/>
    <n v="98.617618750462725"/>
  </r>
  <r>
    <x v="11"/>
    <n v="31"/>
    <x v="0"/>
    <x v="13"/>
    <n v="79458"/>
    <n v="78120"/>
    <n v="505"/>
    <s v="Unique"/>
    <n v="98.316091520048332"/>
  </r>
  <r>
    <x v="0"/>
    <n v="30"/>
    <x v="0"/>
    <x v="14"/>
    <n v="65681"/>
    <n v="65022"/>
    <n v="666"/>
    <s v="Unique"/>
    <n v="98.996665702410141"/>
  </r>
  <r>
    <x v="1"/>
    <n v="31"/>
    <x v="0"/>
    <x v="14"/>
    <n v="410674"/>
    <n v="413562"/>
    <n v="736"/>
    <s v="Unique"/>
    <n v="100.70323419549325"/>
  </r>
  <r>
    <x v="2"/>
    <n v="30"/>
    <x v="0"/>
    <x v="14"/>
    <n v="693305"/>
    <n v="698968"/>
    <n v="919"/>
    <s v="Unique"/>
    <n v="100.8168122254996"/>
  </r>
  <r>
    <x v="3"/>
    <n v="31"/>
    <x v="0"/>
    <x v="14"/>
    <n v="776700"/>
    <n v="774886"/>
    <n v="222"/>
    <s v="Unique"/>
    <n v="99.766447791940266"/>
  </r>
  <r>
    <x v="4"/>
    <n v="31"/>
    <x v="0"/>
    <x v="14"/>
    <n v="555312"/>
    <n v="553290"/>
    <n v="993"/>
    <s v="Unique"/>
    <n v="99.635880369954194"/>
  </r>
  <r>
    <x v="5"/>
    <n v="30"/>
    <x v="0"/>
    <x v="14"/>
    <n v="538512"/>
    <n v="535034"/>
    <n v="680"/>
    <s v="Unique"/>
    <n v="99.354146240009513"/>
  </r>
  <r>
    <x v="6"/>
    <n v="31"/>
    <x v="0"/>
    <x v="14"/>
    <n v="182395"/>
    <n v="180214"/>
    <n v="928"/>
    <s v="Unique"/>
    <n v="98.804243537377673"/>
  </r>
  <r>
    <x v="7"/>
    <n v="30"/>
    <x v="0"/>
    <x v="14"/>
    <n v="64982"/>
    <n v="62608"/>
    <n v="738"/>
    <s v="Unique"/>
    <n v="96.346680619248403"/>
  </r>
  <r>
    <x v="8"/>
    <n v="31"/>
    <x v="0"/>
    <x v="14"/>
    <n v="46591"/>
    <n v="44072"/>
    <n v="963"/>
    <s v="Unique"/>
    <n v="94.593376403167994"/>
  </r>
  <r>
    <x v="9"/>
    <n v="31"/>
    <x v="0"/>
    <x v="14"/>
    <n v="53796"/>
    <n v="51382"/>
    <n v="439"/>
    <s v="Unique"/>
    <n v="95.512677522492382"/>
  </r>
  <r>
    <x v="10"/>
    <n v="28"/>
    <x v="0"/>
    <x v="14"/>
    <n v="46699"/>
    <n v="44156"/>
    <n v="893"/>
    <s v="Unique"/>
    <n v="94.55448724812095"/>
  </r>
  <r>
    <x v="11"/>
    <n v="31"/>
    <x v="0"/>
    <x v="14"/>
    <n v="38273"/>
    <n v="35926"/>
    <n v="306"/>
    <s v="Unique"/>
    <n v="93.867739659812401"/>
  </r>
  <r>
    <x v="0"/>
    <n v="30"/>
    <x v="0"/>
    <x v="15"/>
    <n v="73091"/>
    <n v="71310"/>
    <n v="1565"/>
    <s v="Unique"/>
    <n v="97.563311488418549"/>
  </r>
  <r>
    <x v="1"/>
    <n v="31"/>
    <x v="0"/>
    <x v="15"/>
    <n v="428322"/>
    <n v="426274"/>
    <n v="1655"/>
    <s v="Unique"/>
    <n v="99.521855052974161"/>
  </r>
  <r>
    <x v="2"/>
    <n v="30"/>
    <x v="0"/>
    <x v="15"/>
    <n v="727064"/>
    <n v="725368"/>
    <n v="3253"/>
    <s v="Unique"/>
    <n v="99.76673305238603"/>
  </r>
  <r>
    <x v="3"/>
    <n v="31"/>
    <x v="0"/>
    <x v="15"/>
    <n v="805352"/>
    <n v="806478"/>
    <n v="2552"/>
    <s v="Unique"/>
    <n v="100.13981464005801"/>
  </r>
  <r>
    <x v="4"/>
    <n v="31"/>
    <x v="0"/>
    <x v="15"/>
    <n v="580775"/>
    <n v="581134"/>
    <n v="1660"/>
    <s v="Unique"/>
    <n v="100.06181395549049"/>
  </r>
  <r>
    <x v="5"/>
    <n v="30"/>
    <x v="0"/>
    <x v="15"/>
    <n v="567000"/>
    <n v="567424"/>
    <n v="2327"/>
    <s v="Unique"/>
    <n v="100.07477954144622"/>
  </r>
  <r>
    <x v="6"/>
    <n v="31"/>
    <x v="0"/>
    <x v="15"/>
    <n v="191935"/>
    <n v="190720"/>
    <n v="2312"/>
    <s v="Unique"/>
    <n v="99.366973194050061"/>
  </r>
  <r>
    <x v="7"/>
    <n v="30"/>
    <x v="0"/>
    <x v="15"/>
    <n v="67539"/>
    <n v="65346"/>
    <n v="1549"/>
    <s v="Unique"/>
    <n v="96.752987162972502"/>
  </r>
  <r>
    <x v="8"/>
    <n v="31"/>
    <x v="0"/>
    <x v="15"/>
    <n v="53908"/>
    <n v="51492"/>
    <n v="2529"/>
    <s v="Unique"/>
    <n v="95.518290420716781"/>
  </r>
  <r>
    <x v="9"/>
    <n v="31"/>
    <x v="0"/>
    <x v="15"/>
    <n v="55229"/>
    <n v="52996"/>
    <n v="407"/>
    <s v="Unique"/>
    <n v="95.956834271849928"/>
  </r>
  <r>
    <x v="10"/>
    <n v="28"/>
    <x v="0"/>
    <x v="15"/>
    <n v="48371"/>
    <n v="46190"/>
    <n v="2598"/>
    <s v="Unique"/>
    <n v="95.491100039279729"/>
  </r>
  <r>
    <x v="11"/>
    <n v="31"/>
    <x v="0"/>
    <x v="15"/>
    <n v="36737"/>
    <n v="34570"/>
    <n v="3388"/>
    <s v="Unique"/>
    <n v="94.101314750796206"/>
  </r>
  <r>
    <x v="0"/>
    <n v="30"/>
    <x v="0"/>
    <x v="16"/>
    <n v="63668"/>
    <n v="64986"/>
    <n v="203"/>
    <s v="Unique"/>
    <n v="102.07011371489602"/>
  </r>
  <r>
    <x v="1"/>
    <n v="31"/>
    <x v="0"/>
    <x v="16"/>
    <n v="409122"/>
    <n v="420252"/>
    <n v="1122"/>
    <s v="Unique"/>
    <n v="102.72045991171336"/>
  </r>
  <r>
    <x v="2"/>
    <n v="30"/>
    <x v="0"/>
    <x v="16"/>
    <n v="700960"/>
    <n v="711634"/>
    <n v="2381"/>
    <s v="Unique"/>
    <n v="101.52276877425246"/>
  </r>
  <r>
    <x v="3"/>
    <n v="31"/>
    <x v="0"/>
    <x v="16"/>
    <n v="801871"/>
    <n v="815826"/>
    <n v="1593"/>
    <s v="Unique"/>
    <n v="101.74030486200398"/>
  </r>
  <r>
    <x v="4"/>
    <n v="31"/>
    <x v="0"/>
    <x v="16"/>
    <n v="568713"/>
    <n v="568096"/>
    <n v="2299"/>
    <s v="Unique"/>
    <n v="99.891509425668133"/>
  </r>
  <r>
    <x v="5"/>
    <n v="30"/>
    <x v="0"/>
    <x v="16"/>
    <n v="519121"/>
    <n v="517522"/>
    <n v="2870"/>
    <s v="Unique"/>
    <n v="99.691979326592445"/>
  </r>
  <r>
    <x v="6"/>
    <n v="31"/>
    <x v="0"/>
    <x v="16"/>
    <n v="184179"/>
    <n v="182192"/>
    <n v="3395"/>
    <s v="Unique"/>
    <n v="98.921158221078414"/>
  </r>
  <r>
    <x v="7"/>
    <n v="30"/>
    <x v="0"/>
    <x v="16"/>
    <n v="72612"/>
    <n v="70412"/>
    <n v="207"/>
    <s v="Unique"/>
    <n v="96.970197763455076"/>
  </r>
  <r>
    <x v="8"/>
    <n v="31"/>
    <x v="0"/>
    <x v="16"/>
    <n v="53654"/>
    <n v="51260"/>
    <n v="967"/>
    <s v="Unique"/>
    <n v="95.538077310172582"/>
  </r>
  <r>
    <x v="9"/>
    <n v="31"/>
    <x v="0"/>
    <x v="16"/>
    <n v="69259"/>
    <n v="66704"/>
    <n v="3764"/>
    <s v="Unique"/>
    <n v="96.310948757562201"/>
  </r>
  <r>
    <x v="10"/>
    <n v="28"/>
    <x v="0"/>
    <x v="16"/>
    <n v="51832"/>
    <n v="49396"/>
    <n v="3561"/>
    <s v="Unique"/>
    <n v="95.300200648248193"/>
  </r>
  <r>
    <x v="11"/>
    <n v="31"/>
    <x v="0"/>
    <x v="16"/>
    <n v="40449"/>
    <n v="38300"/>
    <n v="371"/>
    <s v="Unique"/>
    <n v="94.687136888427403"/>
  </r>
  <r>
    <x v="0"/>
    <n v="30"/>
    <x v="0"/>
    <x v="17"/>
    <n v="73049"/>
    <n v="70940"/>
    <n v="0"/>
    <s v="Unique"/>
    <n v="97.112896822680668"/>
  </r>
  <r>
    <x v="1"/>
    <n v="31"/>
    <x v="0"/>
    <x v="17"/>
    <n v="154355"/>
    <n v="150951"/>
    <n v="0"/>
    <s v="Unique"/>
    <n v="97.794694049431513"/>
  </r>
  <r>
    <x v="2"/>
    <n v="30"/>
    <x v="0"/>
    <x v="17"/>
    <n v="306695"/>
    <n v="300171"/>
    <n v="0"/>
    <s v="Unique"/>
    <n v="97.872805229951581"/>
  </r>
  <r>
    <x v="3"/>
    <n v="31"/>
    <x v="0"/>
    <x v="17"/>
    <n v="438606"/>
    <n v="430253"/>
    <n v="0"/>
    <s v="Unique"/>
    <n v="98.095557288317991"/>
  </r>
  <r>
    <x v="4"/>
    <n v="31"/>
    <x v="0"/>
    <x v="17"/>
    <n v="406878"/>
    <n v="398629"/>
    <n v="0"/>
    <s v="Unique"/>
    <n v="97.972610954635059"/>
  </r>
  <r>
    <x v="5"/>
    <n v="30"/>
    <x v="0"/>
    <x v="17"/>
    <n v="248114"/>
    <n v="243049"/>
    <n v="0"/>
    <s v="Unique"/>
    <n v="97.958599675955398"/>
  </r>
  <r>
    <x v="6"/>
    <n v="31"/>
    <x v="0"/>
    <x v="17"/>
    <n v="134565"/>
    <n v="131227"/>
    <n v="0"/>
    <s v="Unique"/>
    <n v="97.519414409393235"/>
  </r>
  <r>
    <x v="7"/>
    <n v="30"/>
    <x v="0"/>
    <x v="17"/>
    <n v="118513"/>
    <n v="115746"/>
    <n v="0"/>
    <s v="Unique"/>
    <n v="97.665235037506434"/>
  </r>
  <r>
    <x v="8"/>
    <n v="31"/>
    <x v="0"/>
    <x v="17"/>
    <n v="194705"/>
    <n v="191232"/>
    <n v="0"/>
    <s v="Unique"/>
    <n v="98.216275904573592"/>
  </r>
  <r>
    <x v="9"/>
    <n v="31"/>
    <x v="0"/>
    <x v="17"/>
    <n v="64339"/>
    <n v="61840"/>
    <n v="0"/>
    <s v="Unique"/>
    <n v="96.115886165467288"/>
  </r>
  <r>
    <x v="10"/>
    <n v="28"/>
    <x v="0"/>
    <x v="17"/>
    <n v="43925"/>
    <n v="42031"/>
    <n v="0"/>
    <s v="Unique"/>
    <n v="95.688104723961303"/>
  </r>
  <r>
    <x v="11"/>
    <n v="31"/>
    <x v="0"/>
    <x v="17"/>
    <n v="61228"/>
    <n v="58870"/>
    <n v="0"/>
    <s v="Unique"/>
    <n v="96.148820800940754"/>
  </r>
  <r>
    <x v="0"/>
    <n v="30"/>
    <x v="0"/>
    <x v="18"/>
    <n v="144094"/>
    <n v="150910"/>
    <n v="0"/>
    <s v="Unique"/>
    <n v="104.73024553416519"/>
  </r>
  <r>
    <x v="1"/>
    <n v="31"/>
    <x v="0"/>
    <x v="18"/>
    <n v="289033"/>
    <n v="297003"/>
    <n v="0"/>
    <s v="Unique"/>
    <n v="102.75747060024287"/>
  </r>
  <r>
    <x v="2"/>
    <n v="30"/>
    <x v="0"/>
    <x v="18"/>
    <n v="896088"/>
    <n v="912130"/>
    <n v="0"/>
    <s v="Unique"/>
    <n v="101.79022595995035"/>
  </r>
  <r>
    <x v="3"/>
    <n v="31"/>
    <x v="0"/>
    <x v="18"/>
    <n v="1143510"/>
    <n v="1162156"/>
    <n v="0"/>
    <s v="Unique"/>
    <n v="101.63059352344972"/>
  </r>
  <r>
    <x v="4"/>
    <n v="31"/>
    <x v="0"/>
    <x v="18"/>
    <n v="712766"/>
    <n v="725434"/>
    <n v="0"/>
    <s v="Unique"/>
    <n v="101.77730138642977"/>
  </r>
  <r>
    <x v="5"/>
    <n v="30"/>
    <x v="0"/>
    <x v="18"/>
    <n v="413154"/>
    <n v="422571"/>
    <n v="0"/>
    <s v="Unique"/>
    <n v="102.27929537170159"/>
  </r>
  <r>
    <x v="6"/>
    <n v="31"/>
    <x v="0"/>
    <x v="18"/>
    <n v="234365"/>
    <n v="241172"/>
    <n v="0"/>
    <s v="Unique"/>
    <n v="102.90444392294071"/>
  </r>
  <r>
    <x v="7"/>
    <n v="30"/>
    <x v="0"/>
    <x v="18"/>
    <n v="230171"/>
    <n v="236136"/>
    <n v="0"/>
    <s v="Unique"/>
    <n v="102.59155149866839"/>
  </r>
  <r>
    <x v="8"/>
    <n v="31"/>
    <x v="0"/>
    <x v="18"/>
    <n v="364063"/>
    <n v="370684"/>
    <n v="0"/>
    <s v="Unique"/>
    <n v="101.81864127911928"/>
  </r>
  <r>
    <x v="9"/>
    <n v="31"/>
    <x v="0"/>
    <x v="18"/>
    <n v="138437"/>
    <n v="144683"/>
    <n v="0"/>
    <s v="Unique"/>
    <n v="104.51179959114975"/>
  </r>
  <r>
    <x v="10"/>
    <n v="28"/>
    <x v="0"/>
    <x v="18"/>
    <n v="94205"/>
    <n v="100234"/>
    <n v="0"/>
    <s v="Unique"/>
    <n v="106.39987261822621"/>
  </r>
  <r>
    <x v="11"/>
    <n v="31"/>
    <x v="0"/>
    <x v="18"/>
    <n v="120404"/>
    <n v="126585"/>
    <n v="0"/>
    <s v="Unique"/>
    <n v="105.13355038038603"/>
  </r>
  <r>
    <x v="0"/>
    <n v="30"/>
    <x v="0"/>
    <x v="19"/>
    <n v="50670"/>
    <n v="55212"/>
    <n v="288"/>
    <s v="Unique"/>
    <n v="108.96388395500296"/>
  </r>
  <r>
    <x v="1"/>
    <n v="31"/>
    <x v="0"/>
    <x v="19"/>
    <n v="251507"/>
    <n v="246334"/>
    <n v="174"/>
    <s v="Unique"/>
    <n v="97.943198400044523"/>
  </r>
  <r>
    <x v="2"/>
    <n v="30"/>
    <x v="0"/>
    <x v="19"/>
    <n v="413424"/>
    <n v="405863"/>
    <n v="204"/>
    <s v="Unique"/>
    <n v="98.171126978598238"/>
  </r>
  <r>
    <x v="3"/>
    <n v="31"/>
    <x v="0"/>
    <x v="19"/>
    <n v="519827"/>
    <n v="510362"/>
    <n v="168"/>
    <s v="Unique"/>
    <n v="98.179201926794875"/>
  </r>
  <r>
    <x v="4"/>
    <n v="31"/>
    <x v="0"/>
    <x v="19"/>
    <n v="346487"/>
    <n v="339781"/>
    <n v="194"/>
    <s v="Unique"/>
    <n v="98.064573851255602"/>
  </r>
  <r>
    <x v="5"/>
    <n v="30"/>
    <x v="0"/>
    <x v="19"/>
    <n v="350327"/>
    <n v="343584"/>
    <n v="299"/>
    <s v="Unique"/>
    <n v="98.075226859476999"/>
  </r>
  <r>
    <x v="6"/>
    <n v="31"/>
    <x v="0"/>
    <x v="19"/>
    <n v="103871"/>
    <n v="101218"/>
    <n v="207"/>
    <s v="Unique"/>
    <n v="97.445870358425353"/>
  </r>
  <r>
    <x v="7"/>
    <n v="30"/>
    <x v="0"/>
    <x v="19"/>
    <n v="21762"/>
    <n v="20852"/>
    <n v="254"/>
    <s v="Unique"/>
    <n v="95.818399044205492"/>
  </r>
  <r>
    <x v="8"/>
    <n v="31"/>
    <x v="0"/>
    <x v="19"/>
    <n v="13222"/>
    <n v="12645"/>
    <n v="223"/>
    <s v="Unique"/>
    <n v="95.636061110270759"/>
  </r>
  <r>
    <x v="9"/>
    <n v="31"/>
    <x v="0"/>
    <x v="19"/>
    <n v="20538"/>
    <n v="19720"/>
    <n v="176"/>
    <s v="Unique"/>
    <n v="96.017138961924246"/>
  </r>
  <r>
    <x v="10"/>
    <n v="28"/>
    <x v="0"/>
    <x v="19"/>
    <n v="27208"/>
    <n v="26233"/>
    <n v="277"/>
    <s v="Unique"/>
    <n v="96.416495148485737"/>
  </r>
  <r>
    <x v="11"/>
    <n v="31"/>
    <x v="0"/>
    <x v="19"/>
    <n v="24203"/>
    <n v="23291"/>
    <n v="245"/>
    <s v="Unique"/>
    <n v="96.231872081973307"/>
  </r>
  <r>
    <x v="0"/>
    <n v="30"/>
    <x v="0"/>
    <x v="20"/>
    <n v="50540"/>
    <n v="49032"/>
    <n v="747"/>
    <s v="Unique"/>
    <n v="97.016224772457463"/>
  </r>
  <r>
    <x v="1"/>
    <n v="31"/>
    <x v="0"/>
    <x v="20"/>
    <n v="222317"/>
    <n v="217894"/>
    <n v="301"/>
    <s v="Unique"/>
    <n v="98.010498522380203"/>
  </r>
  <r>
    <x v="2"/>
    <n v="30"/>
    <x v="0"/>
    <x v="20"/>
    <n v="348898"/>
    <n v="343038"/>
    <n v="505"/>
    <s v="Unique"/>
    <n v="98.320426027091017"/>
  </r>
  <r>
    <x v="3"/>
    <n v="31"/>
    <x v="0"/>
    <x v="20"/>
    <n v="460469"/>
    <n v="453002"/>
    <n v="910"/>
    <s v="Unique"/>
    <n v="98.378392465073645"/>
  </r>
  <r>
    <x v="4"/>
    <n v="31"/>
    <x v="0"/>
    <x v="20"/>
    <n v="327055"/>
    <n v="321516"/>
    <n v="266"/>
    <s v="Unique"/>
    <n v="98.306401064041211"/>
  </r>
  <r>
    <x v="5"/>
    <n v="30"/>
    <x v="0"/>
    <x v="20"/>
    <n v="320352"/>
    <n v="315162"/>
    <n v="724"/>
    <s v="Unique"/>
    <n v="98.379907102187587"/>
  </r>
  <r>
    <x v="6"/>
    <n v="31"/>
    <x v="0"/>
    <x v="20"/>
    <n v="78126"/>
    <n v="76485"/>
    <n v="890"/>
    <s v="Unique"/>
    <n v="97.899546885799865"/>
  </r>
  <r>
    <x v="7"/>
    <n v="30"/>
    <x v="0"/>
    <x v="20"/>
    <n v="22053"/>
    <n v="21226"/>
    <n v="338"/>
    <s v="Unique"/>
    <n v="96.249943318369375"/>
  </r>
  <r>
    <x v="8"/>
    <n v="31"/>
    <x v="0"/>
    <x v="20"/>
    <n v="11986"/>
    <n v="11446"/>
    <n v="214"/>
    <s v="Unique"/>
    <n v="95.494743867845827"/>
  </r>
  <r>
    <x v="9"/>
    <n v="31"/>
    <x v="0"/>
    <x v="20"/>
    <n v="18441"/>
    <n v="17667"/>
    <n v="272"/>
    <s v="Unique"/>
    <n v="95.802830649097132"/>
  </r>
  <r>
    <x v="10"/>
    <n v="28"/>
    <x v="0"/>
    <x v="20"/>
    <n v="25740"/>
    <n v="24744"/>
    <n v="547"/>
    <s v="Unique"/>
    <n v="96.130536130536129"/>
  </r>
  <r>
    <x v="11"/>
    <n v="31"/>
    <x v="0"/>
    <x v="20"/>
    <n v="23679"/>
    <n v="22730"/>
    <n v="598"/>
    <s v="Unique"/>
    <n v="95.992229401579451"/>
  </r>
  <r>
    <x v="0"/>
    <n v="30"/>
    <x v="0"/>
    <x v="21"/>
    <n v="57100"/>
    <n v="55212"/>
    <n v="1404"/>
    <s v="Unique"/>
    <n v="96.693520140105079"/>
  </r>
  <r>
    <x v="1"/>
    <n v="31"/>
    <x v="0"/>
    <x v="21"/>
    <n v="171724"/>
    <n v="169017"/>
    <n v="689"/>
    <s v="Unique"/>
    <n v="98.423633271994589"/>
  </r>
  <r>
    <x v="2"/>
    <n v="30"/>
    <x v="0"/>
    <x v="21"/>
    <n v="228064"/>
    <n v="222654"/>
    <n v="838"/>
    <s v="Unique"/>
    <n v="97.627858846639541"/>
  </r>
  <r>
    <x v="3"/>
    <n v="31"/>
    <x v="0"/>
    <x v="21"/>
    <n v="271084"/>
    <n v="267435"/>
    <n v="771"/>
    <s v="Unique"/>
    <n v="98.653922769326101"/>
  </r>
  <r>
    <x v="4"/>
    <n v="31"/>
    <x v="0"/>
    <x v="21"/>
    <n v="228996"/>
    <n v="225236"/>
    <n v="664"/>
    <s v="Unique"/>
    <n v="98.358049922269387"/>
  </r>
  <r>
    <x v="5"/>
    <n v="30"/>
    <x v="0"/>
    <x v="21"/>
    <n v="204970"/>
    <n v="201857"/>
    <n v="688"/>
    <s v="Unique"/>
    <n v="98.481241157242522"/>
  </r>
  <r>
    <x v="6"/>
    <n v="31"/>
    <x v="0"/>
    <x v="21"/>
    <n v="73840"/>
    <n v="72194"/>
    <n v="417"/>
    <s v="Unique"/>
    <n v="97.770855904658731"/>
  </r>
  <r>
    <x v="7"/>
    <n v="30"/>
    <x v="0"/>
    <x v="21"/>
    <n v="41982"/>
    <n v="40403"/>
    <n v="286"/>
    <s v="Unique"/>
    <n v="96.238864275165554"/>
  </r>
  <r>
    <x v="8"/>
    <n v="31"/>
    <x v="0"/>
    <x v="21"/>
    <n v="54167"/>
    <n v="52561"/>
    <n v="574"/>
    <s v="Unique"/>
    <n v="97.035095168645114"/>
  </r>
  <r>
    <x v="9"/>
    <n v="31"/>
    <x v="0"/>
    <x v="21"/>
    <n v="59175"/>
    <n v="57832"/>
    <n v="390"/>
    <s v="Unique"/>
    <n v="97.730460498521339"/>
  </r>
  <r>
    <x v="10"/>
    <n v="28"/>
    <x v="0"/>
    <x v="21"/>
    <n v="50343"/>
    <n v="49218"/>
    <n v="394"/>
    <s v="Unique"/>
    <n v="97.765329837316017"/>
  </r>
  <r>
    <x v="11"/>
    <n v="31"/>
    <x v="0"/>
    <x v="21"/>
    <n v="30691"/>
    <n v="29755"/>
    <n v="355"/>
    <s v="Unique"/>
    <n v="96.950246000456161"/>
  </r>
  <r>
    <x v="0"/>
    <n v="30"/>
    <x v="0"/>
    <x v="22"/>
    <n v="70083"/>
    <n v="68638"/>
    <n v="450"/>
    <s v="Unique"/>
    <n v="97.938159039995426"/>
  </r>
  <r>
    <x v="1"/>
    <n v="31"/>
    <x v="0"/>
    <x v="22"/>
    <n v="210941"/>
    <n v="207567"/>
    <n v="488"/>
    <s v="Unique"/>
    <n v="98.400500613915739"/>
  </r>
  <r>
    <x v="2"/>
    <n v="30"/>
    <x v="0"/>
    <x v="22"/>
    <n v="279699"/>
    <n v="278762"/>
    <n v="830"/>
    <s v="Unique"/>
    <n v="99.664997014647895"/>
  </r>
  <r>
    <x v="3"/>
    <n v="31"/>
    <x v="0"/>
    <x v="22"/>
    <n v="337061"/>
    <n v="322060"/>
    <n v="506"/>
    <s v="Unique"/>
    <n v="95.549470273926673"/>
  </r>
  <r>
    <x v="4"/>
    <n v="31"/>
    <x v="0"/>
    <x v="22"/>
    <n v="293213"/>
    <n v="298180"/>
    <n v="701"/>
    <s v="Unique"/>
    <n v="101.69399037559725"/>
  </r>
  <r>
    <x v="5"/>
    <n v="30"/>
    <x v="0"/>
    <x v="22"/>
    <n v="265924"/>
    <n v="259620"/>
    <n v="985"/>
    <s v="Unique"/>
    <n v="97.629397873076513"/>
  </r>
  <r>
    <x v="6"/>
    <n v="31"/>
    <x v="0"/>
    <x v="22"/>
    <n v="81058"/>
    <n v="79220"/>
    <n v="355"/>
    <s v="Unique"/>
    <n v="97.732487848207455"/>
  </r>
  <r>
    <x v="7"/>
    <n v="30"/>
    <x v="0"/>
    <x v="22"/>
    <n v="46318"/>
    <n v="45069"/>
    <n v="842"/>
    <s v="Unique"/>
    <n v="97.303424154756243"/>
  </r>
  <r>
    <x v="8"/>
    <n v="31"/>
    <x v="0"/>
    <x v="22"/>
    <n v="64385"/>
    <n v="62931"/>
    <n v="993"/>
    <s v="Unique"/>
    <n v="97.741710025627086"/>
  </r>
  <r>
    <x v="9"/>
    <n v="31"/>
    <x v="0"/>
    <x v="22"/>
    <n v="65293"/>
    <n v="63880"/>
    <n v="536"/>
    <s v="Unique"/>
    <n v="97.835908902945192"/>
  </r>
  <r>
    <x v="10"/>
    <n v="28"/>
    <x v="0"/>
    <x v="22"/>
    <n v="55756"/>
    <n v="54480"/>
    <n v="721"/>
    <s v="Unique"/>
    <n v="97.711457062916992"/>
  </r>
  <r>
    <x v="11"/>
    <n v="31"/>
    <x v="0"/>
    <x v="22"/>
    <n v="32158"/>
    <n v="31160"/>
    <n v="205"/>
    <s v="Unique"/>
    <n v="96.896573169973252"/>
  </r>
  <r>
    <x v="0"/>
    <n v="30"/>
    <x v="0"/>
    <x v="23"/>
    <n v="83272"/>
    <n v="80100"/>
    <n v="1466"/>
    <s v="Unique"/>
    <n v="96.190796426169655"/>
  </r>
  <r>
    <x v="1"/>
    <n v="31"/>
    <x v="0"/>
    <x v="23"/>
    <n v="153501"/>
    <n v="150255"/>
    <n v="447"/>
    <s v="Unique"/>
    <n v="97.885355795727719"/>
  </r>
  <r>
    <x v="2"/>
    <n v="30"/>
    <x v="0"/>
    <x v="23"/>
    <n v="250536"/>
    <n v="249495"/>
    <n v="3646"/>
    <s v="Unique"/>
    <n v="99.584490851614134"/>
  </r>
  <r>
    <x v="3"/>
    <n v="31"/>
    <x v="0"/>
    <x v="23"/>
    <n v="345420"/>
    <n v="337710"/>
    <n v="3028"/>
    <s v="Unique"/>
    <n v="97.767934688205656"/>
  </r>
  <r>
    <x v="4"/>
    <n v="31"/>
    <x v="0"/>
    <x v="23"/>
    <n v="227488"/>
    <n v="224708"/>
    <n v="2763"/>
    <s v="Unique"/>
    <n v="98.777957518638345"/>
  </r>
  <r>
    <x v="5"/>
    <n v="30"/>
    <x v="0"/>
    <x v="23"/>
    <n v="204536"/>
    <n v="202133"/>
    <n v="1540"/>
    <s v="Unique"/>
    <n v="98.825145695623263"/>
  </r>
  <r>
    <x v="6"/>
    <n v="31"/>
    <x v="0"/>
    <x v="23"/>
    <n v="89306"/>
    <n v="87578"/>
    <n v="484"/>
    <s v="Unique"/>
    <n v="98.06507961391172"/>
  </r>
  <r>
    <x v="7"/>
    <n v="30"/>
    <x v="0"/>
    <x v="23"/>
    <n v="65678"/>
    <n v="65318"/>
    <n v="3837"/>
    <s v="Unique"/>
    <n v="99.451871250647088"/>
  </r>
  <r>
    <x v="8"/>
    <n v="31"/>
    <x v="0"/>
    <x v="23"/>
    <n v="70598"/>
    <n v="66997"/>
    <n v="813"/>
    <s v="Unique"/>
    <n v="94.899288931697782"/>
  </r>
  <r>
    <x v="9"/>
    <n v="31"/>
    <x v="0"/>
    <x v="23"/>
    <n v="74438"/>
    <n v="75143"/>
    <n v="454"/>
    <s v="Unique"/>
    <n v="100.94709691286707"/>
  </r>
  <r>
    <x v="10"/>
    <n v="28"/>
    <x v="0"/>
    <x v="23"/>
    <n v="59183"/>
    <n v="59160"/>
    <n v="393"/>
    <s v="Unique"/>
    <n v="99.961137488805903"/>
  </r>
  <r>
    <x v="11"/>
    <n v="31"/>
    <x v="0"/>
    <x v="23"/>
    <n v="62143"/>
    <n v="61950"/>
    <n v="3710"/>
    <s v="Unique"/>
    <n v="99.689426001319532"/>
  </r>
  <r>
    <x v="0"/>
    <n v="30"/>
    <x v="0"/>
    <x v="24"/>
    <n v="1009776"/>
    <n v="970280"/>
    <n v="557"/>
    <s v="Unique"/>
    <n v="96.088637479995569"/>
  </r>
  <r>
    <x v="1"/>
    <n v="31"/>
    <x v="0"/>
    <x v="24"/>
    <n v="1399165"/>
    <n v="1358748"/>
    <n v="615"/>
    <s v="Unique"/>
    <n v="97.111348554316322"/>
  </r>
  <r>
    <x v="2"/>
    <n v="30"/>
    <x v="0"/>
    <x v="24"/>
    <n v="2466331"/>
    <n v="2403665"/>
    <n v="210"/>
    <s v="Unique"/>
    <n v="97.459140723609281"/>
  </r>
  <r>
    <x v="3"/>
    <n v="31"/>
    <x v="0"/>
    <x v="24"/>
    <n v="2993395"/>
    <n v="2919780"/>
    <n v="14"/>
    <s v="Unique"/>
    <n v="97.540752222810553"/>
  </r>
  <r>
    <x v="4"/>
    <n v="31"/>
    <x v="0"/>
    <x v="24"/>
    <n v="2148147"/>
    <n v="2097476"/>
    <n v="166"/>
    <s v="Unique"/>
    <n v="97.641176325456314"/>
  </r>
  <r>
    <x v="5"/>
    <n v="30"/>
    <x v="0"/>
    <x v="24"/>
    <n v="1644366"/>
    <n v="1600225"/>
    <n v="365"/>
    <s v="Unique"/>
    <n v="97.315621947911836"/>
  </r>
  <r>
    <x v="6"/>
    <n v="31"/>
    <x v="0"/>
    <x v="24"/>
    <n v="972341"/>
    <n v="940703"/>
    <n v="201"/>
    <s v="Unique"/>
    <n v="96.746203235284739"/>
  </r>
  <r>
    <x v="7"/>
    <n v="30"/>
    <x v="0"/>
    <x v="24"/>
    <n v="740848"/>
    <n v="708646"/>
    <n v="162"/>
    <s v="Unique"/>
    <n v="95.653359393559811"/>
  </r>
  <r>
    <x v="8"/>
    <n v="31"/>
    <x v="0"/>
    <x v="24"/>
    <n v="765627"/>
    <n v="734937"/>
    <n v="258"/>
    <s v="Unique"/>
    <n v="95.991520675211291"/>
  </r>
  <r>
    <x v="9"/>
    <n v="31"/>
    <x v="0"/>
    <x v="24"/>
    <n v="494693"/>
    <n v="469743"/>
    <n v="485"/>
    <s v="Unique"/>
    <n v="94.956467950830117"/>
  </r>
  <r>
    <x v="10"/>
    <n v="28"/>
    <x v="0"/>
    <x v="24"/>
    <n v="439473"/>
    <n v="414841"/>
    <n v="481"/>
    <s v="Unique"/>
    <n v="94.39510504627134"/>
  </r>
  <r>
    <x v="11"/>
    <n v="31"/>
    <x v="0"/>
    <x v="24"/>
    <n v="605307"/>
    <n v="574430"/>
    <n v="778"/>
    <s v="Unique"/>
    <n v="94.8989521019912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d v="2025-04-01T00:00:00"/>
    <s v="FY 2025-26"/>
    <x v="0"/>
    <n v="217947"/>
    <n v="209819"/>
    <n v="8128"/>
    <n v="3.73E-2"/>
    <e v="#VALUE!"/>
  </r>
  <r>
    <d v="2025-05-01T00:00:00"/>
    <s v="FY 2025-26"/>
    <x v="0"/>
    <n v="254619"/>
    <n v="274677"/>
    <n v="-20058"/>
    <n v="-7.8799999999999995E-2"/>
    <s v="OK"/>
  </r>
  <r>
    <d v="2025-06-01T00:00:00"/>
    <s v="FY 2025-26"/>
    <x v="0"/>
    <n v="605946"/>
    <n v="611235"/>
    <n v="-5289"/>
    <n v="-8.6999999999999994E-3"/>
    <s v="OK"/>
  </r>
  <r>
    <d v="2025-07-01T00:00:00"/>
    <s v="FY 2025-26"/>
    <x v="0"/>
    <n v="916873"/>
    <n v="897647"/>
    <n v="19226"/>
    <n v="2.1000000000000001E-2"/>
    <s v="OK"/>
  </r>
  <r>
    <d v="2025-08-01T00:00:00"/>
    <s v="FY 2025-26"/>
    <x v="0"/>
    <n v="456470"/>
    <n v="448823"/>
    <n v="7647"/>
    <n v="1.6799999999999999E-2"/>
    <s v="OK"/>
  </r>
  <r>
    <d v="2025-09-01T00:00:00"/>
    <s v="FY 2025-26"/>
    <x v="0"/>
    <n v="212766"/>
    <n v="217455"/>
    <n v="-4689"/>
    <n v="-2.1999999999999999E-2"/>
    <s v="OK"/>
  </r>
  <r>
    <d v="2025-10-01T00:00:00"/>
    <s v="FY 2025-26"/>
    <x v="0"/>
    <n v="158041"/>
    <n v="152769"/>
    <n v="5272"/>
    <n v="3.3399999999999999E-2"/>
    <s v="OK"/>
  </r>
  <r>
    <d v="2025-11-01T00:00:00"/>
    <s v="FY 2025-26"/>
    <x v="0"/>
    <n v="228812"/>
    <n v="216193"/>
    <n v="12619"/>
    <n v="5.5199999999999999E-2"/>
    <s v="OK"/>
  </r>
  <r>
    <d v="2025-12-01T00:00:00"/>
    <s v="FY 2025-26"/>
    <x v="0"/>
    <n v="355409"/>
    <n v="355304"/>
    <n v="105"/>
    <n v="2.9999999999999997E-4"/>
    <s v="OK"/>
  </r>
  <r>
    <d v="2026-01-01T00:00:00"/>
    <s v="FY 2025-26"/>
    <x v="0"/>
    <n v="88129"/>
    <n v="83708"/>
    <n v="4421"/>
    <n v="5.0200000000000002E-2"/>
    <s v="OK"/>
  </r>
  <r>
    <d v="2026-02-01T00:00:00"/>
    <s v="FY 2025-26"/>
    <x v="0"/>
    <n v="104770"/>
    <n v="101267"/>
    <n v="3503"/>
    <n v="3.3399999999999999E-2"/>
    <s v="OK"/>
  </r>
  <r>
    <d v="2026-03-01T00:00:00"/>
    <s v="FY 2025-26"/>
    <x v="0"/>
    <n v="101593"/>
    <n v="95418"/>
    <n v="6175"/>
    <n v="6.08E-2"/>
    <s v="OK"/>
  </r>
  <r>
    <d v="2025-04-01T00:00:00"/>
    <s v="FY 2025-26"/>
    <x v="1"/>
    <n v="61241"/>
    <n v="59664"/>
    <n v="1577"/>
    <n v="2.58E-2"/>
    <s v="OK"/>
  </r>
  <r>
    <d v="2025-05-01T00:00:00"/>
    <s v="FY 2025-26"/>
    <x v="1"/>
    <n v="144532"/>
    <n v="142434"/>
    <n v="2098"/>
    <n v="1.4500000000000001E-2"/>
    <s v="OK"/>
  </r>
  <r>
    <d v="2025-06-01T00:00:00"/>
    <s v="FY 2025-26"/>
    <x v="1"/>
    <n v="212401"/>
    <n v="209574"/>
    <n v="2827"/>
    <n v="1.3299999999999999E-2"/>
    <s v="OK"/>
  </r>
  <r>
    <d v="2025-07-01T00:00:00"/>
    <s v="FY 2025-26"/>
    <x v="1"/>
    <n v="251795"/>
    <n v="247152"/>
    <n v="4643"/>
    <n v="1.84E-2"/>
    <s v="OK"/>
  </r>
  <r>
    <d v="2025-08-01T00:00:00"/>
    <s v="FY 2025-26"/>
    <x v="1"/>
    <n v="173052"/>
    <n v="170958"/>
    <n v="2094"/>
    <n v="1.21E-2"/>
    <s v="OK"/>
  </r>
  <r>
    <d v="2025-09-01T00:00:00"/>
    <s v="FY 2025-26"/>
    <x v="1"/>
    <n v="152977"/>
    <n v="151764"/>
    <n v="1213"/>
    <n v="7.9000000000000008E-3"/>
    <s v="OK"/>
  </r>
  <r>
    <d v="2025-10-01T00:00:00"/>
    <s v="FY 2025-26"/>
    <x v="1"/>
    <n v="65827"/>
    <n v="64434"/>
    <n v="1393"/>
    <n v="2.12E-2"/>
    <s v="OK"/>
  </r>
  <r>
    <d v="2025-11-01T00:00:00"/>
    <s v="FY 2025-26"/>
    <x v="1"/>
    <n v="36192"/>
    <n v="36330"/>
    <n v="-138"/>
    <n v="-3.8E-3"/>
    <s v="OK"/>
  </r>
  <r>
    <d v="2025-12-01T00:00:00"/>
    <s v="FY 2025-26"/>
    <x v="1"/>
    <n v="26592"/>
    <n v="26292"/>
    <n v="300"/>
    <n v="1.1299999999999999E-2"/>
    <s v="OK"/>
  </r>
  <r>
    <d v="2026-01-01T00:00:00"/>
    <s v="FY 2025-26"/>
    <x v="1"/>
    <n v="28477"/>
    <n v="28206"/>
    <n v="271"/>
    <n v="9.4999999999999998E-3"/>
    <s v="OK"/>
  </r>
  <r>
    <d v="2026-02-01T00:00:00"/>
    <s v="FY 2025-26"/>
    <x v="1"/>
    <n v="24663"/>
    <n v="24264"/>
    <n v="399"/>
    <n v="1.6199999999999999E-2"/>
    <s v="OK"/>
  </r>
  <r>
    <d v="2026-03-01T00:00:00"/>
    <s v="FY 2025-26"/>
    <x v="1"/>
    <n v="35997"/>
    <n v="36072"/>
    <n v="-75"/>
    <n v="-2.0999999999999999E-3"/>
    <s v="OK"/>
  </r>
  <r>
    <d v="2025-04-01T00:00:00"/>
    <s v="FY 2025-26"/>
    <x v="2"/>
    <n v="272213"/>
    <n v="261840"/>
    <n v="10373"/>
    <n v="3.8100000000000002E-2"/>
    <s v="OK"/>
  </r>
  <r>
    <d v="2025-05-01T00:00:00"/>
    <s v="FY 2025-26"/>
    <x v="2"/>
    <n v="589198"/>
    <n v="579600"/>
    <n v="9598"/>
    <n v="1.6299999999999999E-2"/>
    <s v="OK"/>
  </r>
  <r>
    <d v="2025-06-01T00:00:00"/>
    <s v="FY 2025-26"/>
    <x v="2"/>
    <n v="899206"/>
    <n v="887940"/>
    <n v="11266"/>
    <n v="1.2500000000000001E-2"/>
    <s v="OK"/>
  </r>
  <r>
    <d v="2025-07-01T00:00:00"/>
    <s v="FY 2025-26"/>
    <x v="2"/>
    <n v="1233923"/>
    <n v="1208880"/>
    <n v="25043"/>
    <n v="2.0299999999999999E-2"/>
    <s v="OK"/>
  </r>
  <r>
    <d v="2025-08-01T00:00:00"/>
    <s v="FY 2025-26"/>
    <x v="2"/>
    <n v="848303"/>
    <n v="834270"/>
    <n v="14033"/>
    <n v="1.6500000000000001E-2"/>
    <s v="OK"/>
  </r>
  <r>
    <d v="2025-09-01T00:00:00"/>
    <s v="FY 2025-26"/>
    <x v="2"/>
    <n v="606468"/>
    <n v="597360"/>
    <n v="9108"/>
    <n v="1.4999999999999999E-2"/>
    <s v="OK"/>
  </r>
  <r>
    <d v="2025-10-01T00:00:00"/>
    <s v="FY 2025-26"/>
    <x v="2"/>
    <n v="235504"/>
    <n v="237390"/>
    <n v="-1886"/>
    <n v="-8.0000000000000002E-3"/>
    <s v="OK"/>
  </r>
  <r>
    <d v="2025-11-01T00:00:00"/>
    <s v="FY 2025-26"/>
    <x v="2"/>
    <n v="151607"/>
    <n v="150810"/>
    <n v="797"/>
    <n v="5.3E-3"/>
    <s v="OK"/>
  </r>
  <r>
    <d v="2025-12-01T00:00:00"/>
    <s v="FY 2025-26"/>
    <x v="2"/>
    <n v="181737"/>
    <n v="175080"/>
    <n v="6657"/>
    <n v="3.6600000000000001E-2"/>
    <s v="OK"/>
  </r>
  <r>
    <d v="2026-01-01T00:00:00"/>
    <s v="FY 2025-26"/>
    <x v="2"/>
    <n v="200483"/>
    <n v="200040"/>
    <n v="443"/>
    <n v="2.2000000000000001E-3"/>
    <s v="OK"/>
  </r>
  <r>
    <d v="2026-02-01T00:00:00"/>
    <s v="FY 2025-26"/>
    <x v="2"/>
    <n v="157615"/>
    <n v="155580"/>
    <n v="2035"/>
    <n v="1.29E-2"/>
    <s v="OK"/>
  </r>
  <r>
    <d v="2026-03-01T00:00:00"/>
    <s v="FY 2025-26"/>
    <x v="2"/>
    <n v="160831"/>
    <n v="160590"/>
    <n v="241"/>
    <n v="1.5E-3"/>
    <s v="OK"/>
  </r>
  <r>
    <d v="2025-04-01T00:00:00"/>
    <s v="FY 2025-26"/>
    <x v="3"/>
    <n v="163814"/>
    <n v="261840"/>
    <n v="-98026"/>
    <n v="-0.59840000000000004"/>
    <s v="OK"/>
  </r>
  <r>
    <d v="2025-05-01T00:00:00"/>
    <s v="FY 2025-26"/>
    <x v="3"/>
    <n v="458888"/>
    <n v="579600"/>
    <n v="-120712"/>
    <n v="-0.2631"/>
    <s v="OK"/>
  </r>
  <r>
    <d v="2025-06-01T00:00:00"/>
    <s v="FY 2025-26"/>
    <x v="3"/>
    <n v="667791"/>
    <n v="887940"/>
    <n v="-220149"/>
    <n v="-0.32969999999999999"/>
    <s v="OK"/>
  </r>
  <r>
    <d v="2025-07-01T00:00:00"/>
    <s v="FY 2025-26"/>
    <x v="3"/>
    <n v="779685"/>
    <n v="1208880"/>
    <n v="-429195"/>
    <n v="-0.55049999999999999"/>
    <s v="OK"/>
  </r>
  <r>
    <d v="2025-08-01T00:00:00"/>
    <s v="FY 2025-26"/>
    <x v="3"/>
    <n v="581677"/>
    <n v="834270"/>
    <n v="-252593"/>
    <n v="-0.43419999999999997"/>
    <s v="OK"/>
  </r>
  <r>
    <d v="2025-09-01T00:00:00"/>
    <s v="FY 2025-26"/>
    <x v="3"/>
    <n v="587854"/>
    <n v="597360"/>
    <n v="-9506"/>
    <n v="-1.6199999999999999E-2"/>
    <s v="OK"/>
  </r>
  <r>
    <d v="2025-10-01T00:00:00"/>
    <s v="FY 2025-26"/>
    <x v="3"/>
    <n v="188431"/>
    <n v="237390"/>
    <n v="-48959"/>
    <n v="-0.25979999999999998"/>
    <s v="OK"/>
  </r>
  <r>
    <d v="2025-11-01T00:00:00"/>
    <s v="FY 2025-26"/>
    <x v="3"/>
    <n v="100086"/>
    <n v="150810"/>
    <n v="-50724"/>
    <n v="-0.50680000000000003"/>
    <s v="OK"/>
  </r>
  <r>
    <d v="2025-12-01T00:00:00"/>
    <s v="FY 2025-26"/>
    <x v="3"/>
    <n v="70010"/>
    <n v="175080"/>
    <n v="-105070"/>
    <n v="-1.5007999999999999"/>
    <s v="OK"/>
  </r>
  <r>
    <d v="2026-01-01T00:00:00"/>
    <s v="FY 2025-26"/>
    <x v="3"/>
    <n v="88593"/>
    <n v="200040"/>
    <n v="-111447"/>
    <n v="-1.258"/>
    <s v="OK"/>
  </r>
  <r>
    <d v="2026-02-01T00:00:00"/>
    <s v="FY 2025-26"/>
    <x v="3"/>
    <n v="86588"/>
    <n v="155580"/>
    <n v="-68992"/>
    <n v="-0.79679999999999995"/>
    <s v="OK"/>
  </r>
  <r>
    <d v="2026-03-01T00:00:00"/>
    <s v="FY 2025-26"/>
    <x v="3"/>
    <n v="71840"/>
    <n v="160590"/>
    <n v="-88750"/>
    <n v="-1.2354000000000001"/>
    <s v="OK"/>
  </r>
  <r>
    <d v="2025-04-01T00:00:00"/>
    <s v="FY 2025-26"/>
    <x v="4"/>
    <n v="109526"/>
    <n v="110052"/>
    <n v="-526"/>
    <n v="-4.7999999999999996E-3"/>
    <s v="OK"/>
  </r>
  <r>
    <d v="2025-05-01T00:00:00"/>
    <s v="FY 2025-26"/>
    <x v="4"/>
    <n v="230066"/>
    <n v="224220"/>
    <n v="5846"/>
    <n v="2.5399999999999999E-2"/>
    <s v="OK"/>
  </r>
  <r>
    <d v="2025-06-01T00:00:00"/>
    <s v="FY 2025-26"/>
    <x v="4"/>
    <n v="315371"/>
    <n v="309600"/>
    <n v="5771"/>
    <n v="1.83E-2"/>
    <s v="OK"/>
  </r>
  <r>
    <d v="2025-07-01T00:00:00"/>
    <s v="FY 2025-26"/>
    <x v="4"/>
    <n v="489014"/>
    <n v="484140"/>
    <n v="4874"/>
    <n v="0.01"/>
    <s v="OK"/>
  </r>
  <r>
    <d v="2025-08-01T00:00:00"/>
    <s v="FY 2025-26"/>
    <x v="4"/>
    <n v="356587"/>
    <n v="358464"/>
    <n v="-1877"/>
    <n v="-5.3E-3"/>
    <s v="OK"/>
  </r>
  <r>
    <d v="2025-09-01T00:00:00"/>
    <s v="FY 2025-26"/>
    <x v="4"/>
    <n v="310040"/>
    <n v="304452"/>
    <n v="5588"/>
    <n v="1.7999999999999999E-2"/>
    <s v="OK"/>
  </r>
  <r>
    <d v="2025-10-01T00:00:00"/>
    <s v="FY 2025-26"/>
    <x v="4"/>
    <n v="137425"/>
    <n v="130080"/>
    <n v="7345"/>
    <n v="5.3400000000000003E-2"/>
    <s v="OK"/>
  </r>
  <r>
    <d v="2025-11-01T00:00:00"/>
    <s v="FY 2025-26"/>
    <x v="4"/>
    <n v="113870"/>
    <n v="109752"/>
    <n v="4118"/>
    <n v="3.6200000000000003E-2"/>
    <s v="OK"/>
  </r>
  <r>
    <d v="2025-12-01T00:00:00"/>
    <s v="FY 2025-26"/>
    <x v="4"/>
    <n v="120513"/>
    <n v="119412"/>
    <n v="1101"/>
    <n v="9.1000000000000004E-3"/>
    <s v="OK"/>
  </r>
  <r>
    <d v="2026-01-01T00:00:00"/>
    <s v="FY 2025-26"/>
    <x v="4"/>
    <n v="138253"/>
    <n v="137700"/>
    <n v="553"/>
    <n v="4.0000000000000001E-3"/>
    <s v="OK"/>
  </r>
  <r>
    <d v="2026-02-01T00:00:00"/>
    <s v="FY 2025-26"/>
    <x v="4"/>
    <n v="90650"/>
    <n v="89196"/>
    <n v="1454"/>
    <n v="1.6E-2"/>
    <s v="OK"/>
  </r>
  <r>
    <d v="2026-03-01T00:00:00"/>
    <s v="FY 2025-26"/>
    <x v="4"/>
    <n v="78798"/>
    <n v="79152"/>
    <n v="-354"/>
    <n v="-4.4999999999999997E-3"/>
    <s v="OK"/>
  </r>
  <r>
    <d v="2025-04-01T00:00:00"/>
    <s v="FY 2025-26"/>
    <x v="5"/>
    <n v="331644"/>
    <n v="323682"/>
    <n v="7962"/>
    <n v="2.4E-2"/>
    <s v="OK"/>
  </r>
  <r>
    <d v="2025-05-01T00:00:00"/>
    <s v="FY 2025-26"/>
    <x v="5"/>
    <n v="264323"/>
    <n v="255734"/>
    <n v="8589"/>
    <n v="3.2500000000000001E-2"/>
    <s v="OK"/>
  </r>
  <r>
    <d v="2025-06-01T00:00:00"/>
    <s v="FY 2025-26"/>
    <x v="5"/>
    <n v="529853"/>
    <n v="517407"/>
    <n v="12446"/>
    <n v="2.35E-2"/>
    <s v="OK"/>
  </r>
  <r>
    <d v="2025-07-01T00:00:00"/>
    <s v="FY 2025-26"/>
    <x v="5"/>
    <n v="492003"/>
    <n v="480028"/>
    <n v="11975"/>
    <n v="2.4299999999999999E-2"/>
    <s v="OK"/>
  </r>
  <r>
    <d v="2025-08-01T00:00:00"/>
    <s v="FY 2025-26"/>
    <x v="5"/>
    <n v="384444"/>
    <n v="373756"/>
    <n v="10688"/>
    <n v="2.7799999999999998E-2"/>
    <s v="OK"/>
  </r>
  <r>
    <d v="2025-09-01T00:00:00"/>
    <s v="FY 2025-26"/>
    <x v="5"/>
    <n v="285516"/>
    <n v="276438"/>
    <n v="9078"/>
    <n v="3.1800000000000002E-2"/>
    <s v="OK"/>
  </r>
  <r>
    <d v="2025-10-01T00:00:00"/>
    <s v="FY 2025-26"/>
    <x v="5"/>
    <n v="95973"/>
    <n v="88630"/>
    <n v="7343"/>
    <n v="7.6499999999999999E-2"/>
    <s v="OK"/>
  </r>
  <r>
    <d v="2025-11-01T00:00:00"/>
    <s v="FY 2025-26"/>
    <x v="5"/>
    <n v="78835"/>
    <n v="73745"/>
    <n v="5090"/>
    <n v="6.4600000000000005E-2"/>
    <s v="OK"/>
  </r>
  <r>
    <d v="2025-12-01T00:00:00"/>
    <s v="FY 2025-26"/>
    <x v="5"/>
    <n v="88592"/>
    <n v="82779"/>
    <n v="5813"/>
    <n v="6.5600000000000006E-2"/>
    <s v="OK"/>
  </r>
  <r>
    <d v="2026-01-01T00:00:00"/>
    <s v="FY 2025-26"/>
    <x v="5"/>
    <n v="73156"/>
    <n v="68041"/>
    <n v="5115"/>
    <n v="6.9900000000000004E-2"/>
    <s v="OK"/>
  </r>
  <r>
    <d v="2026-02-01T00:00:00"/>
    <s v="FY 2025-26"/>
    <x v="5"/>
    <n v="63235"/>
    <n v="58988"/>
    <n v="4247"/>
    <n v="6.7199999999999996E-2"/>
    <s v="OK"/>
  </r>
  <r>
    <d v="2026-03-01T00:00:00"/>
    <s v="FY 2025-26"/>
    <x v="5"/>
    <n v="151526"/>
    <n v="145516"/>
    <n v="6010"/>
    <n v="3.9699999999999999E-2"/>
    <s v="OK"/>
  </r>
  <r>
    <d v="2025-04-01T00:00:00"/>
    <s v="FY 2025-26"/>
    <x v="6"/>
    <n v="219282"/>
    <n v="207898"/>
    <n v="11384"/>
    <n v="5.1900000000000002E-2"/>
    <s v="OK"/>
  </r>
  <r>
    <d v="2025-05-01T00:00:00"/>
    <s v="FY 2025-26"/>
    <x v="6"/>
    <n v="300591"/>
    <n v="286144"/>
    <n v="14447"/>
    <n v="4.8099999999999997E-2"/>
    <s v="OK"/>
  </r>
  <r>
    <d v="2025-06-01T00:00:00"/>
    <s v="FY 2025-26"/>
    <x v="6"/>
    <n v="728153"/>
    <n v="694213"/>
    <n v="33940"/>
    <n v="4.6600000000000003E-2"/>
    <s v="OK"/>
  </r>
  <r>
    <d v="2025-07-01T00:00:00"/>
    <s v="FY 2025-26"/>
    <x v="6"/>
    <n v="906149"/>
    <n v="864747"/>
    <n v="41402"/>
    <n v="4.5699999999999998E-2"/>
    <s v="OK"/>
  </r>
  <r>
    <d v="2025-08-01T00:00:00"/>
    <s v="FY 2025-26"/>
    <x v="6"/>
    <n v="563218"/>
    <n v="537907"/>
    <n v="25311"/>
    <n v="4.4900000000000002E-2"/>
    <s v="OK"/>
  </r>
  <r>
    <d v="2025-09-01T00:00:00"/>
    <s v="FY 2025-26"/>
    <x v="6"/>
    <n v="353039"/>
    <n v="337010"/>
    <n v="16029"/>
    <n v="4.5400000000000003E-2"/>
    <s v="OK"/>
  </r>
  <r>
    <d v="2025-10-01T00:00:00"/>
    <s v="FY 2025-26"/>
    <x v="6"/>
    <n v="251084"/>
    <n v="239036"/>
    <n v="12048"/>
    <n v="4.8000000000000001E-2"/>
    <s v="OK"/>
  </r>
  <r>
    <d v="2025-11-01T00:00:00"/>
    <s v="FY 2025-26"/>
    <x v="6"/>
    <n v="240813"/>
    <n v="230110"/>
    <n v="10703"/>
    <n v="4.4400000000000002E-2"/>
    <s v="OK"/>
  </r>
  <r>
    <d v="2025-12-01T00:00:00"/>
    <s v="FY 2025-26"/>
    <x v="6"/>
    <n v="262489"/>
    <n v="251404"/>
    <n v="11085"/>
    <n v="4.2200000000000001E-2"/>
    <s v="OK"/>
  </r>
  <r>
    <d v="2026-01-01T00:00:00"/>
    <s v="FY 2025-26"/>
    <x v="6"/>
    <n v="164933"/>
    <n v="155774"/>
    <n v="9159"/>
    <n v="5.5500000000000001E-2"/>
    <s v="OK"/>
  </r>
  <r>
    <d v="2026-02-01T00:00:00"/>
    <s v="FY 2025-26"/>
    <x v="6"/>
    <n v="108487"/>
    <n v="101237"/>
    <n v="7250"/>
    <n v="6.6799999999999998E-2"/>
    <s v="OK"/>
  </r>
  <r>
    <d v="2026-03-01T00:00:00"/>
    <s v="FY 2025-26"/>
    <x v="6"/>
    <n v="159730"/>
    <n v="150263"/>
    <n v="9467"/>
    <n v="5.9299999999999999E-2"/>
    <s v="OK"/>
  </r>
  <r>
    <d v="2025-04-01T00:00:00"/>
    <s v="FY 2025-26"/>
    <x v="7"/>
    <n v="476289"/>
    <n v="441827"/>
    <n v="34462"/>
    <n v="7.2400000000000006E-2"/>
    <s v="OK"/>
  </r>
  <r>
    <d v="2025-05-01T00:00:00"/>
    <s v="FY 2025-26"/>
    <x v="7"/>
    <n v="658404"/>
    <n v="626816"/>
    <n v="31588"/>
    <n v="4.8000000000000001E-2"/>
    <s v="OK"/>
  </r>
  <r>
    <d v="2025-06-01T00:00:00"/>
    <s v="FY 2025-26"/>
    <x v="7"/>
    <n v="1676253"/>
    <n v="1655025"/>
    <n v="21228"/>
    <n v="1.2699999999999999E-2"/>
    <s v="OK"/>
  </r>
  <r>
    <d v="2025-07-01T00:00:00"/>
    <s v="FY 2025-26"/>
    <x v="7"/>
    <n v="1761245"/>
    <n v="1651751"/>
    <n v="109494"/>
    <n v="6.2199999999999998E-2"/>
    <s v="OK"/>
  </r>
  <r>
    <d v="2025-08-01T00:00:00"/>
    <s v="FY 2025-26"/>
    <x v="7"/>
    <n v="1029272"/>
    <n v="993951"/>
    <n v="35321"/>
    <n v="3.4299999999999997E-2"/>
    <s v="OK"/>
  </r>
  <r>
    <d v="2025-09-01T00:00:00"/>
    <s v="FY 2025-26"/>
    <x v="7"/>
    <n v="714955"/>
    <n v="691147"/>
    <n v="23808"/>
    <n v="3.3300000000000003E-2"/>
    <s v="OK"/>
  </r>
  <r>
    <d v="2025-10-01T00:00:00"/>
    <s v="FY 2025-26"/>
    <x v="7"/>
    <n v="389363"/>
    <n v="380298"/>
    <n v="9065"/>
    <n v="2.3300000000000001E-2"/>
    <s v="OK"/>
  </r>
  <r>
    <d v="2025-11-01T00:00:00"/>
    <s v="FY 2025-26"/>
    <x v="7"/>
    <n v="626254"/>
    <n v="590454"/>
    <n v="35800"/>
    <n v="5.7200000000000001E-2"/>
    <s v="OK"/>
  </r>
  <r>
    <d v="2025-12-01T00:00:00"/>
    <s v="FY 2025-26"/>
    <x v="7"/>
    <n v="770756"/>
    <n v="753687"/>
    <n v="17069"/>
    <n v="2.2100000000000002E-2"/>
    <s v="OK"/>
  </r>
  <r>
    <d v="2026-01-01T00:00:00"/>
    <s v="FY 2025-26"/>
    <x v="7"/>
    <n v="300125"/>
    <n v="282805"/>
    <n v="17320"/>
    <n v="5.7700000000000001E-2"/>
    <s v="OK"/>
  </r>
  <r>
    <d v="2026-02-01T00:00:00"/>
    <s v="FY 2025-26"/>
    <x v="7"/>
    <n v="243955"/>
    <n v="232502"/>
    <n v="11453"/>
    <n v="4.6899999999999997E-2"/>
    <s v="OK"/>
  </r>
  <r>
    <d v="2026-03-01T00:00:00"/>
    <s v="FY 2025-26"/>
    <x v="7"/>
    <n v="372611"/>
    <n v="360310"/>
    <n v="12301"/>
    <n v="3.3000000000000002E-2"/>
    <s v="OK"/>
  </r>
  <r>
    <d v="2025-04-01T00:00:00"/>
    <s v="FY 2025-26"/>
    <x v="8"/>
    <n v="140572"/>
    <n v="137022"/>
    <n v="3550"/>
    <n v="2.53E-2"/>
    <s v="OK"/>
  </r>
  <r>
    <d v="2025-05-01T00:00:00"/>
    <s v="FY 2025-26"/>
    <x v="8"/>
    <n v="269319"/>
    <n v="264196"/>
    <n v="5123"/>
    <n v="1.9E-2"/>
    <s v="OK"/>
  </r>
  <r>
    <d v="2025-06-01T00:00:00"/>
    <s v="FY 2025-26"/>
    <x v="8"/>
    <n v="429863"/>
    <n v="423789"/>
    <n v="6074"/>
    <n v="1.41E-2"/>
    <s v="OK"/>
  </r>
  <r>
    <d v="2025-07-01T00:00:00"/>
    <s v="FY 2025-26"/>
    <x v="8"/>
    <n v="640519"/>
    <n v="615882"/>
    <n v="24637"/>
    <n v="3.85E-2"/>
    <s v="OK"/>
  </r>
  <r>
    <d v="2025-08-01T00:00:00"/>
    <s v="FY 2025-26"/>
    <x v="8"/>
    <n v="509323"/>
    <n v="508221"/>
    <n v="1102"/>
    <n v="2.2000000000000001E-3"/>
    <s v="OK"/>
  </r>
  <r>
    <d v="2025-09-01T00:00:00"/>
    <s v="FY 2025-26"/>
    <x v="8"/>
    <n v="313122"/>
    <n v="315109"/>
    <n v="-1987"/>
    <n v="-6.3E-3"/>
    <s v="OK"/>
  </r>
  <r>
    <d v="2025-10-01T00:00:00"/>
    <s v="FY 2025-26"/>
    <x v="8"/>
    <n v="236352"/>
    <n v="227708"/>
    <n v="8644"/>
    <n v="3.6600000000000001E-2"/>
    <s v="OK"/>
  </r>
  <r>
    <d v="2025-11-01T00:00:00"/>
    <s v="FY 2025-26"/>
    <x v="8"/>
    <n v="196029"/>
    <n v="191891"/>
    <n v="4138"/>
    <n v="2.1100000000000001E-2"/>
    <s v="OK"/>
  </r>
  <r>
    <d v="2025-12-01T00:00:00"/>
    <s v="FY 2025-26"/>
    <x v="8"/>
    <n v="254096"/>
    <n v="250326"/>
    <n v="3770"/>
    <n v="1.4800000000000001E-2"/>
    <s v="OK"/>
  </r>
  <r>
    <d v="2026-01-01T00:00:00"/>
    <s v="FY 2025-26"/>
    <x v="8"/>
    <n v="117357"/>
    <n v="114966"/>
    <n v="2391"/>
    <n v="2.0400000000000001E-2"/>
    <s v="OK"/>
  </r>
  <r>
    <d v="2026-02-01T00:00:00"/>
    <s v="FY 2025-26"/>
    <x v="8"/>
    <n v="103604"/>
    <n v="101644"/>
    <n v="1960"/>
    <n v="1.89E-2"/>
    <s v="OK"/>
  </r>
  <r>
    <d v="2026-03-01T00:00:00"/>
    <s v="FY 2025-26"/>
    <x v="8"/>
    <n v="96127"/>
    <n v="94005"/>
    <n v="2122"/>
    <n v="2.2100000000000002E-2"/>
    <s v="OK"/>
  </r>
  <r>
    <d v="2025-04-01T00:00:00"/>
    <s v="FY 2025-26"/>
    <x v="9"/>
    <n v="258780"/>
    <n v="250800"/>
    <n v="7980"/>
    <n v="3.0800000000000001E-2"/>
    <s v="OK"/>
  </r>
  <r>
    <d v="2025-05-01T00:00:00"/>
    <s v="FY 2025-26"/>
    <x v="9"/>
    <n v="714965"/>
    <n v="695400"/>
    <n v="19565"/>
    <n v="2.7400000000000001E-2"/>
    <s v="OK"/>
  </r>
  <r>
    <d v="2025-06-01T00:00:00"/>
    <s v="FY 2025-26"/>
    <x v="9"/>
    <n v="1094593"/>
    <n v="1079100"/>
    <n v="15493"/>
    <n v="1.4200000000000001E-2"/>
    <s v="OK"/>
  </r>
  <r>
    <d v="2025-07-01T00:00:00"/>
    <s v="FY 2025-26"/>
    <x v="9"/>
    <n v="1264772"/>
    <n v="1250700"/>
    <n v="14072"/>
    <n v="1.11E-2"/>
    <s v="OK"/>
  </r>
  <r>
    <d v="2025-08-01T00:00:00"/>
    <s v="FY 2025-26"/>
    <x v="9"/>
    <n v="786909"/>
    <n v="775500"/>
    <n v="11409"/>
    <n v="1.4500000000000001E-2"/>
    <s v="OK"/>
  </r>
  <r>
    <d v="2025-09-01T00:00:00"/>
    <s v="FY 2025-26"/>
    <x v="9"/>
    <n v="582525"/>
    <n v="572100"/>
    <n v="10425"/>
    <n v="1.7899999999999999E-2"/>
    <s v="OK"/>
  </r>
  <r>
    <d v="2025-10-01T00:00:00"/>
    <s v="FY 2025-26"/>
    <x v="9"/>
    <n v="389248"/>
    <n v="354900"/>
    <n v="34348"/>
    <n v="8.8200000000000001E-2"/>
    <s v="OK"/>
  </r>
  <r>
    <d v="2025-11-01T00:00:00"/>
    <s v="FY 2025-26"/>
    <x v="9"/>
    <n v="363582"/>
    <n v="326700"/>
    <n v="36882"/>
    <n v="0.1014"/>
    <s v="OK"/>
  </r>
  <r>
    <d v="2025-12-01T00:00:00"/>
    <s v="FY 2025-26"/>
    <x v="9"/>
    <n v="511622"/>
    <n v="462000"/>
    <n v="49622"/>
    <n v="9.7000000000000003E-2"/>
    <s v="OK"/>
  </r>
  <r>
    <d v="2026-01-01T00:00:00"/>
    <s v="FY 2025-26"/>
    <x v="9"/>
    <n v="478778"/>
    <n v="431700"/>
    <n v="47078"/>
    <n v="9.8299999999999998E-2"/>
    <s v="OK"/>
  </r>
  <r>
    <d v="2026-02-01T00:00:00"/>
    <s v="FY 2025-26"/>
    <x v="9"/>
    <n v="361358"/>
    <n v="323100"/>
    <n v="38258"/>
    <n v="0.10589999999999999"/>
    <s v="OK"/>
  </r>
  <r>
    <d v="2026-03-01T00:00:00"/>
    <s v="FY 2025-26"/>
    <x v="9"/>
    <n v="270088"/>
    <n v="249900"/>
    <n v="20188"/>
    <n v="7.4700000000000003E-2"/>
    <s v="OK"/>
  </r>
  <r>
    <d v="2025-04-01T00:00:00"/>
    <s v="FY 2025-26"/>
    <x v="10"/>
    <n v="171974"/>
    <n v="168457"/>
    <n v="3517"/>
    <n v="2.0500000000000001E-2"/>
    <s v="OK"/>
  </r>
  <r>
    <d v="2025-05-01T00:00:00"/>
    <s v="FY 2025-26"/>
    <x v="10"/>
    <n v="196519"/>
    <n v="191144"/>
    <n v="5375"/>
    <n v="2.7400000000000001E-2"/>
    <s v="OK"/>
  </r>
  <r>
    <d v="2025-06-01T00:00:00"/>
    <s v="FY 2025-26"/>
    <x v="10"/>
    <n v="381766"/>
    <n v="370909"/>
    <n v="10857"/>
    <n v="2.8400000000000002E-2"/>
    <s v="OK"/>
  </r>
  <r>
    <d v="2025-07-01T00:00:00"/>
    <s v="FY 2025-26"/>
    <x v="10"/>
    <n v="409543"/>
    <n v="406505"/>
    <n v="3038"/>
    <n v="7.4000000000000003E-3"/>
    <s v="OK"/>
  </r>
  <r>
    <d v="2025-08-01T00:00:00"/>
    <s v="FY 2025-26"/>
    <x v="10"/>
    <n v="241576"/>
    <n v="239028"/>
    <n v="2548"/>
    <n v="1.0500000000000001E-2"/>
    <s v="OK"/>
  </r>
  <r>
    <d v="2025-09-01T00:00:00"/>
    <s v="FY 2025-26"/>
    <x v="10"/>
    <n v="189969"/>
    <n v="203462"/>
    <n v="-13493"/>
    <n v="-7.0999999999999994E-2"/>
    <s v="OK"/>
  </r>
  <r>
    <d v="2025-10-01T00:00:00"/>
    <s v="FY 2025-26"/>
    <x v="10"/>
    <n v="150448"/>
    <n v="152718"/>
    <n v="-2270"/>
    <n v="-1.5100000000000001E-2"/>
    <s v="OK"/>
  </r>
  <r>
    <d v="2025-11-01T00:00:00"/>
    <s v="FY 2025-26"/>
    <x v="10"/>
    <n v="143294"/>
    <n v="144096"/>
    <n v="-802"/>
    <n v="-5.5999999999999999E-3"/>
    <s v="OK"/>
  </r>
  <r>
    <d v="2025-12-01T00:00:00"/>
    <s v="FY 2025-26"/>
    <x v="10"/>
    <n v="199338"/>
    <n v="197919"/>
    <n v="1419"/>
    <n v="7.1000000000000004E-3"/>
    <s v="OK"/>
  </r>
  <r>
    <d v="2026-01-01T00:00:00"/>
    <s v="FY 2025-26"/>
    <x v="10"/>
    <n v="90253"/>
    <n v="87138"/>
    <n v="3115"/>
    <n v="3.4500000000000003E-2"/>
    <s v="OK"/>
  </r>
  <r>
    <d v="2026-02-01T00:00:00"/>
    <s v="FY 2025-26"/>
    <x v="10"/>
    <n v="64874"/>
    <n v="62945"/>
    <n v="1929"/>
    <n v="2.9700000000000001E-2"/>
    <s v="OK"/>
  </r>
  <r>
    <d v="2026-03-01T00:00:00"/>
    <s v="FY 2025-26"/>
    <x v="10"/>
    <n v="78518"/>
    <n v="76165"/>
    <n v="2353"/>
    <n v="0.03"/>
    <s v="OK"/>
  </r>
  <r>
    <d v="2025-04-01T00:00:00"/>
    <s v="FY 2025-26"/>
    <x v="11"/>
    <n v="97303"/>
    <n v="95760"/>
    <n v="1543"/>
    <n v="1.5900000000000001E-2"/>
    <s v="OK"/>
  </r>
  <r>
    <d v="2025-05-01T00:00:00"/>
    <s v="FY 2025-26"/>
    <x v="11"/>
    <n v="333321"/>
    <n v="329640"/>
    <n v="3681"/>
    <n v="1.0999999999999999E-2"/>
    <s v="OK"/>
  </r>
  <r>
    <d v="2025-06-01T00:00:00"/>
    <s v="FY 2025-26"/>
    <x v="11"/>
    <n v="512447"/>
    <n v="507120"/>
    <n v="5327"/>
    <n v="1.04E-2"/>
    <s v="OK"/>
  </r>
  <r>
    <d v="2025-07-01T00:00:00"/>
    <s v="FY 2025-26"/>
    <x v="11"/>
    <n v="565152"/>
    <n v="557640"/>
    <n v="7512"/>
    <n v="1.3299999999999999E-2"/>
    <s v="OK"/>
  </r>
  <r>
    <d v="2025-08-01T00:00:00"/>
    <s v="FY 2025-26"/>
    <x v="11"/>
    <n v="370267"/>
    <n v="366120"/>
    <n v="4147"/>
    <n v="1.12E-2"/>
    <s v="OK"/>
  </r>
  <r>
    <d v="2025-09-01T00:00:00"/>
    <s v="FY 2025-26"/>
    <x v="11"/>
    <n v="328380"/>
    <n v="324480"/>
    <n v="3900"/>
    <n v="1.1900000000000001E-2"/>
    <s v="OK"/>
  </r>
  <r>
    <d v="2025-10-01T00:00:00"/>
    <s v="FY 2025-26"/>
    <x v="11"/>
    <n v="214405"/>
    <n v="211560"/>
    <n v="2845"/>
    <n v="1.3299999999999999E-2"/>
    <s v="OK"/>
  </r>
  <r>
    <d v="2025-11-01T00:00:00"/>
    <s v="FY 2025-26"/>
    <x v="11"/>
    <n v="114972"/>
    <n v="112920"/>
    <n v="2052"/>
    <n v="1.78E-2"/>
    <s v="OK"/>
  </r>
  <r>
    <d v="2025-12-01T00:00:00"/>
    <s v="FY 2025-26"/>
    <x v="11"/>
    <n v="151310"/>
    <n v="148800"/>
    <n v="2510"/>
    <n v="1.66E-2"/>
    <s v="OK"/>
  </r>
  <r>
    <d v="2026-01-01T00:00:00"/>
    <s v="FY 2025-26"/>
    <x v="11"/>
    <n v="167433"/>
    <n v="164880"/>
    <n v="2553"/>
    <n v="1.52E-2"/>
    <s v="OK"/>
  </r>
  <r>
    <d v="2026-02-01T00:00:00"/>
    <s v="FY 2025-26"/>
    <x v="11"/>
    <n v="122785"/>
    <n v="120840"/>
    <n v="1945"/>
    <n v="1.5800000000000002E-2"/>
    <s v="OK"/>
  </r>
  <r>
    <d v="2026-03-01T00:00:00"/>
    <s v="FY 2025-26"/>
    <x v="11"/>
    <n v="107521"/>
    <n v="105720"/>
    <n v="1801"/>
    <n v="1.6799999999999999E-2"/>
    <s v="OK"/>
  </r>
  <r>
    <d v="2025-04-01T00:00:00"/>
    <s v="FY 2025-26"/>
    <x v="12"/>
    <n v="79898"/>
    <n v="78720"/>
    <n v="1178"/>
    <n v="1.47E-2"/>
    <s v="OK"/>
  </r>
  <r>
    <d v="2025-05-01T00:00:00"/>
    <s v="FY 2025-26"/>
    <x v="12"/>
    <n v="303507"/>
    <n v="300480"/>
    <n v="3027"/>
    <n v="0.01"/>
    <s v="OK"/>
  </r>
  <r>
    <d v="2025-06-01T00:00:00"/>
    <s v="FY 2025-26"/>
    <x v="12"/>
    <n v="451797"/>
    <n v="447600"/>
    <n v="4197"/>
    <n v="9.2999999999999992E-3"/>
    <s v="OK"/>
  </r>
  <r>
    <d v="2025-07-01T00:00:00"/>
    <s v="FY 2025-26"/>
    <x v="12"/>
    <n v="576227"/>
    <n v="570960"/>
    <n v="5267"/>
    <n v="9.1000000000000004E-3"/>
    <s v="OK"/>
  </r>
  <r>
    <d v="2025-08-01T00:00:00"/>
    <s v="FY 2025-26"/>
    <x v="12"/>
    <n v="334623"/>
    <n v="331320"/>
    <n v="3303"/>
    <n v="9.9000000000000008E-3"/>
    <s v="OK"/>
  </r>
  <r>
    <d v="2025-09-01T00:00:00"/>
    <s v="FY 2025-26"/>
    <x v="12"/>
    <n v="280705"/>
    <n v="282960"/>
    <n v="-2255"/>
    <n v="-8.0000000000000002E-3"/>
    <s v="OK"/>
  </r>
  <r>
    <d v="2025-10-01T00:00:00"/>
    <s v="FY 2025-26"/>
    <x v="12"/>
    <n v="172176"/>
    <n v="190920"/>
    <n v="-18744"/>
    <n v="-0.1089"/>
    <s v="OK"/>
  </r>
  <r>
    <d v="2025-11-01T00:00:00"/>
    <s v="FY 2025-26"/>
    <x v="12"/>
    <n v="110067"/>
    <n v="121920"/>
    <n v="-11853"/>
    <n v="-0.1077"/>
    <s v="OK"/>
  </r>
  <r>
    <d v="2025-12-01T00:00:00"/>
    <s v="FY 2025-26"/>
    <x v="12"/>
    <n v="169891"/>
    <n v="188520"/>
    <n v="-18629"/>
    <n v="-0.10970000000000001"/>
    <s v="OK"/>
  </r>
  <r>
    <d v="2026-01-01T00:00:00"/>
    <s v="FY 2025-26"/>
    <x v="12"/>
    <n v="156341"/>
    <n v="174000"/>
    <n v="-17659"/>
    <n v="-0.113"/>
    <s v="OK"/>
  </r>
  <r>
    <d v="2026-02-01T00:00:00"/>
    <s v="FY 2025-26"/>
    <x v="12"/>
    <n v="119286"/>
    <n v="132240"/>
    <n v="-12954"/>
    <n v="-0.1086"/>
    <s v="OK"/>
  </r>
  <r>
    <d v="2026-03-01T00:00:00"/>
    <s v="FY 2025-26"/>
    <x v="12"/>
    <n v="92824"/>
    <n v="92880"/>
    <n v="-56"/>
    <n v="-5.9999999999999995E-4"/>
    <s v="OK"/>
  </r>
  <r>
    <d v="2025-04-01T00:00:00"/>
    <s v="FY 2025-26"/>
    <x v="13"/>
    <n v="74156"/>
    <n v="72960"/>
    <n v="1196"/>
    <n v="1.61E-2"/>
    <s v="OK"/>
  </r>
  <r>
    <d v="2025-05-01T00:00:00"/>
    <s v="FY 2025-26"/>
    <x v="13"/>
    <n v="268448"/>
    <n v="265800"/>
    <n v="2648"/>
    <n v="9.9000000000000008E-3"/>
    <s v="OK"/>
  </r>
  <r>
    <d v="2025-06-01T00:00:00"/>
    <s v="FY 2025-26"/>
    <x v="13"/>
    <n v="440627"/>
    <n v="436680"/>
    <n v="3947"/>
    <n v="8.9999999999999993E-3"/>
    <s v="OK"/>
  </r>
  <r>
    <d v="2025-07-01T00:00:00"/>
    <s v="FY 2025-26"/>
    <x v="13"/>
    <n v="548812"/>
    <n v="543960"/>
    <n v="4852"/>
    <n v="8.8000000000000005E-3"/>
    <s v="OK"/>
  </r>
  <r>
    <d v="2025-08-01T00:00:00"/>
    <s v="FY 2025-26"/>
    <x v="13"/>
    <n v="317894"/>
    <n v="314760"/>
    <n v="3134"/>
    <n v="9.9000000000000008E-3"/>
    <s v="OK"/>
  </r>
  <r>
    <d v="2025-09-01T00:00:00"/>
    <s v="FY 2025-26"/>
    <x v="13"/>
    <n v="297333"/>
    <n v="293880"/>
    <n v="3453"/>
    <n v="1.1599999999999999E-2"/>
    <s v="OK"/>
  </r>
  <r>
    <d v="2025-10-01T00:00:00"/>
    <s v="FY 2025-26"/>
    <x v="13"/>
    <n v="162441"/>
    <n v="160320"/>
    <n v="2121"/>
    <n v="1.3100000000000001E-2"/>
    <s v="OK"/>
  </r>
  <r>
    <d v="2025-11-01T00:00:00"/>
    <s v="FY 2025-26"/>
    <x v="13"/>
    <n v="82963"/>
    <n v="81600"/>
    <n v="1363"/>
    <n v="1.6400000000000001E-2"/>
    <s v="OK"/>
  </r>
  <r>
    <d v="2025-12-01T00:00:00"/>
    <s v="FY 2025-26"/>
    <x v="13"/>
    <n v="122817"/>
    <n v="120960"/>
    <n v="1857"/>
    <n v="1.5100000000000001E-2"/>
    <s v="OK"/>
  </r>
  <r>
    <d v="2026-01-01T00:00:00"/>
    <s v="FY 2025-26"/>
    <x v="13"/>
    <n v="131967"/>
    <n v="130320"/>
    <n v="1647"/>
    <n v="1.2500000000000001E-2"/>
    <s v="OK"/>
  </r>
  <r>
    <d v="2026-02-01T00:00:00"/>
    <s v="FY 2025-26"/>
    <x v="13"/>
    <n v="94547"/>
    <n v="93240"/>
    <n v="1307"/>
    <n v="1.38E-2"/>
    <s v="OK"/>
  </r>
  <r>
    <d v="2026-03-01T00:00:00"/>
    <s v="FY 2025-26"/>
    <x v="13"/>
    <n v="79458"/>
    <n v="78120"/>
    <n v="1338"/>
    <n v="1.6799999999999999E-2"/>
    <s v="OK"/>
  </r>
  <r>
    <d v="2025-04-01T00:00:00"/>
    <s v="FY 2025-26"/>
    <x v="14"/>
    <n v="65681"/>
    <n v="65022"/>
    <n v="659"/>
    <n v="0.01"/>
    <s v="OK"/>
  </r>
  <r>
    <d v="2025-05-01T00:00:00"/>
    <s v="FY 2025-26"/>
    <x v="14"/>
    <n v="410674"/>
    <n v="413562"/>
    <n v="-2888"/>
    <n v="-7.0000000000000001E-3"/>
    <s v="OK"/>
  </r>
  <r>
    <d v="2025-06-01T00:00:00"/>
    <s v="FY 2025-26"/>
    <x v="14"/>
    <n v="693305"/>
    <n v="698968"/>
    <n v="-5663"/>
    <n v="-8.2000000000000007E-3"/>
    <s v="OK"/>
  </r>
  <r>
    <d v="2025-07-01T00:00:00"/>
    <s v="FY 2025-26"/>
    <x v="14"/>
    <n v="776700"/>
    <n v="774886"/>
    <n v="1814"/>
    <n v="2.3E-3"/>
    <s v="OK"/>
  </r>
  <r>
    <d v="2025-08-01T00:00:00"/>
    <s v="FY 2025-26"/>
    <x v="14"/>
    <n v="555312"/>
    <n v="553290"/>
    <n v="2022"/>
    <n v="3.5999999999999999E-3"/>
    <s v="OK"/>
  </r>
  <r>
    <d v="2025-09-01T00:00:00"/>
    <s v="FY 2025-26"/>
    <x v="14"/>
    <n v="538512"/>
    <n v="535034"/>
    <n v="3478"/>
    <n v="6.4999999999999997E-3"/>
    <s v="OK"/>
  </r>
  <r>
    <d v="2025-10-01T00:00:00"/>
    <s v="FY 2025-26"/>
    <x v="14"/>
    <n v="182395"/>
    <n v="180214"/>
    <n v="2181"/>
    <n v="1.2E-2"/>
    <s v="OK"/>
  </r>
  <r>
    <d v="2025-11-01T00:00:00"/>
    <s v="FY 2025-26"/>
    <x v="14"/>
    <n v="64982"/>
    <n v="62608"/>
    <n v="2374"/>
    <n v="3.6499999999999998E-2"/>
    <s v="OK"/>
  </r>
  <r>
    <d v="2025-12-01T00:00:00"/>
    <s v="FY 2025-26"/>
    <x v="14"/>
    <n v="46591"/>
    <n v="44072"/>
    <n v="2519"/>
    <n v="5.4100000000000002E-2"/>
    <s v="OK"/>
  </r>
  <r>
    <d v="2026-01-01T00:00:00"/>
    <s v="FY 2025-26"/>
    <x v="14"/>
    <n v="53796"/>
    <n v="51382"/>
    <n v="2414"/>
    <n v="4.4900000000000002E-2"/>
    <s v="OK"/>
  </r>
  <r>
    <d v="2026-02-01T00:00:00"/>
    <s v="FY 2025-26"/>
    <x v="14"/>
    <n v="46699"/>
    <n v="44156"/>
    <n v="2543"/>
    <n v="5.45E-2"/>
    <s v="OK"/>
  </r>
  <r>
    <d v="2026-03-01T00:00:00"/>
    <s v="FY 2025-26"/>
    <x v="14"/>
    <n v="38273"/>
    <n v="35926"/>
    <n v="2347"/>
    <n v="6.13E-2"/>
    <s v="OK"/>
  </r>
  <r>
    <d v="2025-04-01T00:00:00"/>
    <s v="FY 2025-26"/>
    <x v="15"/>
    <n v="73091"/>
    <n v="71310"/>
    <n v="1781"/>
    <n v="2.4400000000000002E-2"/>
    <s v="OK"/>
  </r>
  <r>
    <d v="2025-05-01T00:00:00"/>
    <s v="FY 2025-26"/>
    <x v="15"/>
    <n v="428322"/>
    <n v="426274"/>
    <n v="2048"/>
    <n v="4.7999999999999996E-3"/>
    <s v="OK"/>
  </r>
  <r>
    <d v="2025-06-01T00:00:00"/>
    <s v="FY 2025-26"/>
    <x v="15"/>
    <n v="727064"/>
    <n v="725368"/>
    <n v="1696"/>
    <n v="2.3E-3"/>
    <s v="OK"/>
  </r>
  <r>
    <d v="2025-07-01T00:00:00"/>
    <s v="FY 2025-26"/>
    <x v="15"/>
    <n v="805352"/>
    <n v="806478"/>
    <n v="-1126"/>
    <n v="-1.4E-3"/>
    <s v="OK"/>
  </r>
  <r>
    <d v="2025-08-01T00:00:00"/>
    <s v="FY 2025-26"/>
    <x v="15"/>
    <n v="580775"/>
    <n v="581134"/>
    <n v="-359"/>
    <n v="-5.9999999999999995E-4"/>
    <s v="OK"/>
  </r>
  <r>
    <d v="2025-09-01T00:00:00"/>
    <s v="FY 2025-26"/>
    <x v="15"/>
    <n v="567000"/>
    <n v="567424"/>
    <n v="-424"/>
    <n v="-6.9999999999999999E-4"/>
    <s v="OK"/>
  </r>
  <r>
    <d v="2025-10-01T00:00:00"/>
    <s v="FY 2025-26"/>
    <x v="15"/>
    <n v="191935"/>
    <n v="190720"/>
    <n v="1215"/>
    <n v="6.3E-3"/>
    <s v="OK"/>
  </r>
  <r>
    <d v="2025-11-01T00:00:00"/>
    <s v="FY 2025-26"/>
    <x v="15"/>
    <n v="67539"/>
    <n v="65346"/>
    <n v="2193"/>
    <n v="3.2500000000000001E-2"/>
    <s v="OK"/>
  </r>
  <r>
    <d v="2025-12-01T00:00:00"/>
    <s v="FY 2025-26"/>
    <x v="15"/>
    <n v="53908"/>
    <n v="51492"/>
    <n v="2416"/>
    <n v="4.48E-2"/>
    <s v="OK"/>
  </r>
  <r>
    <d v="2026-01-01T00:00:00"/>
    <s v="FY 2025-26"/>
    <x v="15"/>
    <n v="55229"/>
    <n v="52996"/>
    <n v="2233"/>
    <n v="4.0399999999999998E-2"/>
    <s v="OK"/>
  </r>
  <r>
    <d v="2026-02-01T00:00:00"/>
    <s v="FY 2025-26"/>
    <x v="15"/>
    <n v="48371"/>
    <n v="46190"/>
    <n v="2181"/>
    <n v="4.5100000000000001E-2"/>
    <s v="OK"/>
  </r>
  <r>
    <d v="2026-03-01T00:00:00"/>
    <s v="FY 2025-26"/>
    <x v="15"/>
    <n v="36737"/>
    <n v="34570"/>
    <n v="2167"/>
    <n v="5.8999999999999997E-2"/>
    <s v="OK"/>
  </r>
  <r>
    <d v="2025-04-01T00:00:00"/>
    <s v="FY 2025-26"/>
    <x v="16"/>
    <n v="63668"/>
    <n v="64986"/>
    <n v="-1318"/>
    <n v="-2.07E-2"/>
    <s v="OK"/>
  </r>
  <r>
    <d v="2025-05-01T00:00:00"/>
    <s v="FY 2025-26"/>
    <x v="16"/>
    <n v="409122"/>
    <n v="420252"/>
    <n v="-11130"/>
    <n v="-2.7199999999999998E-2"/>
    <s v="OK"/>
  </r>
  <r>
    <d v="2025-06-01T00:00:00"/>
    <s v="FY 2025-26"/>
    <x v="16"/>
    <n v="700960"/>
    <n v="711634"/>
    <n v="-10674"/>
    <n v="-1.52E-2"/>
    <s v="OK"/>
  </r>
  <r>
    <d v="2025-07-01T00:00:00"/>
    <s v="FY 2025-26"/>
    <x v="16"/>
    <n v="801871"/>
    <n v="815826"/>
    <n v="-13955"/>
    <n v="-1.7399999999999999E-2"/>
    <s v="OK"/>
  </r>
  <r>
    <d v="2025-08-01T00:00:00"/>
    <s v="FY 2025-26"/>
    <x v="16"/>
    <n v="568713"/>
    <n v="568096"/>
    <n v="617"/>
    <n v="1.1000000000000001E-3"/>
    <s v="OK"/>
  </r>
  <r>
    <d v="2025-09-01T00:00:00"/>
    <s v="FY 2025-26"/>
    <x v="16"/>
    <n v="519121"/>
    <n v="517522"/>
    <n v="1599"/>
    <n v="3.0999999999999999E-3"/>
    <s v="OK"/>
  </r>
  <r>
    <d v="2025-10-01T00:00:00"/>
    <s v="FY 2025-26"/>
    <x v="16"/>
    <n v="184179"/>
    <n v="182192"/>
    <n v="1987"/>
    <n v="1.0800000000000001E-2"/>
    <s v="OK"/>
  </r>
  <r>
    <d v="2025-11-01T00:00:00"/>
    <s v="FY 2025-26"/>
    <x v="16"/>
    <n v="72612"/>
    <n v="70412"/>
    <n v="2200"/>
    <n v="3.0300000000000001E-2"/>
    <s v="OK"/>
  </r>
  <r>
    <d v="2025-12-01T00:00:00"/>
    <s v="FY 2025-26"/>
    <x v="16"/>
    <n v="53654"/>
    <n v="51260"/>
    <n v="2394"/>
    <n v="4.4600000000000001E-2"/>
    <s v="OK"/>
  </r>
  <r>
    <d v="2026-01-01T00:00:00"/>
    <s v="FY 2025-26"/>
    <x v="16"/>
    <n v="69259"/>
    <n v="66704"/>
    <n v="2555"/>
    <n v="3.6900000000000002E-2"/>
    <s v="OK"/>
  </r>
  <r>
    <d v="2026-02-01T00:00:00"/>
    <s v="FY 2025-26"/>
    <x v="16"/>
    <n v="51832"/>
    <n v="49396"/>
    <n v="2436"/>
    <n v="4.7E-2"/>
    <s v="OK"/>
  </r>
  <r>
    <d v="2026-03-01T00:00:00"/>
    <s v="FY 2025-26"/>
    <x v="16"/>
    <n v="40449"/>
    <n v="38300"/>
    <n v="2149"/>
    <n v="5.3100000000000001E-2"/>
    <s v="OK"/>
  </r>
  <r>
    <d v="2025-04-01T00:00:00"/>
    <s v="FY 2025-26"/>
    <x v="17"/>
    <n v="73049"/>
    <n v="70940"/>
    <n v="2109"/>
    <n v="2.8899999999999999E-2"/>
    <s v="OK"/>
  </r>
  <r>
    <d v="2025-05-01T00:00:00"/>
    <s v="FY 2025-26"/>
    <x v="17"/>
    <n v="154355"/>
    <n v="150951"/>
    <n v="3404"/>
    <n v="2.2100000000000002E-2"/>
    <s v="OK"/>
  </r>
  <r>
    <d v="2025-06-01T00:00:00"/>
    <s v="FY 2025-26"/>
    <x v="17"/>
    <n v="306695"/>
    <n v="300171"/>
    <n v="6524"/>
    <n v="2.1299999999999999E-2"/>
    <s v="OK"/>
  </r>
  <r>
    <d v="2025-07-01T00:00:00"/>
    <s v="FY 2025-26"/>
    <x v="17"/>
    <n v="438606"/>
    <n v="430253"/>
    <n v="8353"/>
    <n v="1.9E-2"/>
    <s v="OK"/>
  </r>
  <r>
    <d v="2025-08-01T00:00:00"/>
    <s v="FY 2025-26"/>
    <x v="17"/>
    <n v="406878"/>
    <n v="398629"/>
    <n v="8249"/>
    <n v="2.0299999999999999E-2"/>
    <s v="OK"/>
  </r>
  <r>
    <d v="2025-09-01T00:00:00"/>
    <s v="FY 2025-26"/>
    <x v="17"/>
    <n v="248114"/>
    <n v="243049"/>
    <n v="5065"/>
    <n v="2.0400000000000001E-2"/>
    <s v="OK"/>
  </r>
  <r>
    <d v="2025-10-01T00:00:00"/>
    <s v="FY 2025-26"/>
    <x v="17"/>
    <n v="134565"/>
    <n v="131227"/>
    <n v="3338"/>
    <n v="2.4799999999999999E-2"/>
    <s v="OK"/>
  </r>
  <r>
    <d v="2025-11-01T00:00:00"/>
    <s v="FY 2025-26"/>
    <x v="17"/>
    <n v="118513"/>
    <n v="115746"/>
    <n v="2767"/>
    <n v="2.3300000000000001E-2"/>
    <s v="OK"/>
  </r>
  <r>
    <d v="2025-12-01T00:00:00"/>
    <s v="FY 2025-26"/>
    <x v="17"/>
    <n v="194705"/>
    <n v="191232"/>
    <n v="3473"/>
    <n v="1.78E-2"/>
    <s v="OK"/>
  </r>
  <r>
    <d v="2026-01-01T00:00:00"/>
    <s v="FY 2025-26"/>
    <x v="17"/>
    <n v="64339"/>
    <n v="61840"/>
    <n v="2499"/>
    <n v="3.8800000000000001E-2"/>
    <s v="OK"/>
  </r>
  <r>
    <d v="2026-02-01T00:00:00"/>
    <s v="FY 2025-26"/>
    <x v="17"/>
    <n v="43925"/>
    <n v="42031"/>
    <n v="1894"/>
    <n v="4.3099999999999999E-2"/>
    <s v="OK"/>
  </r>
  <r>
    <d v="2026-03-01T00:00:00"/>
    <s v="FY 2025-26"/>
    <x v="17"/>
    <n v="61228"/>
    <n v="58870"/>
    <n v="2358"/>
    <n v="3.85E-2"/>
    <s v="OK"/>
  </r>
  <r>
    <d v="2025-04-01T00:00:00"/>
    <s v="FY 2025-26"/>
    <x v="18"/>
    <n v="144094"/>
    <n v="150910"/>
    <n v="-6816"/>
    <n v="-4.7300000000000002E-2"/>
    <s v="OK"/>
  </r>
  <r>
    <d v="2025-05-01T00:00:00"/>
    <s v="FY 2025-26"/>
    <x v="18"/>
    <n v="289033"/>
    <n v="297003"/>
    <n v="-7970"/>
    <n v="-2.76E-2"/>
    <s v="OK"/>
  </r>
  <r>
    <d v="2025-06-01T00:00:00"/>
    <s v="FY 2025-26"/>
    <x v="18"/>
    <n v="896088"/>
    <n v="912130"/>
    <n v="-16042"/>
    <n v="-1.7899999999999999E-2"/>
    <s v="OK"/>
  </r>
  <r>
    <d v="2025-07-01T00:00:00"/>
    <s v="FY 2025-26"/>
    <x v="18"/>
    <n v="1143510"/>
    <n v="1162156"/>
    <n v="-18646"/>
    <n v="-1.6299999999999999E-2"/>
    <s v="OK"/>
  </r>
  <r>
    <d v="2025-08-01T00:00:00"/>
    <s v="FY 2025-26"/>
    <x v="18"/>
    <n v="712766"/>
    <n v="725434"/>
    <n v="-12668"/>
    <n v="-1.78E-2"/>
    <s v="OK"/>
  </r>
  <r>
    <d v="2025-09-01T00:00:00"/>
    <s v="FY 2025-26"/>
    <x v="18"/>
    <n v="413154"/>
    <n v="422571"/>
    <n v="-9417"/>
    <n v="-2.2800000000000001E-2"/>
    <s v="OK"/>
  </r>
  <r>
    <d v="2025-10-01T00:00:00"/>
    <s v="FY 2025-26"/>
    <x v="18"/>
    <n v="234365"/>
    <n v="241172"/>
    <n v="-6807"/>
    <n v="-2.9000000000000001E-2"/>
    <s v="OK"/>
  </r>
  <r>
    <d v="2025-11-01T00:00:00"/>
    <s v="FY 2025-26"/>
    <x v="18"/>
    <n v="230171"/>
    <n v="236136"/>
    <n v="-5965"/>
    <n v="-2.5899999999999999E-2"/>
    <s v="OK"/>
  </r>
  <r>
    <d v="2025-12-01T00:00:00"/>
    <s v="FY 2025-26"/>
    <x v="18"/>
    <n v="364063"/>
    <n v="370684"/>
    <n v="-6621"/>
    <n v="-1.8200000000000001E-2"/>
    <s v="OK"/>
  </r>
  <r>
    <d v="2026-01-01T00:00:00"/>
    <s v="FY 2025-26"/>
    <x v="18"/>
    <n v="138437"/>
    <n v="144683"/>
    <n v="-6246"/>
    <n v="-4.5100000000000001E-2"/>
    <s v="OK"/>
  </r>
  <r>
    <d v="2026-02-01T00:00:00"/>
    <s v="FY 2025-26"/>
    <x v="18"/>
    <n v="94205"/>
    <n v="100234"/>
    <n v="-6029"/>
    <n v="-6.4000000000000001E-2"/>
    <s v="OK"/>
  </r>
  <r>
    <d v="2026-03-01T00:00:00"/>
    <s v="FY 2025-26"/>
    <x v="18"/>
    <n v="120404"/>
    <n v="126585"/>
    <n v="-6181"/>
    <n v="-5.1299999999999998E-2"/>
    <s v="OK"/>
  </r>
  <r>
    <d v="2025-04-01T00:00:00"/>
    <s v="FY 2025-26"/>
    <x v="19"/>
    <n v="50670"/>
    <n v="55212"/>
    <n v="-4542"/>
    <n v="-8.9599999999999999E-2"/>
    <s v="OK"/>
  </r>
  <r>
    <d v="2025-05-01T00:00:00"/>
    <s v="FY 2025-26"/>
    <x v="19"/>
    <n v="251507"/>
    <n v="246334"/>
    <n v="5173"/>
    <n v="2.06E-2"/>
    <s v="OK"/>
  </r>
  <r>
    <d v="2025-06-01T00:00:00"/>
    <s v="FY 2025-26"/>
    <x v="19"/>
    <n v="413424"/>
    <n v="405863"/>
    <n v="7561"/>
    <n v="1.83E-2"/>
    <s v="OK"/>
  </r>
  <r>
    <d v="2025-07-01T00:00:00"/>
    <s v="FY 2025-26"/>
    <x v="19"/>
    <n v="519827"/>
    <n v="510362"/>
    <n v="9465"/>
    <n v="1.8200000000000001E-2"/>
    <s v="OK"/>
  </r>
  <r>
    <d v="2025-08-01T00:00:00"/>
    <s v="FY 2025-26"/>
    <x v="19"/>
    <n v="346487"/>
    <n v="339781"/>
    <n v="6706"/>
    <n v="1.9400000000000001E-2"/>
    <s v="OK"/>
  </r>
  <r>
    <d v="2025-09-01T00:00:00"/>
    <s v="FY 2025-26"/>
    <x v="19"/>
    <n v="350327"/>
    <n v="343584"/>
    <n v="6743"/>
    <n v="1.9199999999999998E-2"/>
    <s v="OK"/>
  </r>
  <r>
    <d v="2025-10-01T00:00:00"/>
    <s v="FY 2025-26"/>
    <x v="19"/>
    <n v="103871"/>
    <n v="101218"/>
    <n v="2653"/>
    <n v="2.5499999999999998E-2"/>
    <s v="OK"/>
  </r>
  <r>
    <d v="2025-11-01T00:00:00"/>
    <s v="FY 2025-26"/>
    <x v="19"/>
    <n v="21762"/>
    <n v="20852"/>
    <n v="910"/>
    <n v="4.1799999999999997E-2"/>
    <s v="OK"/>
  </r>
  <r>
    <d v="2025-12-01T00:00:00"/>
    <s v="FY 2025-26"/>
    <x v="19"/>
    <n v="13222"/>
    <n v="12645"/>
    <n v="577"/>
    <n v="4.36E-2"/>
    <s v="OK"/>
  </r>
  <r>
    <d v="2026-01-01T00:00:00"/>
    <s v="FY 2025-26"/>
    <x v="19"/>
    <n v="20538"/>
    <n v="19720"/>
    <n v="818"/>
    <n v="3.9800000000000002E-2"/>
    <s v="OK"/>
  </r>
  <r>
    <d v="2026-02-01T00:00:00"/>
    <s v="FY 2025-26"/>
    <x v="19"/>
    <n v="27208"/>
    <n v="26233"/>
    <n v="975"/>
    <n v="3.5799999999999998E-2"/>
    <s v="OK"/>
  </r>
  <r>
    <d v="2026-03-01T00:00:00"/>
    <s v="FY 2025-26"/>
    <x v="19"/>
    <n v="24203"/>
    <n v="23291"/>
    <n v="912"/>
    <n v="3.7699999999999997E-2"/>
    <s v="OK"/>
  </r>
  <r>
    <d v="2025-04-01T00:00:00"/>
    <s v="FY 2025-26"/>
    <x v="20"/>
    <n v="50540"/>
    <n v="49032"/>
    <n v="1508"/>
    <n v="2.98E-2"/>
    <s v="OK"/>
  </r>
  <r>
    <d v="2025-05-01T00:00:00"/>
    <s v="FY 2025-26"/>
    <x v="20"/>
    <n v="222317"/>
    <n v="217894"/>
    <n v="4423"/>
    <n v="1.9900000000000001E-2"/>
    <s v="OK"/>
  </r>
  <r>
    <d v="2025-06-01T00:00:00"/>
    <s v="FY 2025-26"/>
    <x v="20"/>
    <n v="348898"/>
    <n v="343038"/>
    <n v="5860"/>
    <n v="1.6799999999999999E-2"/>
    <s v="OK"/>
  </r>
  <r>
    <d v="2025-07-01T00:00:00"/>
    <s v="FY 2025-26"/>
    <x v="20"/>
    <n v="460469"/>
    <n v="453002"/>
    <n v="7467"/>
    <n v="1.6199999999999999E-2"/>
    <s v="OK"/>
  </r>
  <r>
    <d v="2025-08-01T00:00:00"/>
    <s v="FY 2025-26"/>
    <x v="20"/>
    <n v="327055"/>
    <n v="321516"/>
    <n v="5539"/>
    <n v="1.6899999999999998E-2"/>
    <s v="OK"/>
  </r>
  <r>
    <d v="2025-09-01T00:00:00"/>
    <s v="FY 2025-26"/>
    <x v="20"/>
    <n v="320352"/>
    <n v="315162"/>
    <n v="5190"/>
    <n v="1.6199999999999999E-2"/>
    <s v="OK"/>
  </r>
  <r>
    <d v="2025-10-01T00:00:00"/>
    <s v="FY 2025-26"/>
    <x v="20"/>
    <n v="78126"/>
    <n v="76485"/>
    <n v="1641"/>
    <n v="2.1000000000000001E-2"/>
    <s v="OK"/>
  </r>
  <r>
    <d v="2025-11-01T00:00:00"/>
    <s v="FY 2025-26"/>
    <x v="20"/>
    <n v="22053"/>
    <n v="21226"/>
    <n v="827"/>
    <n v="3.7499999999999999E-2"/>
    <s v="OK"/>
  </r>
  <r>
    <d v="2025-12-01T00:00:00"/>
    <s v="FY 2025-26"/>
    <x v="20"/>
    <n v="11986"/>
    <n v="11446"/>
    <n v="540"/>
    <n v="4.5100000000000001E-2"/>
    <s v="OK"/>
  </r>
  <r>
    <d v="2026-01-01T00:00:00"/>
    <s v="FY 2025-26"/>
    <x v="20"/>
    <n v="18441"/>
    <n v="17667"/>
    <n v="774"/>
    <n v="4.2000000000000003E-2"/>
    <s v="OK"/>
  </r>
  <r>
    <d v="2026-02-01T00:00:00"/>
    <s v="FY 2025-26"/>
    <x v="20"/>
    <n v="25740"/>
    <n v="24744"/>
    <n v="996"/>
    <n v="3.8699999999999998E-2"/>
    <s v="OK"/>
  </r>
  <r>
    <d v="2026-03-01T00:00:00"/>
    <s v="FY 2025-26"/>
    <x v="20"/>
    <n v="23679"/>
    <n v="22730"/>
    <n v="949"/>
    <n v="4.0099999999999997E-2"/>
    <s v="OK"/>
  </r>
  <r>
    <d v="2025-04-01T00:00:00"/>
    <s v="FY 2025-26"/>
    <x v="21"/>
    <n v="57100"/>
    <n v="55212"/>
    <n v="1888"/>
    <n v="3.3099999999999997E-2"/>
    <s v="OK"/>
  </r>
  <r>
    <d v="2025-05-01T00:00:00"/>
    <s v="FY 2025-26"/>
    <x v="21"/>
    <n v="171724"/>
    <n v="169017"/>
    <n v="2707"/>
    <n v="1.5800000000000002E-2"/>
    <s v="OK"/>
  </r>
  <r>
    <d v="2025-06-01T00:00:00"/>
    <s v="FY 2025-26"/>
    <x v="21"/>
    <n v="228064"/>
    <n v="222654"/>
    <n v="5410"/>
    <n v="2.3699999999999999E-2"/>
    <s v="OK"/>
  </r>
  <r>
    <d v="2025-07-01T00:00:00"/>
    <s v="FY 2025-26"/>
    <x v="21"/>
    <n v="271084"/>
    <n v="267435"/>
    <n v="3649"/>
    <n v="1.35E-2"/>
    <s v="OK"/>
  </r>
  <r>
    <d v="2025-08-01T00:00:00"/>
    <s v="FY 2025-26"/>
    <x v="21"/>
    <n v="228996"/>
    <n v="225236"/>
    <n v="3760"/>
    <n v="1.6400000000000001E-2"/>
    <s v="OK"/>
  </r>
  <r>
    <d v="2025-09-01T00:00:00"/>
    <s v="FY 2025-26"/>
    <x v="21"/>
    <n v="204970"/>
    <n v="201857"/>
    <n v="3113"/>
    <n v="1.52E-2"/>
    <s v="OK"/>
  </r>
  <r>
    <d v="2025-10-01T00:00:00"/>
    <s v="FY 2025-26"/>
    <x v="21"/>
    <n v="73840"/>
    <n v="72194"/>
    <n v="1646"/>
    <n v="2.23E-2"/>
    <s v="OK"/>
  </r>
  <r>
    <d v="2025-11-01T00:00:00"/>
    <s v="FY 2025-26"/>
    <x v="21"/>
    <n v="41982"/>
    <n v="40403"/>
    <n v="1579"/>
    <n v="3.7600000000000001E-2"/>
    <s v="OK"/>
  </r>
  <r>
    <d v="2025-12-01T00:00:00"/>
    <s v="FY 2025-26"/>
    <x v="21"/>
    <n v="54167"/>
    <n v="52561"/>
    <n v="1606"/>
    <n v="2.9600000000000001E-2"/>
    <s v="OK"/>
  </r>
  <r>
    <d v="2026-01-01T00:00:00"/>
    <s v="FY 2025-26"/>
    <x v="21"/>
    <n v="59175"/>
    <n v="57832"/>
    <n v="1343"/>
    <n v="2.2700000000000001E-2"/>
    <s v="OK"/>
  </r>
  <r>
    <d v="2026-02-01T00:00:00"/>
    <s v="FY 2025-26"/>
    <x v="21"/>
    <n v="50343"/>
    <n v="49218"/>
    <n v="1125"/>
    <n v="2.23E-2"/>
    <s v="OK"/>
  </r>
  <r>
    <d v="2026-03-01T00:00:00"/>
    <s v="FY 2025-26"/>
    <x v="21"/>
    <n v="30691"/>
    <n v="29755"/>
    <n v="936"/>
    <n v="3.0499999999999999E-2"/>
    <s v="OK"/>
  </r>
  <r>
    <d v="2025-04-01T00:00:00"/>
    <s v="FY 2025-26"/>
    <x v="22"/>
    <n v="70083"/>
    <n v="68638"/>
    <n v="1445"/>
    <n v="2.06E-2"/>
    <s v="OK"/>
  </r>
  <r>
    <d v="2025-05-01T00:00:00"/>
    <s v="FY 2025-26"/>
    <x v="22"/>
    <n v="210941"/>
    <n v="207567"/>
    <n v="3374"/>
    <n v="1.6E-2"/>
    <s v="OK"/>
  </r>
  <r>
    <d v="2025-06-01T00:00:00"/>
    <s v="FY 2025-26"/>
    <x v="22"/>
    <n v="279699"/>
    <n v="278762"/>
    <n v="937"/>
    <n v="3.3999999999999998E-3"/>
    <s v="OK"/>
  </r>
  <r>
    <d v="2025-07-01T00:00:00"/>
    <s v="FY 2025-26"/>
    <x v="22"/>
    <n v="337061"/>
    <n v="322060"/>
    <n v="15001"/>
    <n v="4.4499999999999998E-2"/>
    <s v="OK"/>
  </r>
  <r>
    <d v="2025-08-01T00:00:00"/>
    <s v="FY 2025-26"/>
    <x v="22"/>
    <n v="293213"/>
    <n v="298180"/>
    <n v="-4967"/>
    <n v="-1.6899999999999998E-2"/>
    <s v="OK"/>
  </r>
  <r>
    <d v="2025-09-01T00:00:00"/>
    <s v="FY 2025-26"/>
    <x v="22"/>
    <n v="265924"/>
    <n v="259620"/>
    <n v="6304"/>
    <n v="2.3699999999999999E-2"/>
    <s v="OK"/>
  </r>
  <r>
    <d v="2025-10-01T00:00:00"/>
    <s v="FY 2025-26"/>
    <x v="22"/>
    <n v="81058"/>
    <n v="79220"/>
    <n v="1838"/>
    <n v="2.2700000000000001E-2"/>
    <s v="OK"/>
  </r>
  <r>
    <d v="2025-11-01T00:00:00"/>
    <s v="FY 2025-26"/>
    <x v="22"/>
    <n v="46318"/>
    <n v="45069"/>
    <n v="1249"/>
    <n v="2.7E-2"/>
    <s v="OK"/>
  </r>
  <r>
    <d v="2025-12-01T00:00:00"/>
    <s v="FY 2025-26"/>
    <x v="22"/>
    <n v="64385"/>
    <n v="62931"/>
    <n v="1454"/>
    <n v="2.2599999999999999E-2"/>
    <s v="OK"/>
  </r>
  <r>
    <d v="2026-01-01T00:00:00"/>
    <s v="FY 2025-26"/>
    <x v="22"/>
    <n v="65293"/>
    <n v="63880"/>
    <n v="1413"/>
    <n v="2.1600000000000001E-2"/>
    <s v="OK"/>
  </r>
  <r>
    <d v="2026-02-01T00:00:00"/>
    <s v="FY 2025-26"/>
    <x v="22"/>
    <n v="55756"/>
    <n v="54480"/>
    <n v="1276"/>
    <n v="2.29E-2"/>
    <s v="OK"/>
  </r>
  <r>
    <d v="2026-03-01T00:00:00"/>
    <s v="FY 2025-26"/>
    <x v="22"/>
    <n v="32158"/>
    <n v="31160"/>
    <n v="998"/>
    <n v="3.1E-2"/>
    <s v="OK"/>
  </r>
  <r>
    <d v="2025-04-01T00:00:00"/>
    <s v="FY 2025-26"/>
    <x v="23"/>
    <n v="83272"/>
    <n v="80100"/>
    <n v="3172"/>
    <n v="3.8100000000000002E-2"/>
    <s v="OK"/>
  </r>
  <r>
    <d v="2025-05-01T00:00:00"/>
    <s v="FY 2025-26"/>
    <x v="23"/>
    <n v="153501"/>
    <n v="150255"/>
    <n v="3246"/>
    <n v="2.1100000000000001E-2"/>
    <s v="OK"/>
  </r>
  <r>
    <d v="2025-06-01T00:00:00"/>
    <s v="FY 2025-26"/>
    <x v="23"/>
    <n v="250536"/>
    <n v="249495"/>
    <n v="1041"/>
    <n v="4.1999999999999997E-3"/>
    <s v="OK"/>
  </r>
  <r>
    <d v="2025-07-01T00:00:00"/>
    <s v="FY 2025-26"/>
    <x v="23"/>
    <n v="345420"/>
    <n v="337710"/>
    <n v="7710"/>
    <n v="2.23E-2"/>
    <s v="OK"/>
  </r>
  <r>
    <d v="2025-08-01T00:00:00"/>
    <s v="FY 2025-26"/>
    <x v="23"/>
    <n v="227488"/>
    <n v="224708"/>
    <n v="2780"/>
    <n v="1.2200000000000001E-2"/>
    <s v="OK"/>
  </r>
  <r>
    <d v="2025-09-01T00:00:00"/>
    <s v="FY 2025-26"/>
    <x v="23"/>
    <n v="204536"/>
    <n v="202133"/>
    <n v="2403"/>
    <n v="1.17E-2"/>
    <s v="OK"/>
  </r>
  <r>
    <d v="2025-10-01T00:00:00"/>
    <s v="FY 2025-26"/>
    <x v="23"/>
    <n v="89306"/>
    <n v="87578"/>
    <n v="1728"/>
    <n v="1.9300000000000001E-2"/>
    <s v="OK"/>
  </r>
  <r>
    <d v="2025-11-01T00:00:00"/>
    <s v="FY 2025-26"/>
    <x v="23"/>
    <n v="65678"/>
    <n v="65318"/>
    <n v="360"/>
    <n v="5.4999999999999997E-3"/>
    <s v="OK"/>
  </r>
  <r>
    <d v="2025-12-01T00:00:00"/>
    <s v="FY 2025-26"/>
    <x v="23"/>
    <n v="70598"/>
    <n v="66997"/>
    <n v="3601"/>
    <n v="5.0999999999999997E-2"/>
    <s v="OK"/>
  </r>
  <r>
    <d v="2026-01-01T00:00:00"/>
    <s v="FY 2025-26"/>
    <x v="23"/>
    <n v="74438"/>
    <n v="75143"/>
    <n v="-705"/>
    <n v="-9.4999999999999998E-3"/>
    <s v="OK"/>
  </r>
  <r>
    <d v="2026-02-01T00:00:00"/>
    <s v="FY 2025-26"/>
    <x v="23"/>
    <n v="59183"/>
    <n v="59160"/>
    <n v="23"/>
    <n v="4.0000000000000002E-4"/>
    <s v="OK"/>
  </r>
  <r>
    <d v="2026-03-01T00:00:00"/>
    <s v="FY 2025-26"/>
    <x v="23"/>
    <n v="62143"/>
    <n v="61950"/>
    <n v="193"/>
    <n v="3.0999999999999999E-3"/>
    <s v="OK"/>
  </r>
  <r>
    <d v="2025-04-01T00:00:00"/>
    <s v="FY 2025-26"/>
    <x v="24"/>
    <n v="1009776"/>
    <n v="970280"/>
    <n v="39496"/>
    <n v="3.9100000000000003E-2"/>
    <s v="OK"/>
  </r>
  <r>
    <d v="2025-05-01T00:00:00"/>
    <s v="FY 2025-26"/>
    <x v="24"/>
    <n v="1399165"/>
    <n v="1358748"/>
    <n v="40417"/>
    <n v="2.8899999999999999E-2"/>
    <s v="OK"/>
  </r>
  <r>
    <d v="2025-06-01T00:00:00"/>
    <s v="FY 2025-26"/>
    <x v="24"/>
    <n v="2466331"/>
    <n v="2403665"/>
    <n v="62666"/>
    <n v="2.5399999999999999E-2"/>
    <s v="OK"/>
  </r>
  <r>
    <d v="2025-07-01T00:00:00"/>
    <s v="FY 2025-26"/>
    <x v="24"/>
    <n v="2993395"/>
    <n v="2919780"/>
    <n v="73615"/>
    <n v="2.46E-2"/>
    <s v="OK"/>
  </r>
  <r>
    <d v="2025-08-01T00:00:00"/>
    <s v="FY 2025-26"/>
    <x v="24"/>
    <n v="2148147"/>
    <n v="2097476"/>
    <n v="50671"/>
    <n v="2.3599999999999999E-2"/>
    <s v="OK"/>
  </r>
  <r>
    <d v="2025-09-01T00:00:00"/>
    <s v="FY 2025-26"/>
    <x v="24"/>
    <n v="1644366"/>
    <n v="1600225"/>
    <n v="44141"/>
    <n v="2.6800000000000001E-2"/>
    <s v="OK"/>
  </r>
  <r>
    <d v="2025-10-01T00:00:00"/>
    <s v="FY 2025-26"/>
    <x v="24"/>
    <n v="972341"/>
    <n v="940703"/>
    <n v="31638"/>
    <n v="3.2500000000000001E-2"/>
    <s v="OK"/>
  </r>
  <r>
    <d v="2025-11-01T00:00:00"/>
    <s v="FY 2025-26"/>
    <x v="24"/>
    <n v="740848"/>
    <n v="708646"/>
    <n v="32202"/>
    <n v="4.3499999999999997E-2"/>
    <s v="OK"/>
  </r>
  <r>
    <d v="2025-12-01T00:00:00"/>
    <s v="FY 2025-26"/>
    <x v="24"/>
    <n v="765627"/>
    <n v="734937"/>
    <n v="30690"/>
    <n v="4.0099999999999997E-2"/>
    <s v="OK"/>
  </r>
  <r>
    <d v="2026-01-01T00:00:00"/>
    <s v="FY 2025-26"/>
    <x v="24"/>
    <n v="494693"/>
    <n v="469743"/>
    <n v="24950"/>
    <n v="5.04E-2"/>
    <s v="OK"/>
  </r>
  <r>
    <d v="2026-02-01T00:00:00"/>
    <s v="FY 2025-26"/>
    <x v="24"/>
    <n v="439473"/>
    <n v="414841"/>
    <n v="24632"/>
    <n v="5.6000000000000001E-2"/>
    <s v="OK"/>
  </r>
  <r>
    <d v="2026-03-01T00:00:00"/>
    <s v="FY 2025-26"/>
    <x v="24"/>
    <n v="605307"/>
    <n v="574430"/>
    <n v="30877"/>
    <n v="5.0999999999999997E-2"/>
    <s v="OK"/>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d v="2025-04-01T00:00:00"/>
    <s v="FY 2025-26"/>
    <x v="0"/>
    <n v="209819"/>
    <n v="6952"/>
    <n v="3.3000000000000002E-2"/>
    <n v="0.05"/>
    <s v="Within Limit"/>
    <s v="OK"/>
  </r>
  <r>
    <d v="2025-05-01T00:00:00"/>
    <s v="FY 2025-26"/>
    <x v="0"/>
    <n v="274677"/>
    <n v="10097"/>
    <n v="3.6999999999999998E-2"/>
    <n v="0.05"/>
    <s v="Within Limit"/>
    <s v="OK"/>
  </r>
  <r>
    <d v="2025-06-01T00:00:00"/>
    <s v="FY 2025-26"/>
    <x v="0"/>
    <n v="611235"/>
    <n v="6460"/>
    <n v="1.0999999999999999E-2"/>
    <n v="0.05"/>
    <s v="Within Limit"/>
    <s v="OK"/>
  </r>
  <r>
    <d v="2025-07-01T00:00:00"/>
    <s v="FY 2025-26"/>
    <x v="0"/>
    <n v="897647"/>
    <n v="3103"/>
    <n v="3.0000000000000001E-3"/>
    <n v="0.05"/>
    <s v="Within Limit"/>
    <s v="OK"/>
  </r>
  <r>
    <d v="2025-08-01T00:00:00"/>
    <s v="FY 2025-26"/>
    <x v="0"/>
    <n v="448823"/>
    <n v="5392"/>
    <n v="1.2E-2"/>
    <n v="0.05"/>
    <s v="Within Limit"/>
    <s v="OK"/>
  </r>
  <r>
    <d v="2025-09-01T00:00:00"/>
    <s v="FY 2025-26"/>
    <x v="0"/>
    <n v="217455"/>
    <n v="9374"/>
    <n v="4.2999999999999997E-2"/>
    <n v="0.05"/>
    <s v="Within Limit"/>
    <s v="OK"/>
  </r>
  <r>
    <d v="2025-10-01T00:00:00"/>
    <s v="FY 2025-26"/>
    <x v="0"/>
    <n v="152769"/>
    <n v="8546"/>
    <n v="5.6000000000000001E-2"/>
    <n v="0.05"/>
    <s v="Exceeded Limit"/>
    <s v="Review"/>
  </r>
  <r>
    <d v="2025-11-01T00:00:00"/>
    <s v="FY 2025-26"/>
    <x v="0"/>
    <n v="216193"/>
    <n v="23241"/>
    <n v="0.107"/>
    <n v="0.05"/>
    <s v="Exceeded Limit"/>
    <s v="Review"/>
  </r>
  <r>
    <d v="2025-12-01T00:00:00"/>
    <s v="FY 2025-26"/>
    <x v="0"/>
    <n v="355304"/>
    <n v="5498"/>
    <n v="1.4999999999999999E-2"/>
    <n v="0.05"/>
    <s v="Within Limit"/>
    <s v="OK"/>
  </r>
  <r>
    <d v="2026-01-01T00:00:00"/>
    <s v="FY 2025-26"/>
    <x v="0"/>
    <n v="83708"/>
    <n v="38163"/>
    <n v="0.45600000000000002"/>
    <n v="0.05"/>
    <s v="Exceeded Limit"/>
    <s v="Review"/>
  </r>
  <r>
    <d v="2026-02-01T00:00:00"/>
    <s v="FY 2025-26"/>
    <x v="0"/>
    <n v="101267"/>
    <n v="29018"/>
    <n v="0.28699999999999998"/>
    <n v="0.05"/>
    <s v="Exceeded Limit"/>
    <s v="Review"/>
  </r>
  <r>
    <d v="2026-03-01T00:00:00"/>
    <s v="FY 2025-26"/>
    <x v="0"/>
    <n v="95418"/>
    <n v="30764"/>
    <n v="0.32200000000000001"/>
    <n v="0.05"/>
    <s v="Exceeded Limit"/>
    <s v="Review"/>
  </r>
  <r>
    <d v="2025-04-01T00:00:00"/>
    <s v="FY 2025-26"/>
    <x v="1"/>
    <n v="59664"/>
    <n v="-30"/>
    <n v="-1E-3"/>
    <n v="0.05"/>
    <s v="Within Limit"/>
    <s v="OK"/>
  </r>
  <r>
    <d v="2025-05-01T00:00:00"/>
    <s v="FY 2025-26"/>
    <x v="1"/>
    <n v="142434"/>
    <n v="3432"/>
    <n v="2.4E-2"/>
    <n v="0.05"/>
    <s v="Within Limit"/>
    <s v="OK"/>
  </r>
  <r>
    <d v="2025-06-01T00:00:00"/>
    <s v="FY 2025-26"/>
    <x v="1"/>
    <n v="209574"/>
    <n v="282"/>
    <n v="1E-3"/>
    <n v="0.05"/>
    <s v="Within Limit"/>
    <s v="OK"/>
  </r>
  <r>
    <d v="2025-07-01T00:00:00"/>
    <s v="FY 2025-26"/>
    <x v="1"/>
    <n v="247152"/>
    <n v="24"/>
    <n v="0"/>
    <n v="0.05"/>
    <s v="Within Limit"/>
    <s v="OK"/>
  </r>
  <r>
    <d v="2025-08-01T00:00:00"/>
    <s v="FY 2025-26"/>
    <x v="1"/>
    <n v="170958"/>
    <n v="18"/>
    <n v="0"/>
    <n v="0.05"/>
    <s v="Within Limit"/>
    <s v="OK"/>
  </r>
  <r>
    <d v="2025-09-01T00:00:00"/>
    <s v="FY 2025-26"/>
    <x v="1"/>
    <n v="151764"/>
    <n v="96"/>
    <n v="1E-3"/>
    <n v="0.05"/>
    <s v="Within Limit"/>
    <s v="OK"/>
  </r>
  <r>
    <d v="2025-10-01T00:00:00"/>
    <s v="FY 2025-26"/>
    <x v="1"/>
    <n v="64434"/>
    <n v="570"/>
    <n v="8.9999999999999993E-3"/>
    <n v="0.05"/>
    <s v="Within Limit"/>
    <s v="OK"/>
  </r>
  <r>
    <d v="2025-11-01T00:00:00"/>
    <s v="FY 2025-26"/>
    <x v="1"/>
    <n v="36330"/>
    <n v="1104"/>
    <n v="0.03"/>
    <n v="0.05"/>
    <s v="Within Limit"/>
    <s v="OK"/>
  </r>
  <r>
    <d v="2025-12-01T00:00:00"/>
    <s v="FY 2025-26"/>
    <x v="1"/>
    <n v="26292"/>
    <n v="1638"/>
    <n v="6.2E-2"/>
    <n v="0.05"/>
    <s v="Exceeded Limit"/>
    <s v="Review"/>
  </r>
  <r>
    <d v="2026-01-01T00:00:00"/>
    <s v="FY 2025-26"/>
    <x v="1"/>
    <n v="28206"/>
    <n v="528"/>
    <n v="1.9E-2"/>
    <n v="0.05"/>
    <s v="Within Limit"/>
    <s v="OK"/>
  </r>
  <r>
    <d v="2026-02-01T00:00:00"/>
    <s v="FY 2025-26"/>
    <x v="1"/>
    <n v="24264"/>
    <n v="1158"/>
    <n v="4.8000000000000001E-2"/>
    <n v="0.05"/>
    <s v="Within Limit"/>
    <s v="OK"/>
  </r>
  <r>
    <d v="2026-03-01T00:00:00"/>
    <s v="FY 2025-26"/>
    <x v="1"/>
    <n v="36072"/>
    <n v="810"/>
    <n v="2.1999999999999999E-2"/>
    <n v="0.05"/>
    <s v="Within Limit"/>
    <s v="OK"/>
  </r>
  <r>
    <d v="2025-04-01T00:00:00"/>
    <s v="FY 2025-26"/>
    <x v="2"/>
    <n v="261840"/>
    <n v="0"/>
    <n v="0"/>
    <n v="0.05"/>
    <s v="Within Limit"/>
    <s v="OK"/>
  </r>
  <r>
    <d v="2025-05-01T00:00:00"/>
    <s v="FY 2025-26"/>
    <x v="2"/>
    <n v="579600"/>
    <n v="0"/>
    <n v="0"/>
    <n v="0.05"/>
    <s v="Within Limit"/>
    <s v="OK"/>
  </r>
  <r>
    <d v="2025-06-01T00:00:00"/>
    <s v="FY 2025-26"/>
    <x v="2"/>
    <n v="887940"/>
    <n v="0"/>
    <n v="0"/>
    <n v="0.05"/>
    <s v="Within Limit"/>
    <s v="OK"/>
  </r>
  <r>
    <d v="2025-07-01T00:00:00"/>
    <s v="FY 2025-26"/>
    <x v="2"/>
    <n v="1208880"/>
    <n v="0"/>
    <n v="0"/>
    <n v="0.05"/>
    <s v="Within Limit"/>
    <s v="OK"/>
  </r>
  <r>
    <d v="2025-08-01T00:00:00"/>
    <s v="FY 2025-26"/>
    <x v="2"/>
    <n v="834270"/>
    <n v="0"/>
    <n v="0"/>
    <n v="0.05"/>
    <s v="Within Limit"/>
    <s v="OK"/>
  </r>
  <r>
    <d v="2025-09-01T00:00:00"/>
    <s v="FY 2025-26"/>
    <x v="2"/>
    <n v="597360"/>
    <n v="0"/>
    <n v="0"/>
    <n v="0.05"/>
    <s v="Within Limit"/>
    <s v="OK"/>
  </r>
  <r>
    <d v="2025-10-01T00:00:00"/>
    <s v="FY 2025-26"/>
    <x v="2"/>
    <n v="237390"/>
    <n v="0"/>
    <n v="0"/>
    <n v="0.05"/>
    <s v="Within Limit"/>
    <s v="OK"/>
  </r>
  <r>
    <d v="2025-11-01T00:00:00"/>
    <s v="FY 2025-26"/>
    <x v="2"/>
    <n v="150810"/>
    <n v="120"/>
    <n v="1E-3"/>
    <n v="0.05"/>
    <s v="Within Limit"/>
    <s v="OK"/>
  </r>
  <r>
    <d v="2025-12-01T00:00:00"/>
    <s v="FY 2025-26"/>
    <x v="2"/>
    <n v="175080"/>
    <n v="90"/>
    <n v="1E-3"/>
    <n v="0.05"/>
    <s v="Within Limit"/>
    <s v="OK"/>
  </r>
  <r>
    <d v="2026-01-01T00:00:00"/>
    <s v="FY 2025-26"/>
    <x v="2"/>
    <n v="200040"/>
    <n v="90"/>
    <n v="0"/>
    <n v="0.05"/>
    <s v="Within Limit"/>
    <s v="OK"/>
  </r>
  <r>
    <d v="2026-02-01T00:00:00"/>
    <s v="FY 2025-26"/>
    <x v="2"/>
    <n v="155580"/>
    <n v="30"/>
    <n v="0"/>
    <n v="0.05"/>
    <s v="Within Limit"/>
    <s v="OK"/>
  </r>
  <r>
    <d v="2026-03-01T00:00:00"/>
    <s v="FY 2025-26"/>
    <x v="2"/>
    <n v="160590"/>
    <n v="0"/>
    <n v="0"/>
    <n v="0.05"/>
    <s v="Within Limit"/>
    <s v="OK"/>
  </r>
  <r>
    <d v="2025-04-01T00:00:00"/>
    <s v="FY 2025-26"/>
    <x v="3"/>
    <n v="261840"/>
    <n v="2147"/>
    <n v="8.0000000000000002E-3"/>
    <n v="0.05"/>
    <s v="Within Limit"/>
    <s v="OK"/>
  </r>
  <r>
    <d v="2025-05-01T00:00:00"/>
    <s v="FY 2025-26"/>
    <x v="3"/>
    <n v="579600"/>
    <n v="18530"/>
    <n v="3.2000000000000001E-2"/>
    <n v="0.05"/>
    <s v="Within Limit"/>
    <s v="OK"/>
  </r>
  <r>
    <d v="2025-06-01T00:00:00"/>
    <s v="FY 2025-26"/>
    <x v="3"/>
    <n v="887940"/>
    <n v="23504"/>
    <n v="2.5999999999999999E-2"/>
    <n v="0.05"/>
    <s v="Within Limit"/>
    <s v="OK"/>
  </r>
  <r>
    <d v="2025-07-01T00:00:00"/>
    <s v="FY 2025-26"/>
    <x v="3"/>
    <n v="1208880"/>
    <n v="40661"/>
    <n v="3.4000000000000002E-2"/>
    <n v="0.05"/>
    <s v="Within Limit"/>
    <s v="OK"/>
  </r>
  <r>
    <d v="2025-08-01T00:00:00"/>
    <s v="FY 2025-26"/>
    <x v="3"/>
    <n v="834270"/>
    <n v="50600"/>
    <n v="6.0999999999999999E-2"/>
    <n v="0.05"/>
    <s v="Exceeded Limit"/>
    <s v="Review"/>
  </r>
  <r>
    <d v="2025-09-01T00:00:00"/>
    <s v="FY 2025-26"/>
    <x v="3"/>
    <n v="597360"/>
    <n v="39477"/>
    <n v="6.6000000000000003E-2"/>
    <n v="0.05"/>
    <s v="Exceeded Limit"/>
    <s v="Review"/>
  </r>
  <r>
    <d v="2025-10-01T00:00:00"/>
    <s v="FY 2025-26"/>
    <x v="3"/>
    <n v="237390"/>
    <n v="5479"/>
    <n v="2.3E-2"/>
    <n v="0.05"/>
    <s v="Within Limit"/>
    <s v="OK"/>
  </r>
  <r>
    <d v="2025-11-01T00:00:00"/>
    <s v="FY 2025-26"/>
    <x v="3"/>
    <n v="150810"/>
    <n v="3736"/>
    <n v="2.5000000000000001E-2"/>
    <n v="0.05"/>
    <s v="Within Limit"/>
    <s v="OK"/>
  </r>
  <r>
    <d v="2025-12-01T00:00:00"/>
    <s v="FY 2025-26"/>
    <x v="3"/>
    <n v="175080"/>
    <n v="4565"/>
    <n v="2.5999999999999999E-2"/>
    <n v="0.05"/>
    <s v="Within Limit"/>
    <s v="OK"/>
  </r>
  <r>
    <d v="2026-01-01T00:00:00"/>
    <s v="FY 2025-26"/>
    <x v="3"/>
    <n v="200040"/>
    <n v="5515"/>
    <n v="2.8000000000000001E-2"/>
    <n v="0.05"/>
    <s v="Within Limit"/>
    <s v="OK"/>
  </r>
  <r>
    <d v="2026-02-01T00:00:00"/>
    <s v="FY 2025-26"/>
    <x v="3"/>
    <n v="155580"/>
    <n v="1811"/>
    <n v="1.2E-2"/>
    <n v="0.05"/>
    <s v="Within Limit"/>
    <s v="OK"/>
  </r>
  <r>
    <d v="2026-03-01T00:00:00"/>
    <s v="FY 2025-26"/>
    <x v="3"/>
    <n v="160590"/>
    <n v="4348"/>
    <n v="2.7E-2"/>
    <n v="0.05"/>
    <s v="Within Limit"/>
    <s v="OK"/>
  </r>
  <r>
    <d v="2025-04-01T00:00:00"/>
    <s v="FY 2025-26"/>
    <x v="4"/>
    <n v="110052"/>
    <n v="1212"/>
    <n v="1.0999999999999999E-2"/>
    <n v="0.05"/>
    <s v="Within Limit"/>
    <s v="OK"/>
  </r>
  <r>
    <d v="2025-05-01T00:00:00"/>
    <s v="FY 2025-26"/>
    <x v="4"/>
    <n v="224220"/>
    <n v="672"/>
    <n v="3.0000000000000001E-3"/>
    <n v="0.05"/>
    <s v="Within Limit"/>
    <s v="OK"/>
  </r>
  <r>
    <d v="2025-06-01T00:00:00"/>
    <s v="FY 2025-26"/>
    <x v="4"/>
    <n v="309600"/>
    <n v="108"/>
    <n v="0"/>
    <n v="0.05"/>
    <s v="Within Limit"/>
    <s v="OK"/>
  </r>
  <r>
    <d v="2025-07-01T00:00:00"/>
    <s v="FY 2025-26"/>
    <x v="4"/>
    <n v="484140"/>
    <n v="312"/>
    <n v="1E-3"/>
    <n v="0.05"/>
    <s v="Within Limit"/>
    <s v="OK"/>
  </r>
  <r>
    <d v="2025-08-01T00:00:00"/>
    <s v="FY 2025-26"/>
    <x v="4"/>
    <n v="358464"/>
    <n v="3336"/>
    <n v="8.9999999999999993E-3"/>
    <n v="0.05"/>
    <s v="Within Limit"/>
    <s v="OK"/>
  </r>
  <r>
    <d v="2025-09-01T00:00:00"/>
    <s v="FY 2025-26"/>
    <x v="4"/>
    <n v="304452"/>
    <n v="1644"/>
    <n v="5.0000000000000001E-3"/>
    <n v="0.05"/>
    <s v="Within Limit"/>
    <s v="OK"/>
  </r>
  <r>
    <d v="2025-10-01T00:00:00"/>
    <s v="FY 2025-26"/>
    <x v="4"/>
    <n v="130080"/>
    <n v="19452"/>
    <n v="0.15"/>
    <n v="0.05"/>
    <s v="Exceeded Limit"/>
    <s v="Review"/>
  </r>
  <r>
    <d v="2025-11-01T00:00:00"/>
    <s v="FY 2025-26"/>
    <x v="4"/>
    <n v="109752"/>
    <n v="13416"/>
    <n v="0.122"/>
    <n v="0.05"/>
    <s v="Exceeded Limit"/>
    <s v="Review"/>
  </r>
  <r>
    <d v="2025-12-01T00:00:00"/>
    <s v="FY 2025-26"/>
    <x v="4"/>
    <n v="119412"/>
    <n v="9972"/>
    <n v="8.4000000000000005E-2"/>
    <n v="0.05"/>
    <s v="Exceeded Limit"/>
    <s v="Review"/>
  </r>
  <r>
    <d v="2026-01-01T00:00:00"/>
    <s v="FY 2025-26"/>
    <x v="4"/>
    <n v="137700"/>
    <n v="9372"/>
    <n v="6.8000000000000005E-2"/>
    <n v="0.05"/>
    <s v="Exceeded Limit"/>
    <s v="Review"/>
  </r>
  <r>
    <d v="2026-02-01T00:00:00"/>
    <s v="FY 2025-26"/>
    <x v="4"/>
    <n v="89196"/>
    <n v="12444"/>
    <n v="0.14000000000000001"/>
    <n v="0.05"/>
    <s v="Exceeded Limit"/>
    <s v="Review"/>
  </r>
  <r>
    <d v="2026-03-01T00:00:00"/>
    <s v="FY 2025-26"/>
    <x v="4"/>
    <n v="79152"/>
    <n v="7920"/>
    <n v="0.1"/>
    <n v="0.05"/>
    <s v="Exceeded Limit"/>
    <s v="Review"/>
  </r>
  <r>
    <d v="2025-04-01T00:00:00"/>
    <s v="FY 2025-26"/>
    <x v="5"/>
    <n v="323682"/>
    <n v="1063"/>
    <n v="3.0000000000000001E-3"/>
    <n v="0.05"/>
    <s v="Within Limit"/>
    <s v="OK"/>
  </r>
  <r>
    <d v="2025-05-01T00:00:00"/>
    <s v="FY 2025-26"/>
    <x v="5"/>
    <n v="255734"/>
    <n v="1950"/>
    <n v="8.0000000000000002E-3"/>
    <n v="0.05"/>
    <s v="Within Limit"/>
    <s v="OK"/>
  </r>
  <r>
    <d v="2025-06-01T00:00:00"/>
    <s v="FY 2025-26"/>
    <x v="5"/>
    <n v="517407"/>
    <n v="1164"/>
    <n v="2E-3"/>
    <n v="0.05"/>
    <s v="Within Limit"/>
    <s v="OK"/>
  </r>
  <r>
    <d v="2025-07-01T00:00:00"/>
    <s v="FY 2025-26"/>
    <x v="5"/>
    <n v="480028"/>
    <n v="149"/>
    <n v="0"/>
    <n v="0.05"/>
    <s v="Within Limit"/>
    <s v="OK"/>
  </r>
  <r>
    <d v="2025-08-01T00:00:00"/>
    <s v="FY 2025-26"/>
    <x v="5"/>
    <n v="373756"/>
    <n v="468"/>
    <n v="1E-3"/>
    <n v="0.05"/>
    <s v="Within Limit"/>
    <s v="OK"/>
  </r>
  <r>
    <d v="2025-09-01T00:00:00"/>
    <s v="FY 2025-26"/>
    <x v="5"/>
    <n v="276438"/>
    <n v="973"/>
    <n v="4.0000000000000001E-3"/>
    <n v="0.05"/>
    <s v="Within Limit"/>
    <s v="OK"/>
  </r>
  <r>
    <d v="2025-10-01T00:00:00"/>
    <s v="FY 2025-26"/>
    <x v="5"/>
    <n v="88630"/>
    <n v="5971"/>
    <n v="6.7000000000000004E-2"/>
    <n v="0.05"/>
    <s v="Exceeded Limit"/>
    <s v="Review"/>
  </r>
  <r>
    <d v="2025-11-01T00:00:00"/>
    <s v="FY 2025-26"/>
    <x v="5"/>
    <n v="73745"/>
    <n v="3639"/>
    <n v="4.9000000000000002E-2"/>
    <n v="0.05"/>
    <s v="Within Limit"/>
    <s v="OK"/>
  </r>
  <r>
    <d v="2025-12-01T00:00:00"/>
    <s v="FY 2025-26"/>
    <x v="5"/>
    <n v="82779"/>
    <n v="2021"/>
    <n v="2.4E-2"/>
    <n v="0.05"/>
    <s v="Within Limit"/>
    <s v="OK"/>
  </r>
  <r>
    <d v="2026-01-01T00:00:00"/>
    <s v="FY 2025-26"/>
    <x v="5"/>
    <n v="68041"/>
    <n v="3193"/>
    <n v="4.7E-2"/>
    <n v="0.05"/>
    <s v="Within Limit"/>
    <s v="OK"/>
  </r>
  <r>
    <d v="2026-02-01T00:00:00"/>
    <s v="FY 2025-26"/>
    <x v="5"/>
    <n v="58988"/>
    <n v="4657"/>
    <n v="7.9000000000000001E-2"/>
    <n v="0.05"/>
    <s v="Exceeded Limit"/>
    <s v="Review"/>
  </r>
  <r>
    <d v="2026-03-01T00:00:00"/>
    <s v="FY 2025-26"/>
    <x v="5"/>
    <n v="145516"/>
    <n v="4159"/>
    <n v="2.9000000000000001E-2"/>
    <n v="0.05"/>
    <s v="Within Limit"/>
    <s v="OK"/>
  </r>
  <r>
    <d v="2025-04-01T00:00:00"/>
    <s v="FY 2025-26"/>
    <x v="6"/>
    <n v="207898"/>
    <n v="3623"/>
    <n v="1.7000000000000001E-2"/>
    <n v="0.05"/>
    <s v="Within Limit"/>
    <s v="OK"/>
  </r>
  <r>
    <d v="2025-05-01T00:00:00"/>
    <s v="FY 2025-26"/>
    <x v="6"/>
    <n v="286144"/>
    <n v="3562"/>
    <n v="1.2E-2"/>
    <n v="0.05"/>
    <s v="Within Limit"/>
    <s v="OK"/>
  </r>
  <r>
    <d v="2025-06-01T00:00:00"/>
    <s v="FY 2025-26"/>
    <x v="6"/>
    <n v="694213"/>
    <n v="1082"/>
    <n v="2E-3"/>
    <n v="0.05"/>
    <s v="Within Limit"/>
    <s v="OK"/>
  </r>
  <r>
    <d v="2025-07-01T00:00:00"/>
    <s v="FY 2025-26"/>
    <x v="6"/>
    <n v="864747"/>
    <n v="228"/>
    <n v="0"/>
    <n v="0.05"/>
    <s v="Within Limit"/>
    <s v="OK"/>
  </r>
  <r>
    <d v="2025-08-01T00:00:00"/>
    <s v="FY 2025-26"/>
    <x v="6"/>
    <n v="537907"/>
    <n v="1279"/>
    <n v="2E-3"/>
    <n v="0.05"/>
    <s v="Within Limit"/>
    <s v="OK"/>
  </r>
  <r>
    <d v="2025-09-01T00:00:00"/>
    <s v="FY 2025-26"/>
    <x v="6"/>
    <n v="337010"/>
    <n v="2186"/>
    <n v="6.0000000000000001E-3"/>
    <n v="0.05"/>
    <s v="Within Limit"/>
    <s v="OK"/>
  </r>
  <r>
    <d v="2025-10-01T00:00:00"/>
    <s v="FY 2025-26"/>
    <x v="6"/>
    <n v="239036"/>
    <n v="1305"/>
    <n v="5.0000000000000001E-3"/>
    <n v="0.05"/>
    <s v="Within Limit"/>
    <s v="OK"/>
  </r>
  <r>
    <d v="2025-11-01T00:00:00"/>
    <s v="FY 2025-26"/>
    <x v="6"/>
    <n v="230110"/>
    <n v="1721"/>
    <n v="7.0000000000000001E-3"/>
    <n v="0.05"/>
    <s v="Within Limit"/>
    <s v="OK"/>
  </r>
  <r>
    <d v="2025-12-01T00:00:00"/>
    <s v="FY 2025-26"/>
    <x v="6"/>
    <n v="251404"/>
    <n v="750"/>
    <n v="3.0000000000000001E-3"/>
    <n v="0.05"/>
    <s v="Within Limit"/>
    <s v="OK"/>
  </r>
  <r>
    <d v="2026-01-01T00:00:00"/>
    <s v="FY 2025-26"/>
    <x v="6"/>
    <n v="155774"/>
    <n v="2533"/>
    <n v="1.6E-2"/>
    <n v="0.05"/>
    <s v="Within Limit"/>
    <s v="OK"/>
  </r>
  <r>
    <d v="2026-02-01T00:00:00"/>
    <s v="FY 2025-26"/>
    <x v="6"/>
    <n v="101237"/>
    <n v="2291"/>
    <n v="2.3E-2"/>
    <n v="0.05"/>
    <s v="Within Limit"/>
    <s v="OK"/>
  </r>
  <r>
    <d v="2026-03-01T00:00:00"/>
    <s v="FY 2025-26"/>
    <x v="6"/>
    <n v="150263"/>
    <n v="3729"/>
    <n v="2.5000000000000001E-2"/>
    <n v="0.05"/>
    <s v="Within Limit"/>
    <s v="OK"/>
  </r>
  <r>
    <d v="2025-04-01T00:00:00"/>
    <s v="FY 2025-26"/>
    <x v="7"/>
    <n v="441827"/>
    <n v="27216"/>
    <n v="6.2E-2"/>
    <n v="0.05"/>
    <s v="Exceeded Limit"/>
    <s v="Review"/>
  </r>
  <r>
    <d v="2025-05-01T00:00:00"/>
    <s v="FY 2025-26"/>
    <x v="7"/>
    <n v="626816"/>
    <n v="59907"/>
    <n v="9.6000000000000002E-2"/>
    <n v="0.05"/>
    <s v="Exceeded Limit"/>
    <s v="Review"/>
  </r>
  <r>
    <d v="2025-06-01T00:00:00"/>
    <s v="FY 2025-26"/>
    <x v="7"/>
    <n v="1655025"/>
    <n v="285745"/>
    <n v="0.17299999999999999"/>
    <n v="0.05"/>
    <s v="Exceeded Limit"/>
    <s v="Review"/>
  </r>
  <r>
    <d v="2025-07-01T00:00:00"/>
    <s v="FY 2025-26"/>
    <x v="7"/>
    <n v="1651751"/>
    <n v="292428"/>
    <n v="0.17699999999999999"/>
    <n v="0.05"/>
    <s v="Exceeded Limit"/>
    <s v="Review"/>
  </r>
  <r>
    <d v="2025-08-01T00:00:00"/>
    <s v="FY 2025-26"/>
    <x v="7"/>
    <n v="993951"/>
    <n v="98211"/>
    <n v="9.9000000000000005E-2"/>
    <n v="0.05"/>
    <s v="Exceeded Limit"/>
    <s v="Review"/>
  </r>
  <r>
    <d v="2025-09-01T00:00:00"/>
    <s v="FY 2025-26"/>
    <x v="7"/>
    <n v="691147"/>
    <n v="47634"/>
    <n v="6.9000000000000006E-2"/>
    <n v="0.05"/>
    <s v="Exceeded Limit"/>
    <s v="Review"/>
  </r>
  <r>
    <d v="2025-10-01T00:00:00"/>
    <s v="FY 2025-26"/>
    <x v="7"/>
    <n v="380298"/>
    <n v="8646"/>
    <n v="2.3E-2"/>
    <n v="0.05"/>
    <s v="Within Limit"/>
    <s v="OK"/>
  </r>
  <r>
    <d v="2025-11-01T00:00:00"/>
    <s v="FY 2025-26"/>
    <x v="7"/>
    <n v="590454"/>
    <n v="29935"/>
    <n v="5.0999999999999997E-2"/>
    <n v="0.05"/>
    <s v="Exceeded Limit"/>
    <s v="Review"/>
  </r>
  <r>
    <d v="2025-12-01T00:00:00"/>
    <s v="FY 2025-26"/>
    <x v="7"/>
    <n v="753687"/>
    <n v="28840"/>
    <n v="3.7999999999999999E-2"/>
    <n v="0.05"/>
    <s v="Within Limit"/>
    <s v="OK"/>
  </r>
  <r>
    <d v="2026-01-01T00:00:00"/>
    <s v="FY 2025-26"/>
    <x v="7"/>
    <n v="282805"/>
    <n v="100791"/>
    <n v="0.35599999999999998"/>
    <n v="0.05"/>
    <s v="Exceeded Limit"/>
    <s v="Review"/>
  </r>
  <r>
    <d v="2026-02-01T00:00:00"/>
    <s v="FY 2025-26"/>
    <x v="7"/>
    <n v="232502"/>
    <n v="72775"/>
    <n v="0.313"/>
    <n v="0.05"/>
    <s v="Exceeded Limit"/>
    <s v="Review"/>
  </r>
  <r>
    <d v="2026-03-01T00:00:00"/>
    <s v="FY 2025-26"/>
    <x v="7"/>
    <n v="360310"/>
    <n v="41201"/>
    <n v="0.114"/>
    <n v="0.05"/>
    <s v="Exceeded Limit"/>
    <s v="Review"/>
  </r>
  <r>
    <d v="2025-04-01T00:00:00"/>
    <s v="FY 2025-26"/>
    <x v="8"/>
    <n v="137022"/>
    <n v="7500"/>
    <n v="5.5E-2"/>
    <n v="0.05"/>
    <s v="Exceeded Limit"/>
    <s v="Review"/>
  </r>
  <r>
    <d v="2025-05-01T00:00:00"/>
    <s v="FY 2025-26"/>
    <x v="8"/>
    <n v="264196"/>
    <n v="3300"/>
    <n v="1.2E-2"/>
    <n v="0.05"/>
    <s v="Within Limit"/>
    <s v="OK"/>
  </r>
  <r>
    <d v="2025-06-01T00:00:00"/>
    <s v="FY 2025-26"/>
    <x v="8"/>
    <n v="423789"/>
    <n v="300"/>
    <n v="1E-3"/>
    <n v="0.05"/>
    <s v="Within Limit"/>
    <s v="OK"/>
  </r>
  <r>
    <d v="2025-07-01T00:00:00"/>
    <s v="FY 2025-26"/>
    <x v="8"/>
    <n v="615882"/>
    <n v="0"/>
    <n v="0"/>
    <n v="0.05"/>
    <s v="Within Limit"/>
    <s v="OK"/>
  </r>
  <r>
    <d v="2025-08-01T00:00:00"/>
    <s v="FY 2025-26"/>
    <x v="8"/>
    <n v="508221"/>
    <n v="1500"/>
    <n v="3.0000000000000001E-3"/>
    <n v="0.05"/>
    <s v="Within Limit"/>
    <s v="OK"/>
  </r>
  <r>
    <d v="2025-09-01T00:00:00"/>
    <s v="FY 2025-26"/>
    <x v="8"/>
    <n v="315109"/>
    <n v="900"/>
    <n v="3.0000000000000001E-3"/>
    <n v="0.05"/>
    <s v="Within Limit"/>
    <s v="OK"/>
  </r>
  <r>
    <d v="2025-10-01T00:00:00"/>
    <s v="FY 2025-26"/>
    <x v="8"/>
    <n v="227708"/>
    <n v="3900"/>
    <n v="1.7000000000000001E-2"/>
    <n v="0.05"/>
    <s v="Within Limit"/>
    <s v="OK"/>
  </r>
  <r>
    <d v="2025-11-01T00:00:00"/>
    <s v="FY 2025-26"/>
    <x v="8"/>
    <n v="191891"/>
    <n v="2400"/>
    <n v="1.2999999999999999E-2"/>
    <n v="0.05"/>
    <s v="Within Limit"/>
    <s v="OK"/>
  </r>
  <r>
    <d v="2025-12-01T00:00:00"/>
    <s v="FY 2025-26"/>
    <x v="8"/>
    <n v="250326"/>
    <n v="2100"/>
    <n v="8.0000000000000002E-3"/>
    <n v="0.05"/>
    <s v="Within Limit"/>
    <s v="OK"/>
  </r>
  <r>
    <d v="2026-01-01T00:00:00"/>
    <s v="FY 2025-26"/>
    <x v="8"/>
    <n v="114966"/>
    <n v="4200"/>
    <n v="3.6999999999999998E-2"/>
    <n v="0.05"/>
    <s v="Within Limit"/>
    <s v="OK"/>
  </r>
  <r>
    <d v="2026-02-01T00:00:00"/>
    <s v="FY 2025-26"/>
    <x v="8"/>
    <n v="101644"/>
    <n v="5700"/>
    <n v="5.6000000000000001E-2"/>
    <n v="0.05"/>
    <s v="Exceeded Limit"/>
    <s v="Review"/>
  </r>
  <r>
    <d v="2026-03-01T00:00:00"/>
    <s v="FY 2025-26"/>
    <x v="8"/>
    <n v="94005"/>
    <n v="9300"/>
    <n v="9.9000000000000005E-2"/>
    <n v="0.05"/>
    <s v="Exceeded Limit"/>
    <s v="Review"/>
  </r>
  <r>
    <d v="2025-04-01T00:00:00"/>
    <s v="FY 2025-26"/>
    <x v="9"/>
    <n v="250800"/>
    <n v="195"/>
    <n v="1E-3"/>
    <n v="0.05"/>
    <s v="Within Limit"/>
    <s v="OK"/>
  </r>
  <r>
    <d v="2025-05-01T00:00:00"/>
    <s v="FY 2025-26"/>
    <x v="9"/>
    <n v="695400"/>
    <n v="297"/>
    <n v="0"/>
    <n v="0.05"/>
    <s v="Within Limit"/>
    <s v="OK"/>
  </r>
  <r>
    <d v="2025-06-01T00:00:00"/>
    <s v="FY 2025-26"/>
    <x v="9"/>
    <n v="1079100"/>
    <n v="126"/>
    <n v="0"/>
    <n v="0.05"/>
    <s v="Within Limit"/>
    <s v="OK"/>
  </r>
  <r>
    <d v="2025-07-01T00:00:00"/>
    <s v="FY 2025-26"/>
    <x v="9"/>
    <n v="1250700"/>
    <n v="8"/>
    <n v="0"/>
    <n v="0.05"/>
    <s v="Within Limit"/>
    <s v="OK"/>
  </r>
  <r>
    <d v="2025-08-01T00:00:00"/>
    <s v="FY 2025-26"/>
    <x v="9"/>
    <n v="775500"/>
    <n v="6"/>
    <n v="0"/>
    <n v="0.05"/>
    <s v="Within Limit"/>
    <s v="OK"/>
  </r>
  <r>
    <d v="2025-09-01T00:00:00"/>
    <s v="FY 2025-26"/>
    <x v="9"/>
    <n v="572100"/>
    <n v="2"/>
    <n v="0"/>
    <n v="0.05"/>
    <s v="Within Limit"/>
    <s v="OK"/>
  </r>
  <r>
    <d v="2025-10-01T00:00:00"/>
    <s v="FY 2025-26"/>
    <x v="9"/>
    <n v="354900"/>
    <n v="2"/>
    <n v="0"/>
    <n v="0.05"/>
    <s v="Within Limit"/>
    <s v="OK"/>
  </r>
  <r>
    <d v="2025-11-01T00:00:00"/>
    <s v="FY 2025-26"/>
    <x v="9"/>
    <n v="326700"/>
    <n v="0"/>
    <n v="0"/>
    <n v="0.05"/>
    <s v="Within Limit"/>
    <s v="OK"/>
  </r>
  <r>
    <d v="2025-12-01T00:00:00"/>
    <s v="FY 2025-26"/>
    <x v="9"/>
    <n v="462000"/>
    <n v="0"/>
    <n v="0"/>
    <n v="0.05"/>
    <s v="Within Limit"/>
    <s v="OK"/>
  </r>
  <r>
    <d v="2026-01-01T00:00:00"/>
    <s v="FY 2025-26"/>
    <x v="9"/>
    <n v="431700"/>
    <n v="199"/>
    <n v="0"/>
    <n v="0.05"/>
    <s v="Within Limit"/>
    <s v="OK"/>
  </r>
  <r>
    <d v="2026-02-01T00:00:00"/>
    <s v="FY 2025-26"/>
    <x v="9"/>
    <n v="323100"/>
    <n v="0"/>
    <n v="0"/>
    <n v="0.05"/>
    <s v="Within Limit"/>
    <s v="OK"/>
  </r>
  <r>
    <d v="2026-03-01T00:00:00"/>
    <s v="FY 2025-26"/>
    <x v="9"/>
    <n v="249900"/>
    <n v="0"/>
    <n v="0"/>
    <n v="0.05"/>
    <s v="Within Limit"/>
    <s v="OK"/>
  </r>
  <r>
    <d v="2025-04-01T00:00:00"/>
    <s v="FY 2025-26"/>
    <x v="10"/>
    <n v="168457"/>
    <n v="27"/>
    <n v="0"/>
    <n v="0.05"/>
    <s v="Within Limit"/>
    <s v="OK"/>
  </r>
  <r>
    <d v="2025-05-01T00:00:00"/>
    <s v="FY 2025-26"/>
    <x v="10"/>
    <n v="191144"/>
    <n v="8"/>
    <n v="0"/>
    <n v="0.05"/>
    <s v="Within Limit"/>
    <s v="OK"/>
  </r>
  <r>
    <d v="2025-06-01T00:00:00"/>
    <s v="FY 2025-26"/>
    <x v="10"/>
    <n v="370909"/>
    <n v="60"/>
    <n v="0"/>
    <n v="0.05"/>
    <s v="Within Limit"/>
    <s v="OK"/>
  </r>
  <r>
    <d v="2025-07-01T00:00:00"/>
    <s v="FY 2025-26"/>
    <x v="10"/>
    <n v="406505"/>
    <n v="17"/>
    <n v="0"/>
    <n v="0.05"/>
    <s v="Within Limit"/>
    <s v="OK"/>
  </r>
  <r>
    <d v="2025-08-01T00:00:00"/>
    <s v="FY 2025-26"/>
    <x v="10"/>
    <n v="239028"/>
    <n v="60"/>
    <n v="0"/>
    <n v="0.05"/>
    <s v="Within Limit"/>
    <s v="OK"/>
  </r>
  <r>
    <d v="2025-09-01T00:00:00"/>
    <s v="FY 2025-26"/>
    <x v="10"/>
    <n v="203462"/>
    <n v="1178"/>
    <n v="6.0000000000000001E-3"/>
    <n v="0.05"/>
    <s v="Within Limit"/>
    <s v="OK"/>
  </r>
  <r>
    <d v="2025-10-01T00:00:00"/>
    <s v="FY 2025-26"/>
    <x v="10"/>
    <n v="152718"/>
    <n v="0"/>
    <n v="0"/>
    <n v="0.05"/>
    <s v="Within Limit"/>
    <s v="OK"/>
  </r>
  <r>
    <d v="2025-11-01T00:00:00"/>
    <s v="FY 2025-26"/>
    <x v="10"/>
    <n v="144096"/>
    <n v="0"/>
    <n v="0"/>
    <n v="0.05"/>
    <s v="Within Limit"/>
    <s v="OK"/>
  </r>
  <r>
    <d v="2025-12-01T00:00:00"/>
    <s v="FY 2025-26"/>
    <x v="10"/>
    <n v="197919"/>
    <n v="0"/>
    <n v="0"/>
    <n v="0.05"/>
    <s v="Within Limit"/>
    <s v="OK"/>
  </r>
  <r>
    <d v="2026-01-01T00:00:00"/>
    <s v="FY 2025-26"/>
    <x v="10"/>
    <n v="87138"/>
    <n v="2"/>
    <n v="0"/>
    <n v="0.05"/>
    <s v="Within Limit"/>
    <s v="OK"/>
  </r>
  <r>
    <d v="2026-02-01T00:00:00"/>
    <s v="FY 2025-26"/>
    <x v="10"/>
    <n v="62945"/>
    <n v="115"/>
    <n v="2E-3"/>
    <n v="0.05"/>
    <s v="Within Limit"/>
    <s v="OK"/>
  </r>
  <r>
    <d v="2026-03-01T00:00:00"/>
    <s v="FY 2025-26"/>
    <x v="10"/>
    <n v="76165"/>
    <n v="1"/>
    <n v="0"/>
    <n v="0.05"/>
    <s v="Within Limit"/>
    <s v="OK"/>
  </r>
  <r>
    <d v="2025-04-01T00:00:00"/>
    <s v="FY 2025-26"/>
    <x v="11"/>
    <n v="95760"/>
    <n v="5040"/>
    <n v="5.2999999999999999E-2"/>
    <n v="0.05"/>
    <s v="Exceeded Limit"/>
    <s v="Review"/>
  </r>
  <r>
    <d v="2025-05-01T00:00:00"/>
    <s v="FY 2025-26"/>
    <x v="11"/>
    <n v="329640"/>
    <n v="2880"/>
    <n v="8.9999999999999993E-3"/>
    <n v="0.05"/>
    <s v="Within Limit"/>
    <s v="OK"/>
  </r>
  <r>
    <d v="2025-06-01T00:00:00"/>
    <s v="FY 2025-26"/>
    <x v="11"/>
    <n v="507120"/>
    <n v="840"/>
    <n v="2E-3"/>
    <n v="0.05"/>
    <s v="Within Limit"/>
    <s v="OK"/>
  </r>
  <r>
    <d v="2025-07-01T00:00:00"/>
    <s v="FY 2025-26"/>
    <x v="11"/>
    <n v="557640"/>
    <n v="720"/>
    <n v="1E-3"/>
    <n v="0.05"/>
    <s v="Within Limit"/>
    <s v="OK"/>
  </r>
  <r>
    <d v="2025-08-01T00:00:00"/>
    <s v="FY 2025-26"/>
    <x v="11"/>
    <n v="366120"/>
    <n v="1440"/>
    <n v="4.0000000000000001E-3"/>
    <n v="0.05"/>
    <s v="Within Limit"/>
    <s v="OK"/>
  </r>
  <r>
    <d v="2025-09-01T00:00:00"/>
    <s v="FY 2025-26"/>
    <x v="11"/>
    <n v="324480"/>
    <n v="1200"/>
    <n v="4.0000000000000001E-3"/>
    <n v="0.05"/>
    <s v="Within Limit"/>
    <s v="OK"/>
  </r>
  <r>
    <d v="2025-10-01T00:00:00"/>
    <s v="FY 2025-26"/>
    <x v="11"/>
    <n v="211560"/>
    <n v="2880"/>
    <n v="1.4E-2"/>
    <n v="0.05"/>
    <s v="Within Limit"/>
    <s v="OK"/>
  </r>
  <r>
    <d v="2025-11-01T00:00:00"/>
    <s v="FY 2025-26"/>
    <x v="11"/>
    <n v="112920"/>
    <n v="3360"/>
    <n v="0.03"/>
    <n v="0.05"/>
    <s v="Within Limit"/>
    <s v="OK"/>
  </r>
  <r>
    <d v="2025-12-01T00:00:00"/>
    <s v="FY 2025-26"/>
    <x v="11"/>
    <n v="148800"/>
    <n v="2880"/>
    <n v="1.9E-2"/>
    <n v="0.05"/>
    <s v="Within Limit"/>
    <s v="OK"/>
  </r>
  <r>
    <d v="2026-01-01T00:00:00"/>
    <s v="FY 2025-26"/>
    <x v="11"/>
    <n v="164880"/>
    <n v="2040"/>
    <n v="1.2E-2"/>
    <n v="0.05"/>
    <s v="Within Limit"/>
    <s v="OK"/>
  </r>
  <r>
    <d v="2026-02-01T00:00:00"/>
    <s v="FY 2025-26"/>
    <x v="11"/>
    <n v="120840"/>
    <n v="3699"/>
    <n v="3.1E-2"/>
    <n v="0.05"/>
    <s v="Within Limit"/>
    <s v="OK"/>
  </r>
  <r>
    <d v="2026-03-01T00:00:00"/>
    <s v="FY 2025-26"/>
    <x v="11"/>
    <n v="105720"/>
    <n v="4800"/>
    <n v="4.4999999999999998E-2"/>
    <n v="0.05"/>
    <s v="Within Limit"/>
    <s v="OK"/>
  </r>
  <r>
    <d v="2025-04-01T00:00:00"/>
    <s v="FY 2025-26"/>
    <x v="12"/>
    <n v="78720"/>
    <n v="120"/>
    <n v="2E-3"/>
    <n v="0.05"/>
    <s v="Within Limit"/>
    <s v="OK"/>
  </r>
  <r>
    <d v="2025-05-01T00:00:00"/>
    <s v="FY 2025-26"/>
    <x v="12"/>
    <n v="300480"/>
    <n v="0"/>
    <n v="0"/>
    <n v="0.05"/>
    <s v="Within Limit"/>
    <s v="OK"/>
  </r>
  <r>
    <d v="2025-06-01T00:00:00"/>
    <s v="FY 2025-26"/>
    <x v="12"/>
    <n v="447600"/>
    <n v="0"/>
    <n v="0"/>
    <n v="0.05"/>
    <s v="Within Limit"/>
    <s v="OK"/>
  </r>
  <r>
    <d v="2025-07-01T00:00:00"/>
    <s v="FY 2025-26"/>
    <x v="12"/>
    <n v="570960"/>
    <n v="0"/>
    <n v="0"/>
    <n v="0.05"/>
    <s v="Within Limit"/>
    <s v="OK"/>
  </r>
  <r>
    <d v="2025-08-01T00:00:00"/>
    <s v="FY 2025-26"/>
    <x v="12"/>
    <n v="331320"/>
    <n v="0"/>
    <n v="0"/>
    <n v="0.05"/>
    <s v="Within Limit"/>
    <s v="OK"/>
  </r>
  <r>
    <d v="2025-09-01T00:00:00"/>
    <s v="FY 2025-26"/>
    <x v="12"/>
    <n v="282960"/>
    <n v="0"/>
    <n v="0"/>
    <n v="0.05"/>
    <s v="Within Limit"/>
    <s v="OK"/>
  </r>
  <r>
    <d v="2025-10-01T00:00:00"/>
    <s v="FY 2025-26"/>
    <x v="12"/>
    <n v="190920"/>
    <n v="120"/>
    <n v="1E-3"/>
    <n v="0.05"/>
    <s v="Within Limit"/>
    <s v="OK"/>
  </r>
  <r>
    <d v="2025-11-01T00:00:00"/>
    <s v="FY 2025-26"/>
    <x v="12"/>
    <n v="121920"/>
    <n v="120"/>
    <n v="1E-3"/>
    <n v="0.05"/>
    <s v="Within Limit"/>
    <s v="OK"/>
  </r>
  <r>
    <d v="2025-12-01T00:00:00"/>
    <s v="FY 2025-26"/>
    <x v="12"/>
    <n v="188520"/>
    <n v="0"/>
    <n v="0"/>
    <n v="0.05"/>
    <s v="Within Limit"/>
    <s v="OK"/>
  </r>
  <r>
    <d v="2026-01-01T00:00:00"/>
    <s v="FY 2025-26"/>
    <x v="12"/>
    <n v="174000"/>
    <n v="0"/>
    <n v="0"/>
    <n v="0.05"/>
    <s v="Within Limit"/>
    <s v="OK"/>
  </r>
  <r>
    <d v="2026-02-01T00:00:00"/>
    <s v="FY 2025-26"/>
    <x v="12"/>
    <n v="132240"/>
    <n v="0"/>
    <n v="0"/>
    <n v="0.05"/>
    <s v="Within Limit"/>
    <s v="OK"/>
  </r>
  <r>
    <d v="2026-03-01T00:00:00"/>
    <s v="FY 2025-26"/>
    <x v="12"/>
    <n v="92880"/>
    <n v="0"/>
    <n v="0"/>
    <n v="0.05"/>
    <s v="Within Limit"/>
    <s v="OK"/>
  </r>
  <r>
    <d v="2025-04-01T00:00:00"/>
    <s v="FY 2025-26"/>
    <x v="13"/>
    <n v="72960"/>
    <n v="120"/>
    <n v="2E-3"/>
    <n v="0.05"/>
    <s v="Within Limit"/>
    <s v="OK"/>
  </r>
  <r>
    <d v="2025-05-01T00:00:00"/>
    <s v="FY 2025-26"/>
    <x v="13"/>
    <n v="265800"/>
    <n v="0"/>
    <n v="0"/>
    <n v="0.05"/>
    <s v="Within Limit"/>
    <s v="OK"/>
  </r>
  <r>
    <d v="2025-06-01T00:00:00"/>
    <s v="FY 2025-26"/>
    <x v="13"/>
    <n v="436680"/>
    <n v="0"/>
    <n v="0"/>
    <n v="0.05"/>
    <s v="Within Limit"/>
    <s v="OK"/>
  </r>
  <r>
    <d v="2025-07-01T00:00:00"/>
    <s v="FY 2025-26"/>
    <x v="13"/>
    <n v="543960"/>
    <n v="0"/>
    <n v="0"/>
    <n v="0.05"/>
    <s v="Within Limit"/>
    <s v="OK"/>
  </r>
  <r>
    <d v="2025-08-01T00:00:00"/>
    <s v="FY 2025-26"/>
    <x v="13"/>
    <n v="314760"/>
    <n v="0"/>
    <n v="0"/>
    <n v="0.05"/>
    <s v="Within Limit"/>
    <s v="OK"/>
  </r>
  <r>
    <d v="2025-09-01T00:00:00"/>
    <s v="FY 2025-26"/>
    <x v="13"/>
    <n v="293880"/>
    <n v="0"/>
    <n v="0"/>
    <n v="0.05"/>
    <s v="Within Limit"/>
    <s v="OK"/>
  </r>
  <r>
    <d v="2025-10-01T00:00:00"/>
    <s v="FY 2025-26"/>
    <x v="13"/>
    <n v="160320"/>
    <n v="120"/>
    <n v="1E-3"/>
    <n v="0.05"/>
    <s v="Within Limit"/>
    <s v="OK"/>
  </r>
  <r>
    <d v="2025-11-01T00:00:00"/>
    <s v="FY 2025-26"/>
    <x v="13"/>
    <n v="81600"/>
    <n v="0"/>
    <n v="0"/>
    <n v="0.05"/>
    <s v="Within Limit"/>
    <s v="OK"/>
  </r>
  <r>
    <d v="2025-12-01T00:00:00"/>
    <s v="FY 2025-26"/>
    <x v="13"/>
    <n v="120960"/>
    <n v="120"/>
    <n v="1E-3"/>
    <n v="0.05"/>
    <s v="Within Limit"/>
    <s v="OK"/>
  </r>
  <r>
    <d v="2026-01-01T00:00:00"/>
    <s v="FY 2025-26"/>
    <x v="13"/>
    <n v="130320"/>
    <n v="0"/>
    <n v="0"/>
    <n v="0.05"/>
    <s v="Within Limit"/>
    <s v="OK"/>
  </r>
  <r>
    <d v="2026-02-01T00:00:00"/>
    <s v="FY 2025-26"/>
    <x v="13"/>
    <n v="93240"/>
    <n v="120"/>
    <n v="1E-3"/>
    <n v="0.05"/>
    <s v="Within Limit"/>
    <s v="OK"/>
  </r>
  <r>
    <d v="2026-03-01T00:00:00"/>
    <s v="FY 2025-26"/>
    <x v="13"/>
    <n v="78120"/>
    <n v="0"/>
    <n v="0"/>
    <n v="0.05"/>
    <s v="Within Limit"/>
    <s v="OK"/>
  </r>
  <r>
    <d v="2025-04-01T00:00:00"/>
    <s v="FY 2025-26"/>
    <x v="14"/>
    <n v="65022"/>
    <n v="27"/>
    <n v="0"/>
    <n v="0.05"/>
    <s v="Within Limit"/>
    <s v="OK"/>
  </r>
  <r>
    <d v="2025-05-01T00:00:00"/>
    <s v="FY 2025-26"/>
    <x v="14"/>
    <n v="413562"/>
    <n v="8"/>
    <n v="0"/>
    <n v="0.05"/>
    <s v="Within Limit"/>
    <s v="OK"/>
  </r>
  <r>
    <d v="2025-06-01T00:00:00"/>
    <s v="FY 2025-26"/>
    <x v="14"/>
    <n v="698968"/>
    <n v="60"/>
    <n v="0"/>
    <n v="0.05"/>
    <s v="Within Limit"/>
    <s v="OK"/>
  </r>
  <r>
    <d v="2025-07-01T00:00:00"/>
    <s v="FY 2025-26"/>
    <x v="14"/>
    <n v="774886"/>
    <n v="17"/>
    <n v="0"/>
    <n v="0.05"/>
    <s v="Within Limit"/>
    <s v="OK"/>
  </r>
  <r>
    <d v="2025-08-01T00:00:00"/>
    <s v="FY 2025-26"/>
    <x v="14"/>
    <n v="553290"/>
    <n v="60"/>
    <n v="0"/>
    <n v="0.05"/>
    <s v="Within Limit"/>
    <s v="OK"/>
  </r>
  <r>
    <d v="2025-09-01T00:00:00"/>
    <s v="FY 2025-26"/>
    <x v="14"/>
    <n v="535034"/>
    <n v="1178"/>
    <n v="2E-3"/>
    <n v="0.05"/>
    <s v="Within Limit"/>
    <s v="OK"/>
  </r>
  <r>
    <d v="2025-10-01T00:00:00"/>
    <s v="FY 2025-26"/>
    <x v="14"/>
    <n v="180214"/>
    <n v="0"/>
    <n v="0"/>
    <n v="0.05"/>
    <s v="Within Limit"/>
    <s v="OK"/>
  </r>
  <r>
    <d v="2025-11-01T00:00:00"/>
    <s v="FY 2025-26"/>
    <x v="14"/>
    <n v="62608"/>
    <n v="0"/>
    <n v="0"/>
    <n v="0.05"/>
    <s v="Within Limit"/>
    <s v="OK"/>
  </r>
  <r>
    <d v="2025-12-01T00:00:00"/>
    <s v="FY 2025-26"/>
    <x v="14"/>
    <n v="44072"/>
    <n v="0"/>
    <n v="0"/>
    <n v="0.05"/>
    <s v="Within Limit"/>
    <s v="OK"/>
  </r>
  <r>
    <d v="2026-01-01T00:00:00"/>
    <s v="FY 2025-26"/>
    <x v="14"/>
    <n v="51382"/>
    <n v="2"/>
    <n v="0"/>
    <n v="0.05"/>
    <s v="Within Limit"/>
    <s v="OK"/>
  </r>
  <r>
    <d v="2026-02-01T00:00:00"/>
    <s v="FY 2025-26"/>
    <x v="14"/>
    <n v="44156"/>
    <n v="115"/>
    <n v="3.0000000000000001E-3"/>
    <n v="0.05"/>
    <s v="Within Limit"/>
    <s v="OK"/>
  </r>
  <r>
    <d v="2026-03-01T00:00:00"/>
    <s v="FY 2025-26"/>
    <x v="14"/>
    <n v="35926"/>
    <n v="1"/>
    <n v="0"/>
    <n v="0.05"/>
    <s v="Within Limit"/>
    <s v="OK"/>
  </r>
  <r>
    <d v="2025-04-01T00:00:00"/>
    <s v="FY 2025-26"/>
    <x v="15"/>
    <n v="71310"/>
    <n v="7128"/>
    <n v="0.1"/>
    <n v="0.05"/>
    <s v="Exceeded Limit"/>
    <s v="Review"/>
  </r>
  <r>
    <d v="2025-05-01T00:00:00"/>
    <s v="FY 2025-26"/>
    <x v="15"/>
    <n v="426274"/>
    <n v="5595"/>
    <n v="1.2999999999999999E-2"/>
    <n v="0.05"/>
    <s v="Within Limit"/>
    <s v="OK"/>
  </r>
  <r>
    <d v="2025-06-01T00:00:00"/>
    <s v="FY 2025-26"/>
    <x v="15"/>
    <n v="725368"/>
    <n v="1145"/>
    <n v="2E-3"/>
    <n v="0.05"/>
    <s v="Within Limit"/>
    <s v="OK"/>
  </r>
  <r>
    <d v="2025-07-01T00:00:00"/>
    <s v="FY 2025-26"/>
    <x v="15"/>
    <n v="806478"/>
    <n v="22"/>
    <n v="0"/>
    <n v="0.05"/>
    <s v="Within Limit"/>
    <s v="OK"/>
  </r>
  <r>
    <d v="2025-08-01T00:00:00"/>
    <s v="FY 2025-26"/>
    <x v="15"/>
    <n v="581134"/>
    <n v="1202"/>
    <n v="2E-3"/>
    <n v="0.05"/>
    <s v="Within Limit"/>
    <s v="OK"/>
  </r>
  <r>
    <d v="2025-09-01T00:00:00"/>
    <s v="FY 2025-26"/>
    <x v="15"/>
    <n v="567424"/>
    <n v="3815"/>
    <n v="7.0000000000000001E-3"/>
    <n v="0.05"/>
    <s v="Within Limit"/>
    <s v="OK"/>
  </r>
  <r>
    <d v="2025-10-01T00:00:00"/>
    <s v="FY 2025-26"/>
    <x v="15"/>
    <n v="190720"/>
    <n v="2541"/>
    <n v="1.2999999999999999E-2"/>
    <n v="0.05"/>
    <s v="Within Limit"/>
    <s v="OK"/>
  </r>
  <r>
    <d v="2025-11-01T00:00:00"/>
    <s v="FY 2025-26"/>
    <x v="15"/>
    <n v="65346"/>
    <n v="4688"/>
    <n v="7.1999999999999995E-2"/>
    <n v="0.05"/>
    <s v="Exceeded Limit"/>
    <s v="Review"/>
  </r>
  <r>
    <d v="2025-12-01T00:00:00"/>
    <s v="FY 2025-26"/>
    <x v="15"/>
    <n v="51492"/>
    <n v="2076"/>
    <n v="0.04"/>
    <n v="0.05"/>
    <s v="Within Limit"/>
    <s v="OK"/>
  </r>
  <r>
    <d v="2026-01-01T00:00:00"/>
    <s v="FY 2025-26"/>
    <x v="15"/>
    <n v="52996"/>
    <n v="8888"/>
    <n v="0.16800000000000001"/>
    <n v="0.05"/>
    <s v="Exceeded Limit"/>
    <s v="Review"/>
  </r>
  <r>
    <d v="2026-02-01T00:00:00"/>
    <s v="FY 2025-26"/>
    <x v="15"/>
    <n v="46190"/>
    <n v="8345"/>
    <n v="0.18099999999999999"/>
    <n v="0.05"/>
    <s v="Exceeded Limit"/>
    <s v="Review"/>
  </r>
  <r>
    <d v="2026-03-01T00:00:00"/>
    <s v="FY 2025-26"/>
    <x v="15"/>
    <n v="34570"/>
    <n v="6189"/>
    <n v="0.17899999999999999"/>
    <n v="0.05"/>
    <s v="Exceeded Limit"/>
    <s v="Review"/>
  </r>
  <r>
    <d v="2025-04-01T00:00:00"/>
    <s v="FY 2025-26"/>
    <x v="16"/>
    <n v="64986"/>
    <n v="1920"/>
    <n v="0.03"/>
    <n v="0.05"/>
    <s v="Within Limit"/>
    <s v="OK"/>
  </r>
  <r>
    <d v="2025-05-01T00:00:00"/>
    <s v="FY 2025-26"/>
    <x v="16"/>
    <n v="420252"/>
    <n v="834"/>
    <n v="2E-3"/>
    <n v="0.05"/>
    <s v="Within Limit"/>
    <s v="OK"/>
  </r>
  <r>
    <d v="2025-06-01T00:00:00"/>
    <s v="FY 2025-26"/>
    <x v="16"/>
    <n v="711634"/>
    <n v="58"/>
    <n v="0"/>
    <n v="0.05"/>
    <s v="Within Limit"/>
    <s v="OK"/>
  </r>
  <r>
    <d v="2025-07-01T00:00:00"/>
    <s v="FY 2025-26"/>
    <x v="16"/>
    <n v="815826"/>
    <n v="48"/>
    <n v="0"/>
    <n v="0.05"/>
    <s v="Within Limit"/>
    <s v="OK"/>
  </r>
  <r>
    <d v="2025-08-01T00:00:00"/>
    <s v="FY 2025-26"/>
    <x v="16"/>
    <n v="568096"/>
    <n v="230"/>
    <n v="0"/>
    <n v="0.05"/>
    <s v="Within Limit"/>
    <s v="OK"/>
  </r>
  <r>
    <d v="2025-09-01T00:00:00"/>
    <s v="FY 2025-26"/>
    <x v="16"/>
    <n v="517522"/>
    <n v="242"/>
    <n v="0"/>
    <n v="0.05"/>
    <s v="Within Limit"/>
    <s v="OK"/>
  </r>
  <r>
    <d v="2025-10-01T00:00:00"/>
    <s v="FY 2025-26"/>
    <x v="16"/>
    <n v="182192"/>
    <n v="1526"/>
    <n v="8.0000000000000002E-3"/>
    <n v="0.05"/>
    <s v="Within Limit"/>
    <s v="OK"/>
  </r>
  <r>
    <d v="2025-11-01T00:00:00"/>
    <s v="FY 2025-26"/>
    <x v="16"/>
    <n v="70412"/>
    <n v="2158"/>
    <n v="3.1E-2"/>
    <n v="0.05"/>
    <s v="Within Limit"/>
    <s v="OK"/>
  </r>
  <r>
    <d v="2025-12-01T00:00:00"/>
    <s v="FY 2025-26"/>
    <x v="16"/>
    <n v="51260"/>
    <n v="2064"/>
    <n v="0.04"/>
    <n v="0.05"/>
    <s v="Within Limit"/>
    <s v="OK"/>
  </r>
  <r>
    <d v="2026-01-01T00:00:00"/>
    <s v="FY 2025-26"/>
    <x v="16"/>
    <n v="66704"/>
    <n v="1524"/>
    <n v="2.3E-2"/>
    <n v="0.05"/>
    <s v="Within Limit"/>
    <s v="OK"/>
  </r>
  <r>
    <d v="2026-02-01T00:00:00"/>
    <s v="FY 2025-26"/>
    <x v="16"/>
    <n v="49396"/>
    <n v="1400"/>
    <n v="2.8000000000000001E-2"/>
    <n v="0.05"/>
    <s v="Within Limit"/>
    <s v="OK"/>
  </r>
  <r>
    <d v="2026-03-01T00:00:00"/>
    <s v="FY 2025-26"/>
    <x v="16"/>
    <n v="38300"/>
    <n v="1952"/>
    <n v="5.0999999999999997E-2"/>
    <n v="0.05"/>
    <s v="Exceeded Limit"/>
    <s v="Review"/>
  </r>
  <r>
    <d v="2025-04-01T00:00:00"/>
    <s v="FY 2025-26"/>
    <x v="17"/>
    <n v="70940"/>
    <n v="623"/>
    <n v="8.9999999999999993E-3"/>
    <n v="0.05"/>
    <s v="Within Limit"/>
    <s v="OK"/>
  </r>
  <r>
    <d v="2025-05-01T00:00:00"/>
    <s v="FY 2025-26"/>
    <x v="17"/>
    <n v="150951"/>
    <n v="1265"/>
    <n v="8.0000000000000002E-3"/>
    <n v="0.05"/>
    <s v="Within Limit"/>
    <s v="OK"/>
  </r>
  <r>
    <d v="2025-06-01T00:00:00"/>
    <s v="FY 2025-26"/>
    <x v="17"/>
    <n v="300171"/>
    <n v="851"/>
    <n v="3.0000000000000001E-3"/>
    <n v="0.05"/>
    <s v="Within Limit"/>
    <s v="OK"/>
  </r>
  <r>
    <d v="2025-07-01T00:00:00"/>
    <s v="FY 2025-26"/>
    <x v="17"/>
    <n v="430253"/>
    <n v="1720"/>
    <n v="4.0000000000000001E-3"/>
    <n v="0.05"/>
    <s v="Within Limit"/>
    <s v="OK"/>
  </r>
  <r>
    <d v="2025-08-01T00:00:00"/>
    <s v="FY 2025-26"/>
    <x v="17"/>
    <n v="398629"/>
    <n v="1506"/>
    <n v="4.0000000000000001E-3"/>
    <n v="0.05"/>
    <s v="Within Limit"/>
    <s v="OK"/>
  </r>
  <r>
    <d v="2025-09-01T00:00:00"/>
    <s v="FY 2025-26"/>
    <x v="17"/>
    <n v="243049"/>
    <n v="1482"/>
    <n v="6.0000000000000001E-3"/>
    <n v="0.05"/>
    <s v="Within Limit"/>
    <s v="OK"/>
  </r>
  <r>
    <d v="2025-10-01T00:00:00"/>
    <s v="FY 2025-26"/>
    <x v="17"/>
    <n v="131227"/>
    <n v="626"/>
    <n v="5.0000000000000001E-3"/>
    <n v="0.05"/>
    <s v="Within Limit"/>
    <s v="OK"/>
  </r>
  <r>
    <d v="2025-11-01T00:00:00"/>
    <s v="FY 2025-26"/>
    <x v="17"/>
    <n v="115746"/>
    <n v="401"/>
    <n v="3.0000000000000001E-3"/>
    <n v="0.05"/>
    <s v="Within Limit"/>
    <s v="OK"/>
  </r>
  <r>
    <d v="2025-12-01T00:00:00"/>
    <s v="FY 2025-26"/>
    <x v="17"/>
    <n v="191232"/>
    <n v="365"/>
    <n v="2E-3"/>
    <n v="0.05"/>
    <s v="Within Limit"/>
    <s v="OK"/>
  </r>
  <r>
    <d v="2026-01-01T00:00:00"/>
    <s v="FY 2025-26"/>
    <x v="17"/>
    <n v="61840"/>
    <n v="517"/>
    <n v="8.0000000000000002E-3"/>
    <n v="0.05"/>
    <s v="Within Limit"/>
    <s v="OK"/>
  </r>
  <r>
    <d v="2026-02-01T00:00:00"/>
    <s v="FY 2025-26"/>
    <x v="17"/>
    <n v="42031"/>
    <n v="616"/>
    <n v="1.4999999999999999E-2"/>
    <n v="0.05"/>
    <s v="Within Limit"/>
    <s v="OK"/>
  </r>
  <r>
    <d v="2026-03-01T00:00:00"/>
    <s v="FY 2025-26"/>
    <x v="17"/>
    <n v="58870"/>
    <n v="540"/>
    <n v="8.9999999999999993E-3"/>
    <n v="0.05"/>
    <s v="Within Limit"/>
    <s v="OK"/>
  </r>
  <r>
    <d v="2025-04-01T00:00:00"/>
    <s v="FY 2025-26"/>
    <x v="18"/>
    <n v="150910"/>
    <n v="315"/>
    <n v="2E-3"/>
    <n v="0.05"/>
    <s v="Within Limit"/>
    <s v="OK"/>
  </r>
  <r>
    <d v="2025-05-01T00:00:00"/>
    <s v="FY 2025-26"/>
    <x v="18"/>
    <n v="297003"/>
    <n v="1517"/>
    <n v="5.0000000000000001E-3"/>
    <n v="0.05"/>
    <s v="Within Limit"/>
    <s v="OK"/>
  </r>
  <r>
    <d v="2025-06-01T00:00:00"/>
    <s v="FY 2025-26"/>
    <x v="18"/>
    <n v="912130"/>
    <n v="2315"/>
    <n v="3.0000000000000001E-3"/>
    <n v="0.05"/>
    <s v="Within Limit"/>
    <s v="OK"/>
  </r>
  <r>
    <d v="2025-07-01T00:00:00"/>
    <s v="FY 2025-26"/>
    <x v="18"/>
    <n v="1162156"/>
    <n v="4098"/>
    <n v="4.0000000000000001E-3"/>
    <n v="0.05"/>
    <s v="Within Limit"/>
    <s v="OK"/>
  </r>
  <r>
    <d v="2025-08-01T00:00:00"/>
    <s v="FY 2025-26"/>
    <x v="18"/>
    <n v="725434"/>
    <n v="2280"/>
    <n v="3.0000000000000001E-3"/>
    <n v="0.05"/>
    <s v="Within Limit"/>
    <s v="OK"/>
  </r>
  <r>
    <d v="2025-09-01T00:00:00"/>
    <s v="FY 2025-26"/>
    <x v="18"/>
    <n v="422571"/>
    <n v="1937"/>
    <n v="5.0000000000000001E-3"/>
    <n v="0.05"/>
    <s v="Within Limit"/>
    <s v="OK"/>
  </r>
  <r>
    <d v="2025-10-01T00:00:00"/>
    <s v="FY 2025-26"/>
    <x v="18"/>
    <n v="241172"/>
    <n v="412"/>
    <n v="2E-3"/>
    <n v="0.05"/>
    <s v="Within Limit"/>
    <s v="OK"/>
  </r>
  <r>
    <d v="2025-11-01T00:00:00"/>
    <s v="FY 2025-26"/>
    <x v="18"/>
    <n v="236136"/>
    <n v="151"/>
    <n v="1E-3"/>
    <n v="0.05"/>
    <s v="Within Limit"/>
    <s v="OK"/>
  </r>
  <r>
    <d v="2025-12-01T00:00:00"/>
    <s v="FY 2025-26"/>
    <x v="18"/>
    <n v="370684"/>
    <n v="36"/>
    <n v="0"/>
    <n v="0.05"/>
    <s v="Within Limit"/>
    <s v="OK"/>
  </r>
  <r>
    <d v="2026-01-01T00:00:00"/>
    <s v="FY 2025-26"/>
    <x v="18"/>
    <n v="144683"/>
    <n v="70"/>
    <n v="0"/>
    <n v="0.05"/>
    <s v="Within Limit"/>
    <s v="OK"/>
  </r>
  <r>
    <d v="2026-02-01T00:00:00"/>
    <s v="FY 2025-26"/>
    <x v="18"/>
    <n v="100234"/>
    <n v="149"/>
    <n v="1E-3"/>
    <n v="0.05"/>
    <s v="Within Limit"/>
    <s v="OK"/>
  </r>
  <r>
    <d v="2026-03-01T00:00:00"/>
    <s v="FY 2025-26"/>
    <x v="18"/>
    <n v="126585"/>
    <n v="146"/>
    <n v="1E-3"/>
    <n v="0.05"/>
    <s v="Within Limit"/>
    <s v="OK"/>
  </r>
  <r>
    <d v="2025-04-01T00:00:00"/>
    <s v="FY 2025-26"/>
    <x v="19"/>
    <n v="55212"/>
    <n v="623"/>
    <n v="1.0999999999999999E-2"/>
    <n v="0.05"/>
    <s v="Within Limit"/>
    <s v="OK"/>
  </r>
  <r>
    <d v="2025-05-01T00:00:00"/>
    <s v="FY 2025-26"/>
    <x v="19"/>
    <n v="246334"/>
    <n v="2131"/>
    <n v="8.9999999999999993E-3"/>
    <n v="0.05"/>
    <s v="Within Limit"/>
    <s v="OK"/>
  </r>
  <r>
    <d v="2025-06-01T00:00:00"/>
    <s v="FY 2025-26"/>
    <x v="19"/>
    <n v="405863"/>
    <n v="9223"/>
    <n v="2.3E-2"/>
    <n v="0.05"/>
    <s v="Within Limit"/>
    <s v="OK"/>
  </r>
  <r>
    <d v="2025-07-01T00:00:00"/>
    <s v="FY 2025-26"/>
    <x v="19"/>
    <n v="510362"/>
    <n v="11709"/>
    <n v="2.3E-2"/>
    <n v="0.05"/>
    <s v="Within Limit"/>
    <s v="OK"/>
  </r>
  <r>
    <d v="2025-08-01T00:00:00"/>
    <s v="FY 2025-26"/>
    <x v="19"/>
    <n v="339781"/>
    <n v="2881"/>
    <n v="8.0000000000000002E-3"/>
    <n v="0.05"/>
    <s v="Within Limit"/>
    <s v="OK"/>
  </r>
  <r>
    <d v="2025-09-01T00:00:00"/>
    <s v="FY 2025-26"/>
    <x v="19"/>
    <n v="343584"/>
    <n v="2661"/>
    <n v="8.0000000000000002E-3"/>
    <n v="0.05"/>
    <s v="Within Limit"/>
    <s v="OK"/>
  </r>
  <r>
    <d v="2025-10-01T00:00:00"/>
    <s v="FY 2025-26"/>
    <x v="19"/>
    <n v="101218"/>
    <n v="767"/>
    <n v="8.0000000000000002E-3"/>
    <n v="0.05"/>
    <s v="Within Limit"/>
    <s v="OK"/>
  </r>
  <r>
    <d v="2025-11-01T00:00:00"/>
    <s v="FY 2025-26"/>
    <x v="19"/>
    <n v="20852"/>
    <n v="243"/>
    <n v="1.2E-2"/>
    <n v="0.05"/>
    <s v="Within Limit"/>
    <s v="OK"/>
  </r>
  <r>
    <d v="2025-12-01T00:00:00"/>
    <s v="FY 2025-26"/>
    <x v="19"/>
    <n v="12645"/>
    <n v="47"/>
    <n v="4.0000000000000001E-3"/>
    <n v="0.05"/>
    <s v="Within Limit"/>
    <s v="OK"/>
  </r>
  <r>
    <d v="2026-01-01T00:00:00"/>
    <s v="FY 2025-26"/>
    <x v="19"/>
    <n v="19720"/>
    <n v="146"/>
    <n v="7.0000000000000001E-3"/>
    <n v="0.05"/>
    <s v="Within Limit"/>
    <s v="OK"/>
  </r>
  <r>
    <d v="2026-02-01T00:00:00"/>
    <s v="FY 2025-26"/>
    <x v="19"/>
    <n v="26233"/>
    <n v="248"/>
    <n v="8.9999999999999993E-3"/>
    <n v="0.05"/>
    <s v="Within Limit"/>
    <s v="OK"/>
  </r>
  <r>
    <d v="2026-03-01T00:00:00"/>
    <s v="FY 2025-26"/>
    <x v="19"/>
    <n v="23291"/>
    <n v="232"/>
    <n v="0.01"/>
    <n v="0.05"/>
    <s v="Within Limit"/>
    <s v="OK"/>
  </r>
  <r>
    <d v="2025-04-01T00:00:00"/>
    <s v="FY 2025-26"/>
    <x v="20"/>
    <n v="49032"/>
    <n v="3310"/>
    <n v="6.8000000000000005E-2"/>
    <n v="0.05"/>
    <s v="Exceeded Limit"/>
    <s v="Review"/>
  </r>
  <r>
    <d v="2025-05-01T00:00:00"/>
    <s v="FY 2025-26"/>
    <x v="20"/>
    <n v="217894"/>
    <n v="6724"/>
    <n v="3.1E-2"/>
    <n v="0.05"/>
    <s v="Within Limit"/>
    <s v="OK"/>
  </r>
  <r>
    <d v="2025-06-01T00:00:00"/>
    <s v="FY 2025-26"/>
    <x v="20"/>
    <n v="343038"/>
    <n v="7425"/>
    <n v="2.1999999999999999E-2"/>
    <n v="0.05"/>
    <s v="Within Limit"/>
    <s v="OK"/>
  </r>
  <r>
    <d v="2025-07-01T00:00:00"/>
    <s v="FY 2025-26"/>
    <x v="20"/>
    <n v="453002"/>
    <n v="8680"/>
    <n v="1.9E-2"/>
    <n v="0.05"/>
    <s v="Within Limit"/>
    <s v="OK"/>
  </r>
  <r>
    <d v="2025-08-01T00:00:00"/>
    <s v="FY 2025-26"/>
    <x v="20"/>
    <n v="321516"/>
    <n v="8680"/>
    <n v="2.7E-2"/>
    <n v="0.05"/>
    <s v="Within Limit"/>
    <s v="OK"/>
  </r>
  <r>
    <d v="2025-09-01T00:00:00"/>
    <s v="FY 2025-26"/>
    <x v="20"/>
    <n v="315162"/>
    <n v="6720"/>
    <n v="2.1000000000000001E-2"/>
    <n v="0.05"/>
    <s v="Within Limit"/>
    <s v="OK"/>
  </r>
  <r>
    <d v="2025-10-01T00:00:00"/>
    <s v="FY 2025-26"/>
    <x v="20"/>
    <n v="76485"/>
    <n v="5600"/>
    <n v="7.2999999999999995E-2"/>
    <n v="0.05"/>
    <s v="Exceeded Limit"/>
    <s v="Review"/>
  </r>
  <r>
    <d v="2025-11-01T00:00:00"/>
    <s v="FY 2025-26"/>
    <x v="20"/>
    <n v="21226"/>
    <n v="363"/>
    <n v="1.7000000000000001E-2"/>
    <n v="0.05"/>
    <s v="Within Limit"/>
    <s v="OK"/>
  </r>
  <r>
    <d v="2025-12-01T00:00:00"/>
    <s v="FY 2025-26"/>
    <x v="20"/>
    <n v="11446"/>
    <n v="437"/>
    <n v="3.7999999999999999E-2"/>
    <n v="0.05"/>
    <s v="Within Limit"/>
    <s v="OK"/>
  </r>
  <r>
    <d v="2026-01-01T00:00:00"/>
    <s v="FY 2025-26"/>
    <x v="20"/>
    <n v="17667"/>
    <n v="620"/>
    <n v="3.5000000000000003E-2"/>
    <n v="0.05"/>
    <s v="Within Limit"/>
    <s v="OK"/>
  </r>
  <r>
    <d v="2026-02-01T00:00:00"/>
    <s v="FY 2025-26"/>
    <x v="20"/>
    <n v="24744"/>
    <n v="640"/>
    <n v="2.5999999999999999E-2"/>
    <n v="0.05"/>
    <s v="Within Limit"/>
    <s v="OK"/>
  </r>
  <r>
    <d v="2026-03-01T00:00:00"/>
    <s v="FY 2025-26"/>
    <x v="20"/>
    <n v="22730"/>
    <n v="540"/>
    <n v="2.4E-2"/>
    <n v="0.05"/>
    <s v="Within Limit"/>
    <s v="OK"/>
  </r>
  <r>
    <d v="2025-04-01T00:00:00"/>
    <s v="FY 2025-26"/>
    <x v="21"/>
    <n v="55212"/>
    <n v="4470"/>
    <n v="8.1000000000000003E-2"/>
    <n v="0.05"/>
    <s v="Exceeded Limit"/>
    <s v="Review"/>
  </r>
  <r>
    <d v="2025-05-01T00:00:00"/>
    <s v="FY 2025-26"/>
    <x v="21"/>
    <n v="169017"/>
    <n v="5257"/>
    <n v="3.1E-2"/>
    <n v="0.05"/>
    <s v="Within Limit"/>
    <s v="OK"/>
  </r>
  <r>
    <d v="2025-06-01T00:00:00"/>
    <s v="FY 2025-26"/>
    <x v="21"/>
    <n v="222654"/>
    <n v="1533"/>
    <n v="7.0000000000000001E-3"/>
    <n v="0.05"/>
    <s v="Within Limit"/>
    <s v="OK"/>
  </r>
  <r>
    <d v="2025-07-01T00:00:00"/>
    <s v="FY 2025-26"/>
    <x v="21"/>
    <n v="267435"/>
    <n v="55"/>
    <n v="0"/>
    <n v="0.05"/>
    <s v="Within Limit"/>
    <s v="OK"/>
  </r>
  <r>
    <d v="2025-08-01T00:00:00"/>
    <s v="FY 2025-26"/>
    <x v="21"/>
    <n v="225236"/>
    <n v="1316"/>
    <n v="6.0000000000000001E-3"/>
    <n v="0.05"/>
    <s v="Within Limit"/>
    <s v="OK"/>
  </r>
  <r>
    <d v="2025-09-01T00:00:00"/>
    <s v="FY 2025-26"/>
    <x v="21"/>
    <n v="201857"/>
    <n v="3111"/>
    <n v="1.4999999999999999E-2"/>
    <n v="0.05"/>
    <s v="Within Limit"/>
    <s v="OK"/>
  </r>
  <r>
    <d v="2025-10-01T00:00:00"/>
    <s v="FY 2025-26"/>
    <x v="21"/>
    <n v="72194"/>
    <n v="1785"/>
    <n v="2.5000000000000001E-2"/>
    <n v="0.05"/>
    <s v="Within Limit"/>
    <s v="OK"/>
  </r>
  <r>
    <d v="2025-11-01T00:00:00"/>
    <s v="FY 2025-26"/>
    <x v="21"/>
    <n v="40403"/>
    <n v="1584"/>
    <n v="3.9E-2"/>
    <n v="0.05"/>
    <s v="Within Limit"/>
    <s v="OK"/>
  </r>
  <r>
    <d v="2025-12-01T00:00:00"/>
    <s v="FY 2025-26"/>
    <x v="21"/>
    <n v="52561"/>
    <n v="171"/>
    <n v="3.0000000000000001E-3"/>
    <n v="0.05"/>
    <s v="Within Limit"/>
    <s v="OK"/>
  </r>
  <r>
    <d v="2026-01-01T00:00:00"/>
    <s v="FY 2025-26"/>
    <x v="21"/>
    <n v="57832"/>
    <n v="99"/>
    <n v="2E-3"/>
    <n v="0.05"/>
    <s v="Within Limit"/>
    <s v="OK"/>
  </r>
  <r>
    <d v="2026-02-01T00:00:00"/>
    <s v="FY 2025-26"/>
    <x v="21"/>
    <n v="49218"/>
    <n v="240"/>
    <n v="5.0000000000000001E-3"/>
    <n v="0.05"/>
    <s v="Within Limit"/>
    <s v="OK"/>
  </r>
  <r>
    <d v="2026-03-01T00:00:00"/>
    <s v="FY 2025-26"/>
    <x v="21"/>
    <n v="29755"/>
    <n v="630"/>
    <n v="2.1000000000000001E-2"/>
    <n v="0.05"/>
    <s v="Within Limit"/>
    <s v="OK"/>
  </r>
  <r>
    <d v="2025-04-01T00:00:00"/>
    <s v="FY 2025-26"/>
    <x v="22"/>
    <n v="68638"/>
    <n v="4470"/>
    <n v="6.5000000000000002E-2"/>
    <n v="0.05"/>
    <s v="Exceeded Limit"/>
    <s v="Review"/>
  </r>
  <r>
    <d v="2025-05-01T00:00:00"/>
    <s v="FY 2025-26"/>
    <x v="22"/>
    <n v="207567"/>
    <n v="5257"/>
    <n v="2.5000000000000001E-2"/>
    <n v="0.05"/>
    <s v="Within Limit"/>
    <s v="OK"/>
  </r>
  <r>
    <d v="2025-06-01T00:00:00"/>
    <s v="FY 2025-26"/>
    <x v="22"/>
    <n v="278762"/>
    <n v="1533"/>
    <n v="5.0000000000000001E-3"/>
    <n v="0.05"/>
    <s v="Within Limit"/>
    <s v="OK"/>
  </r>
  <r>
    <d v="2025-07-01T00:00:00"/>
    <s v="FY 2025-26"/>
    <x v="22"/>
    <n v="322060"/>
    <n v="55"/>
    <n v="0"/>
    <n v="0.05"/>
    <s v="Within Limit"/>
    <s v="OK"/>
  </r>
  <r>
    <d v="2025-08-01T00:00:00"/>
    <s v="FY 2025-26"/>
    <x v="22"/>
    <n v="298180"/>
    <n v="1316"/>
    <n v="4.0000000000000001E-3"/>
    <n v="0.05"/>
    <s v="Within Limit"/>
    <s v="OK"/>
  </r>
  <r>
    <d v="2025-09-01T00:00:00"/>
    <s v="FY 2025-26"/>
    <x v="22"/>
    <n v="259620"/>
    <n v="3111"/>
    <n v="1.2E-2"/>
    <n v="0.05"/>
    <s v="Within Limit"/>
    <s v="OK"/>
  </r>
  <r>
    <d v="2025-10-01T00:00:00"/>
    <s v="FY 2025-26"/>
    <x v="22"/>
    <n v="79220"/>
    <n v="1785"/>
    <n v="2.3E-2"/>
    <n v="0.05"/>
    <s v="Within Limit"/>
    <s v="OK"/>
  </r>
  <r>
    <d v="2025-11-01T00:00:00"/>
    <s v="FY 2025-26"/>
    <x v="22"/>
    <n v="45069"/>
    <n v="1584"/>
    <n v="3.5000000000000003E-2"/>
    <n v="0.05"/>
    <s v="Within Limit"/>
    <s v="OK"/>
  </r>
  <r>
    <d v="2025-12-01T00:00:00"/>
    <s v="FY 2025-26"/>
    <x v="22"/>
    <n v="62931"/>
    <n v="171"/>
    <n v="3.0000000000000001E-3"/>
    <n v="0.05"/>
    <s v="Within Limit"/>
    <s v="OK"/>
  </r>
  <r>
    <d v="2026-01-01T00:00:00"/>
    <s v="FY 2025-26"/>
    <x v="22"/>
    <n v="63880"/>
    <n v="99"/>
    <n v="2E-3"/>
    <n v="0.05"/>
    <s v="Within Limit"/>
    <s v="OK"/>
  </r>
  <r>
    <d v="2026-02-01T00:00:00"/>
    <s v="FY 2025-26"/>
    <x v="22"/>
    <n v="54480"/>
    <n v="240"/>
    <n v="4.0000000000000001E-3"/>
    <n v="0.05"/>
    <s v="Within Limit"/>
    <s v="OK"/>
  </r>
  <r>
    <d v="2026-03-01T00:00:00"/>
    <s v="FY 2025-26"/>
    <x v="22"/>
    <n v="31160"/>
    <n v="630"/>
    <n v="0.02"/>
    <n v="0.05"/>
    <s v="Within Limit"/>
    <s v="OK"/>
  </r>
  <r>
    <d v="2025-04-01T00:00:00"/>
    <s v="FY 2025-26"/>
    <x v="23"/>
    <n v="80100"/>
    <n v="4470"/>
    <n v="5.6000000000000001E-2"/>
    <n v="0.05"/>
    <s v="Exceeded Limit"/>
    <s v="Review"/>
  </r>
  <r>
    <d v="2025-05-01T00:00:00"/>
    <s v="FY 2025-26"/>
    <x v="23"/>
    <n v="150255"/>
    <n v="5257"/>
    <n v="3.5000000000000003E-2"/>
    <n v="0.05"/>
    <s v="Within Limit"/>
    <s v="OK"/>
  </r>
  <r>
    <d v="2025-06-01T00:00:00"/>
    <s v="FY 2025-26"/>
    <x v="23"/>
    <n v="249495"/>
    <n v="1533"/>
    <n v="6.0000000000000001E-3"/>
    <n v="0.05"/>
    <s v="Within Limit"/>
    <s v="OK"/>
  </r>
  <r>
    <d v="2025-07-01T00:00:00"/>
    <s v="FY 2025-26"/>
    <x v="23"/>
    <n v="337710"/>
    <n v="55"/>
    <n v="0"/>
    <n v="0.05"/>
    <s v="Within Limit"/>
    <s v="OK"/>
  </r>
  <r>
    <d v="2025-08-01T00:00:00"/>
    <s v="FY 2025-26"/>
    <x v="23"/>
    <n v="224708"/>
    <n v="1316"/>
    <n v="6.0000000000000001E-3"/>
    <n v="0.05"/>
    <s v="Within Limit"/>
    <s v="OK"/>
  </r>
  <r>
    <d v="2025-09-01T00:00:00"/>
    <s v="FY 2025-26"/>
    <x v="23"/>
    <n v="202133"/>
    <n v="3111"/>
    <n v="1.4999999999999999E-2"/>
    <n v="0.05"/>
    <s v="Within Limit"/>
    <s v="OK"/>
  </r>
  <r>
    <d v="2025-10-01T00:00:00"/>
    <s v="FY 2025-26"/>
    <x v="23"/>
    <n v="87578"/>
    <n v="1785"/>
    <n v="0.02"/>
    <n v="0.05"/>
    <s v="Within Limit"/>
    <s v="OK"/>
  </r>
  <r>
    <d v="2025-11-01T00:00:00"/>
    <s v="FY 2025-26"/>
    <x v="23"/>
    <n v="65318"/>
    <n v="1584"/>
    <n v="2.4E-2"/>
    <n v="0.05"/>
    <s v="Within Limit"/>
    <s v="OK"/>
  </r>
  <r>
    <d v="2025-12-01T00:00:00"/>
    <s v="FY 2025-26"/>
    <x v="23"/>
    <n v="66997"/>
    <n v="171"/>
    <n v="3.0000000000000001E-3"/>
    <n v="0.05"/>
    <s v="Within Limit"/>
    <s v="OK"/>
  </r>
  <r>
    <d v="2026-01-01T00:00:00"/>
    <s v="FY 2025-26"/>
    <x v="23"/>
    <n v="75143"/>
    <n v="99"/>
    <n v="1E-3"/>
    <n v="0.05"/>
    <s v="Within Limit"/>
    <s v="OK"/>
  </r>
  <r>
    <d v="2026-02-01T00:00:00"/>
    <s v="FY 2025-26"/>
    <x v="23"/>
    <n v="59160"/>
    <n v="240"/>
    <n v="4.0000000000000001E-3"/>
    <n v="0.05"/>
    <s v="Within Limit"/>
    <s v="OK"/>
  </r>
  <r>
    <d v="2026-03-01T00:00:00"/>
    <s v="FY 2025-26"/>
    <x v="23"/>
    <n v="61950"/>
    <n v="630"/>
    <n v="0.01"/>
    <n v="0.05"/>
    <s v="Within Limit"/>
    <s v="OK"/>
  </r>
  <r>
    <d v="2025-04-01T00:00:00"/>
    <s v="FY 2025-26"/>
    <x v="24"/>
    <n v="970280"/>
    <n v="4470"/>
    <n v="5.0000000000000001E-3"/>
    <n v="0.05"/>
    <s v="Within Limit"/>
    <s v="OK"/>
  </r>
  <r>
    <d v="2025-05-01T00:00:00"/>
    <s v="FY 2025-26"/>
    <x v="24"/>
    <n v="1358748"/>
    <n v="5257"/>
    <n v="4.0000000000000001E-3"/>
    <n v="0.05"/>
    <s v="Within Limit"/>
    <s v="OK"/>
  </r>
  <r>
    <d v="2025-06-01T00:00:00"/>
    <s v="FY 2025-26"/>
    <x v="24"/>
    <n v="2403665"/>
    <n v="1533"/>
    <n v="1E-3"/>
    <n v="0.05"/>
    <s v="Within Limit"/>
    <s v="OK"/>
  </r>
  <r>
    <d v="2025-07-01T00:00:00"/>
    <s v="FY 2025-26"/>
    <x v="24"/>
    <n v="2919780"/>
    <n v="55"/>
    <n v="0"/>
    <n v="0.05"/>
    <s v="Within Limit"/>
    <s v="OK"/>
  </r>
  <r>
    <d v="2025-08-01T00:00:00"/>
    <s v="FY 2025-26"/>
    <x v="24"/>
    <n v="2097476"/>
    <n v="1316"/>
    <n v="1E-3"/>
    <n v="0.05"/>
    <s v="Within Limit"/>
    <s v="OK"/>
  </r>
  <r>
    <d v="2025-09-01T00:00:00"/>
    <s v="FY 2025-26"/>
    <x v="24"/>
    <n v="1600225"/>
    <n v="3111"/>
    <n v="2E-3"/>
    <n v="0.05"/>
    <s v="Within Limit"/>
    <s v="OK"/>
  </r>
  <r>
    <d v="2025-10-01T00:00:00"/>
    <s v="FY 2025-26"/>
    <x v="24"/>
    <n v="940703"/>
    <n v="1785"/>
    <n v="2E-3"/>
    <n v="0.05"/>
    <s v="Within Limit"/>
    <s v="OK"/>
  </r>
  <r>
    <d v="2025-11-01T00:00:00"/>
    <s v="FY 2025-26"/>
    <x v="24"/>
    <n v="708646"/>
    <n v="1584"/>
    <n v="2E-3"/>
    <n v="0.05"/>
    <s v="Within Limit"/>
    <s v="OK"/>
  </r>
  <r>
    <d v="2025-12-01T00:00:00"/>
    <s v="FY 2025-26"/>
    <x v="24"/>
    <n v="734937"/>
    <n v="171"/>
    <n v="0"/>
    <n v="0.05"/>
    <s v="Within Limit"/>
    <s v="OK"/>
  </r>
  <r>
    <d v="2026-01-01T00:00:00"/>
    <s v="FY 2025-26"/>
    <x v="24"/>
    <n v="469743"/>
    <n v="99"/>
    <n v="0"/>
    <n v="0.05"/>
    <s v="Within Limit"/>
    <s v="OK"/>
  </r>
  <r>
    <d v="2026-02-01T00:00:00"/>
    <s v="FY 2025-26"/>
    <x v="24"/>
    <n v="414841"/>
    <n v="240"/>
    <n v="1E-3"/>
    <n v="0.05"/>
    <s v="Within Limit"/>
    <s v="OK"/>
  </r>
  <r>
    <d v="2026-03-01T00:00:00"/>
    <s v="FY 2025-26"/>
    <x v="24"/>
    <n v="574430"/>
    <n v="630"/>
    <n v="1E-3"/>
    <n v="0.05"/>
    <s v="Within Limit"/>
    <s v="OK"/>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d v="2025-05-12T00:00:00"/>
    <x v="0"/>
    <s v="FY 2025-26"/>
    <x v="0"/>
    <n v="209819"/>
    <n v="2.67"/>
    <n v="560218"/>
    <n v="560"/>
    <n v="559657"/>
    <d v="2025-05-27T00:00:00"/>
    <x v="0"/>
    <s v="Review"/>
    <n v="1"/>
  </r>
  <r>
    <n v="2"/>
    <d v="2025-06-10T00:00:00"/>
    <x v="1"/>
    <s v="FY 2025-26"/>
    <x v="0"/>
    <n v="274677"/>
    <n v="2.67"/>
    <n v="733387"/>
    <n v="733"/>
    <n v="732654"/>
    <d v="2025-06-25T00:00:00"/>
    <x v="0"/>
    <s v="OK"/>
    <n v="0"/>
  </r>
  <r>
    <n v="3"/>
    <d v="2025-07-07T00:00:00"/>
    <x v="2"/>
    <s v="FY 2025-26"/>
    <x v="0"/>
    <n v="611235"/>
    <n v="2.67"/>
    <n v="1631997"/>
    <n v="1632"/>
    <n v="1630365"/>
    <d v="2025-07-22T00:00:00"/>
    <x v="0"/>
    <s v="OK"/>
    <n v="0"/>
  </r>
  <r>
    <n v="4"/>
    <d v="2025-08-11T00:00:00"/>
    <x v="3"/>
    <s v="FY 2025-26"/>
    <x v="0"/>
    <n v="897647"/>
    <n v="2.67"/>
    <n v="2396716"/>
    <n v="2397"/>
    <n v="2394320"/>
    <d v="2025-08-26T00:00:00"/>
    <x v="0"/>
    <s v="Review"/>
    <n v="-1"/>
  </r>
  <r>
    <n v="5"/>
    <d v="2025-09-15T00:00:00"/>
    <x v="4"/>
    <s v="FY 2025-26"/>
    <x v="0"/>
    <n v="448823"/>
    <n v="2.67"/>
    <n v="1198357"/>
    <n v="1198"/>
    <n v="1197158"/>
    <d v="2025-09-30T00:00:00"/>
    <x v="0"/>
    <s v="Review"/>
    <n v="1"/>
  </r>
  <r>
    <n v="6"/>
    <d v="2025-10-08T00:00:00"/>
    <x v="5"/>
    <s v="FY 2025-26"/>
    <x v="0"/>
    <n v="217455"/>
    <n v="2.67"/>
    <n v="580604"/>
    <n v="581"/>
    <n v="580023"/>
    <d v="2025-10-23T00:00:00"/>
    <x v="0"/>
    <s v="OK"/>
    <n v="0"/>
  </r>
  <r>
    <n v="7"/>
    <d v="2025-11-09T00:00:00"/>
    <x v="6"/>
    <s v="FY 2025-26"/>
    <x v="0"/>
    <n v="152769"/>
    <n v="2.67"/>
    <n v="407893"/>
    <n v="408"/>
    <n v="407485"/>
    <d v="2025-11-24T00:00:00"/>
    <x v="0"/>
    <s v="OK"/>
    <n v="0"/>
  </r>
  <r>
    <n v="8"/>
    <d v="2025-12-06T00:00:00"/>
    <x v="7"/>
    <s v="FY 2025-26"/>
    <x v="0"/>
    <n v="216193"/>
    <n v="2.67"/>
    <n v="577234"/>
    <n v="577"/>
    <n v="576657"/>
    <d v="2025-12-21T00:00:00"/>
    <x v="0"/>
    <s v="OK"/>
    <n v="0"/>
  </r>
  <r>
    <n v="9"/>
    <d v="2026-01-27T00:00:00"/>
    <x v="8"/>
    <s v="FY 2025-26"/>
    <x v="0"/>
    <n v="355304"/>
    <n v="2.67"/>
    <n v="948661"/>
    <n v="949"/>
    <n v="947713"/>
    <d v="2026-02-11T00:00:00"/>
    <x v="0"/>
    <s v="Review"/>
    <n v="-1"/>
  </r>
  <r>
    <n v="10"/>
    <d v="2026-02-21T00:00:00"/>
    <x v="9"/>
    <s v="FY 2025-26"/>
    <x v="0"/>
    <n v="83708"/>
    <n v="2.67"/>
    <n v="223501"/>
    <n v="224"/>
    <n v="223277"/>
    <d v="2026-03-08T00:00:00"/>
    <x v="0"/>
    <s v="OK"/>
    <n v="0"/>
  </r>
  <r>
    <n v="11"/>
    <d v="2026-03-24T00:00:00"/>
    <x v="10"/>
    <s v="FY 2025-26"/>
    <x v="0"/>
    <n v="101267"/>
    <n v="2.67"/>
    <n v="270383"/>
    <n v="270"/>
    <n v="270112"/>
    <d v="2026-04-08T00:00:00"/>
    <x v="0"/>
    <s v="Review"/>
    <n v="1"/>
  </r>
  <r>
    <n v="12"/>
    <d v="2026-03-24T00:00:00"/>
    <x v="11"/>
    <s v="FY 2025-26"/>
    <x v="0"/>
    <n v="95418"/>
    <n v="2.67"/>
    <n v="254765"/>
    <n v="255"/>
    <n v="254510"/>
    <d v="2026-04-08T00:00:00"/>
    <x v="0"/>
    <s v="OK"/>
    <n v="0"/>
  </r>
  <r>
    <n v="1"/>
    <d v="2025-05-05T00:00:00"/>
    <x v="0"/>
    <s v="FY 2025-26"/>
    <x v="1"/>
    <n v="59664"/>
    <n v="4"/>
    <n v="238656"/>
    <n v="239"/>
    <n v="238417"/>
    <d v="2025-05-20T00:00:00"/>
    <x v="0"/>
    <s v="OK"/>
    <n v="0"/>
  </r>
  <r>
    <n v="2"/>
    <d v="2025-05-28T00:00:00"/>
    <x v="1"/>
    <s v="FY 2025-26"/>
    <x v="1"/>
    <n v="142434"/>
    <n v="4"/>
    <n v="569736"/>
    <n v="570"/>
    <n v="569166"/>
    <d v="2025-06-12T00:00:00"/>
    <x v="0"/>
    <s v="OK"/>
    <n v="0"/>
  </r>
  <r>
    <n v="3"/>
    <d v="2025-06-26T00:00:00"/>
    <x v="2"/>
    <s v="FY 2025-26"/>
    <x v="1"/>
    <n v="209574"/>
    <n v="4"/>
    <n v="838296"/>
    <n v="838"/>
    <n v="837458"/>
    <d v="2025-07-11T00:00:00"/>
    <x v="0"/>
    <s v="OK"/>
    <n v="0"/>
  </r>
  <r>
    <n v="4"/>
    <d v="2025-07-16T00:00:00"/>
    <x v="3"/>
    <s v="FY 2025-26"/>
    <x v="1"/>
    <n v="247152"/>
    <n v="4"/>
    <n v="988608"/>
    <n v="989"/>
    <n v="987619"/>
    <d v="2025-07-31T00:00:00"/>
    <x v="0"/>
    <s v="OK"/>
    <n v="0"/>
  </r>
  <r>
    <n v="5"/>
    <d v="2025-08-18T00:00:00"/>
    <x v="4"/>
    <s v="FY 2025-26"/>
    <x v="1"/>
    <n v="170958"/>
    <n v="4"/>
    <n v="683832"/>
    <n v="684"/>
    <n v="683148"/>
    <d v="2025-09-02T00:00:00"/>
    <x v="1"/>
    <s v="OK"/>
    <n v="0"/>
  </r>
  <r>
    <n v="6"/>
    <d v="2025-09-12T00:00:00"/>
    <x v="5"/>
    <s v="FY 2025-26"/>
    <x v="1"/>
    <n v="151764"/>
    <n v="4"/>
    <n v="607056"/>
    <n v="607"/>
    <n v="606449"/>
    <d v="2025-09-27T00:00:00"/>
    <x v="0"/>
    <s v="OK"/>
    <n v="0"/>
  </r>
  <r>
    <n v="7"/>
    <d v="2025-10-16T00:00:00"/>
    <x v="6"/>
    <s v="FY 2025-26"/>
    <x v="1"/>
    <n v="64434"/>
    <n v="4"/>
    <n v="257736"/>
    <n v="258"/>
    <n v="257478"/>
    <d v="2025-10-31T00:00:00"/>
    <x v="0"/>
    <s v="OK"/>
    <n v="0"/>
  </r>
  <r>
    <n v="8"/>
    <d v="2025-12-01T00:00:00"/>
    <x v="7"/>
    <s v="FY 2025-26"/>
    <x v="1"/>
    <n v="36330"/>
    <n v="4"/>
    <n v="145320"/>
    <n v="145"/>
    <n v="145175"/>
    <d v="2025-12-16T00:00:00"/>
    <x v="1"/>
    <s v="OK"/>
    <n v="0"/>
  </r>
  <r>
    <n v="9"/>
    <d v="2025-12-12T00:00:00"/>
    <x v="8"/>
    <s v="FY 2025-26"/>
    <x v="1"/>
    <n v="26292"/>
    <n v="4"/>
    <n v="105168"/>
    <n v="105"/>
    <n v="105063"/>
    <d v="2025-12-27T00:00:00"/>
    <x v="1"/>
    <s v="OK"/>
    <n v="0"/>
  </r>
  <r>
    <n v="10"/>
    <d v="2026-01-07T00:00:00"/>
    <x v="9"/>
    <s v="FY 2025-26"/>
    <x v="1"/>
    <n v="28206"/>
    <n v="4"/>
    <n v="112824"/>
    <n v="113"/>
    <n v="112711"/>
    <d v="2026-01-22T00:00:00"/>
    <x v="0"/>
    <s v="OK"/>
    <n v="0"/>
  </r>
  <r>
    <n v="11"/>
    <d v="2026-02-21T00:00:00"/>
    <x v="10"/>
    <s v="FY 2025-26"/>
    <x v="1"/>
    <n v="24264"/>
    <n v="4"/>
    <n v="97056"/>
    <n v="97"/>
    <n v="96959"/>
    <d v="2026-03-08T00:00:00"/>
    <x v="0"/>
    <s v="OK"/>
    <n v="0"/>
  </r>
  <r>
    <n v="12"/>
    <d v="2026-03-31T00:00:00"/>
    <x v="11"/>
    <s v="FY 2025-26"/>
    <x v="1"/>
    <n v="36072"/>
    <n v="4"/>
    <n v="144288"/>
    <n v="144"/>
    <n v="144144"/>
    <d v="2026-04-15T00:00:00"/>
    <x v="0"/>
    <s v="OK"/>
    <n v="0"/>
  </r>
  <r>
    <n v="1"/>
    <d v="2025-05-05T00:00:00"/>
    <x v="0"/>
    <s v="FY 2025-26"/>
    <x v="2"/>
    <n v="261840"/>
    <n v="3.9"/>
    <n v="1021176"/>
    <n v="1021"/>
    <n v="1020155"/>
    <d v="2025-05-20T00:00:00"/>
    <x v="0"/>
    <s v="OK"/>
    <n v="0"/>
  </r>
  <r>
    <n v="2"/>
    <d v="2025-05-28T00:00:00"/>
    <x v="1"/>
    <s v="FY 2025-26"/>
    <x v="2"/>
    <n v="579600"/>
    <n v="3.9"/>
    <n v="2260440"/>
    <n v="2260"/>
    <n v="2258180"/>
    <d v="2025-06-12T00:00:00"/>
    <x v="0"/>
    <s v="OK"/>
    <n v="0"/>
  </r>
  <r>
    <n v="3"/>
    <d v="2025-06-26T00:00:00"/>
    <x v="2"/>
    <s v="FY 2025-26"/>
    <x v="2"/>
    <n v="887940"/>
    <n v="3.9"/>
    <n v="3462966"/>
    <n v="3463"/>
    <n v="3459503"/>
    <d v="2025-07-11T00:00:00"/>
    <x v="0"/>
    <s v="OK"/>
    <n v="0"/>
  </r>
  <r>
    <n v="4"/>
    <d v="2025-07-16T00:00:00"/>
    <x v="3"/>
    <s v="FY 2025-26"/>
    <x v="2"/>
    <n v="1208880"/>
    <n v="3.9"/>
    <n v="4714632"/>
    <n v="4715"/>
    <n v="4709917"/>
    <d v="2025-07-31T00:00:00"/>
    <x v="0"/>
    <s v="OK"/>
    <n v="0"/>
  </r>
  <r>
    <n v="5"/>
    <d v="2025-08-18T00:00:00"/>
    <x v="4"/>
    <s v="FY 2025-26"/>
    <x v="2"/>
    <n v="834270"/>
    <n v="3.9"/>
    <n v="3253653"/>
    <n v="3254"/>
    <n v="3250399"/>
    <d v="2025-09-02T00:00:00"/>
    <x v="1"/>
    <s v="OK"/>
    <n v="0"/>
  </r>
  <r>
    <n v="6"/>
    <d v="2025-09-12T00:00:00"/>
    <x v="5"/>
    <s v="FY 2025-26"/>
    <x v="2"/>
    <n v="597360"/>
    <n v="3.9"/>
    <n v="2329704"/>
    <n v="2330"/>
    <n v="2327374"/>
    <d v="2025-09-27T00:00:00"/>
    <x v="0"/>
    <s v="OK"/>
    <n v="0"/>
  </r>
  <r>
    <n v="7"/>
    <d v="2025-10-16T00:00:00"/>
    <x v="6"/>
    <s v="FY 2025-26"/>
    <x v="2"/>
    <n v="237390"/>
    <n v="3.9"/>
    <n v="925821"/>
    <n v="926"/>
    <n v="924895"/>
    <d v="2025-10-31T00:00:00"/>
    <x v="0"/>
    <s v="OK"/>
    <n v="0"/>
  </r>
  <r>
    <n v="8"/>
    <d v="2025-12-01T00:00:00"/>
    <x v="7"/>
    <s v="FY 2025-26"/>
    <x v="2"/>
    <n v="150810"/>
    <n v="3.9"/>
    <n v="588159"/>
    <n v="588"/>
    <n v="587571"/>
    <d v="2025-12-16T00:00:00"/>
    <x v="1"/>
    <s v="OK"/>
    <n v="0"/>
  </r>
  <r>
    <n v="9"/>
    <d v="2025-12-12T00:00:00"/>
    <x v="8"/>
    <s v="FY 2025-26"/>
    <x v="2"/>
    <n v="175080"/>
    <n v="3.9"/>
    <n v="682812"/>
    <n v="683"/>
    <n v="682129"/>
    <d v="2025-12-27T00:00:00"/>
    <x v="1"/>
    <s v="OK"/>
    <n v="0"/>
  </r>
  <r>
    <n v="10"/>
    <d v="2026-01-07T00:00:00"/>
    <x v="9"/>
    <s v="FY 2025-26"/>
    <x v="2"/>
    <n v="200040"/>
    <n v="3.9"/>
    <n v="780156"/>
    <n v="780"/>
    <n v="779376"/>
    <d v="2026-01-22T00:00:00"/>
    <x v="1"/>
    <s v="OK"/>
    <n v="0"/>
  </r>
  <r>
    <n v="11"/>
    <d v="2026-02-21T00:00:00"/>
    <x v="10"/>
    <s v="FY 2025-26"/>
    <x v="2"/>
    <n v="155580"/>
    <n v="3.9"/>
    <n v="606762"/>
    <n v="607"/>
    <n v="606155"/>
    <d v="2026-03-08T00:00:00"/>
    <x v="1"/>
    <s v="OK"/>
    <n v="0"/>
  </r>
  <r>
    <n v="12"/>
    <d v="2026-03-31T00:00:00"/>
    <x v="11"/>
    <s v="FY 2025-26"/>
    <x v="2"/>
    <n v="160590"/>
    <n v="3.9"/>
    <n v="626301"/>
    <n v="626"/>
    <n v="625675"/>
    <d v="2026-04-15T00:00:00"/>
    <x v="0"/>
    <s v="OK"/>
    <n v="0"/>
  </r>
  <r>
    <n v="1"/>
    <d v="2025-04-07T00:00:00"/>
    <x v="0"/>
    <s v="FY 2025-26"/>
    <x v="3"/>
    <n v="261840"/>
    <n v="2.7"/>
    <n v="706968"/>
    <n v="707"/>
    <n v="706261"/>
    <d v="2025-06-06T00:00:00"/>
    <x v="0"/>
    <s v="OK"/>
    <n v="0"/>
  </r>
  <r>
    <n v="2"/>
    <d v="2025-06-09T00:00:00"/>
    <x v="1"/>
    <s v="FY 2025-26"/>
    <x v="3"/>
    <n v="579600"/>
    <n v="2.7"/>
    <n v="1564920"/>
    <n v="1565"/>
    <n v="1563355"/>
    <d v="2025-08-08T00:00:00"/>
    <x v="0"/>
    <s v="OK"/>
    <n v="0"/>
  </r>
  <r>
    <n v="3"/>
    <d v="2025-06-09T00:00:00"/>
    <x v="2"/>
    <s v="FY 2025-26"/>
    <x v="3"/>
    <n v="887940"/>
    <n v="2.7"/>
    <n v="2397438"/>
    <n v="2397"/>
    <n v="2395041"/>
    <d v="2025-08-08T00:00:00"/>
    <x v="0"/>
    <s v="OK"/>
    <n v="0"/>
  </r>
  <r>
    <n v="4"/>
    <d v="2025-07-14T00:00:00"/>
    <x v="3"/>
    <s v="FY 2025-26"/>
    <x v="3"/>
    <n v="1208880"/>
    <n v="2.7"/>
    <n v="3263976"/>
    <n v="3264"/>
    <n v="3260712"/>
    <d v="2025-09-12T00:00:00"/>
    <x v="0"/>
    <s v="OK"/>
    <n v="0"/>
  </r>
  <r>
    <n v="5"/>
    <d v="2025-08-14T00:00:00"/>
    <x v="4"/>
    <s v="FY 2025-26"/>
    <x v="3"/>
    <n v="834270"/>
    <n v="2.7"/>
    <n v="2252529"/>
    <n v="2253"/>
    <n v="2250276"/>
    <d v="2025-10-13T00:00:00"/>
    <x v="0"/>
    <s v="OK"/>
    <n v="0"/>
  </r>
  <r>
    <n v="6"/>
    <d v="2025-09-08T00:00:00"/>
    <x v="5"/>
    <s v="FY 2025-26"/>
    <x v="3"/>
    <n v="597360"/>
    <n v="2.7"/>
    <n v="1612872"/>
    <n v="1613"/>
    <n v="1611259"/>
    <d v="2025-11-07T00:00:00"/>
    <x v="0"/>
    <s v="OK"/>
    <n v="0"/>
  </r>
  <r>
    <n v="7"/>
    <d v="2025-10-08T00:00:00"/>
    <x v="6"/>
    <s v="FY 2025-26"/>
    <x v="3"/>
    <n v="237390"/>
    <n v="2.7"/>
    <n v="640953"/>
    <n v="641"/>
    <n v="640312"/>
    <d v="2025-12-07T00:00:00"/>
    <x v="0"/>
    <s v="OK"/>
    <n v="0"/>
  </r>
  <r>
    <n v="8"/>
    <d v="2025-11-12T00:00:00"/>
    <x v="7"/>
    <s v="FY 2025-26"/>
    <x v="3"/>
    <n v="150810"/>
    <n v="2.7"/>
    <n v="407187"/>
    <n v="407"/>
    <n v="406780"/>
    <d v="2026-01-11T00:00:00"/>
    <x v="0"/>
    <s v="OK"/>
    <n v="0"/>
  </r>
  <r>
    <n v="9"/>
    <d v="2025-12-12T00:00:00"/>
    <x v="8"/>
    <s v="FY 2025-26"/>
    <x v="3"/>
    <n v="175080"/>
    <n v="2.7"/>
    <n v="472716"/>
    <n v="473"/>
    <n v="472243"/>
    <d v="2026-02-10T00:00:00"/>
    <x v="0"/>
    <s v="OK"/>
    <n v="0"/>
  </r>
  <r>
    <n v="10"/>
    <d v="2026-01-07T00:00:00"/>
    <x v="9"/>
    <s v="FY 2025-26"/>
    <x v="3"/>
    <n v="200040"/>
    <n v="2.7"/>
    <n v="540108"/>
    <n v="540"/>
    <n v="539568"/>
    <d v="2026-03-08T00:00:00"/>
    <x v="0"/>
    <s v="OK"/>
    <n v="0"/>
  </r>
  <r>
    <n v="11"/>
    <d v="2026-02-19T00:00:00"/>
    <x v="10"/>
    <s v="FY 2025-26"/>
    <x v="3"/>
    <n v="155580"/>
    <n v="2.7"/>
    <n v="420066"/>
    <n v="420"/>
    <n v="419646"/>
    <d v="2026-04-20T00:00:00"/>
    <x v="0"/>
    <s v="OK"/>
    <n v="0"/>
  </r>
  <r>
    <n v="12"/>
    <d v="2026-03-07T00:00:00"/>
    <x v="11"/>
    <s v="FY 2025-26"/>
    <x v="3"/>
    <n v="160590"/>
    <n v="2.7"/>
    <n v="433593"/>
    <n v="434"/>
    <n v="433159"/>
    <d v="2026-05-06T00:00:00"/>
    <x v="0"/>
    <s v="OK"/>
    <n v="0"/>
  </r>
  <r>
    <n v="1"/>
    <d v="2025-04-07T00:00:00"/>
    <x v="0"/>
    <s v="FY 2025-26"/>
    <x v="4"/>
    <n v="110052"/>
    <n v="2.89"/>
    <n v="318050"/>
    <n v="318"/>
    <n v="317732"/>
    <d v="2025-04-22T00:00:00"/>
    <x v="0"/>
    <s v="OK"/>
    <n v="0"/>
  </r>
  <r>
    <n v="2"/>
    <d v="2025-05-08T00:00:00"/>
    <x v="1"/>
    <s v="FY 2025-26"/>
    <x v="4"/>
    <n v="224220"/>
    <n v="2.89"/>
    <n v="647996"/>
    <n v="648"/>
    <n v="647348"/>
    <d v="2025-05-23T00:00:00"/>
    <x v="0"/>
    <s v="OK"/>
    <n v="0"/>
  </r>
  <r>
    <n v="3"/>
    <d v="2025-06-09T00:00:00"/>
    <x v="2"/>
    <s v="FY 2025-26"/>
    <x v="4"/>
    <n v="309600"/>
    <n v="2.89"/>
    <n v="894744"/>
    <n v="895"/>
    <n v="893849"/>
    <d v="2025-06-24T00:00:00"/>
    <x v="0"/>
    <s v="OK"/>
    <n v="0"/>
  </r>
  <r>
    <n v="4"/>
    <d v="2026-03-04T00:00:00"/>
    <x v="3"/>
    <s v="FY 2025-26"/>
    <x v="4"/>
    <n v="484140"/>
    <n v="2.89"/>
    <n v="1399165"/>
    <n v="1399"/>
    <n v="1397765"/>
    <d v="2026-03-19T00:00:00"/>
    <x v="0"/>
    <s v="Review"/>
    <n v="1"/>
  </r>
  <r>
    <n v="5"/>
    <d v="2026-03-04T00:00:00"/>
    <x v="4"/>
    <s v="FY 2025-26"/>
    <x v="4"/>
    <n v="358464"/>
    <n v="2.89"/>
    <n v="1035961"/>
    <n v="1036"/>
    <n v="1034925"/>
    <d v="2026-03-19T00:00:00"/>
    <x v="1"/>
    <s v="OK"/>
    <n v="0"/>
  </r>
  <r>
    <n v="6"/>
    <d v="2026-02-17T00:00:00"/>
    <x v="5"/>
    <s v="FY 2025-26"/>
    <x v="4"/>
    <n v="304452"/>
    <n v="2.89"/>
    <n v="879866"/>
    <n v="880"/>
    <n v="878986"/>
    <d v="2026-03-04T00:00:00"/>
    <x v="0"/>
    <s v="OK"/>
    <n v="0"/>
  </r>
  <r>
    <n v="7"/>
    <d v="2026-02-17T00:00:00"/>
    <x v="6"/>
    <s v="FY 2025-26"/>
    <x v="4"/>
    <n v="130080"/>
    <n v="2.89"/>
    <n v="375931"/>
    <n v="376"/>
    <n v="375555"/>
    <d v="2026-03-04T00:00:00"/>
    <x v="0"/>
    <s v="OK"/>
    <n v="0"/>
  </r>
  <r>
    <n v="8"/>
    <d v="2026-02-17T00:00:00"/>
    <x v="7"/>
    <s v="FY 2025-26"/>
    <x v="4"/>
    <n v="109752"/>
    <n v="2.89"/>
    <n v="317183"/>
    <n v="317"/>
    <n v="316866"/>
    <d v="2026-03-04T00:00:00"/>
    <x v="1"/>
    <s v="OK"/>
    <n v="0"/>
  </r>
  <r>
    <n v="9"/>
    <d v="2026-02-17T00:00:00"/>
    <x v="8"/>
    <s v="FY 2025-26"/>
    <x v="4"/>
    <n v="119412"/>
    <n v="2.89"/>
    <n v="345101"/>
    <n v="345"/>
    <n v="344756"/>
    <d v="2026-03-04T00:00:00"/>
    <x v="1"/>
    <s v="OK"/>
    <n v="0"/>
  </r>
  <r>
    <n v="10"/>
    <d v="2026-02-17T00:00:00"/>
    <x v="9"/>
    <s v="FY 2025-26"/>
    <x v="4"/>
    <n v="137700"/>
    <n v="2.89"/>
    <n v="397953"/>
    <n v="398"/>
    <n v="397555"/>
    <d v="2026-03-04T00:00:00"/>
    <x v="0"/>
    <s v="OK"/>
    <n v="0"/>
  </r>
  <r>
    <n v="11"/>
    <d v="2026-02-17T00:00:00"/>
    <x v="10"/>
    <s v="FY 2025-26"/>
    <x v="4"/>
    <n v="89196"/>
    <n v="2.89"/>
    <n v="257776"/>
    <n v="258"/>
    <n v="257519"/>
    <d v="2026-03-04T00:00:00"/>
    <x v="0"/>
    <s v="Review"/>
    <n v="-1"/>
  </r>
  <r>
    <n v="12"/>
    <d v="2026-02-17T00:00:00"/>
    <x v="11"/>
    <s v="FY 2025-26"/>
    <x v="4"/>
    <n v="79152"/>
    <n v="2.89"/>
    <n v="228749"/>
    <n v="229"/>
    <n v="228521"/>
    <d v="2026-03-04T00:00:00"/>
    <x v="0"/>
    <s v="Review"/>
    <n v="-1"/>
  </r>
  <r>
    <n v="1"/>
    <d v="2026-04-04T00:00:00"/>
    <x v="0"/>
    <s v="FY 2025-26"/>
    <x v="5"/>
    <n v="323682"/>
    <n v="2.9"/>
    <n v="938679"/>
    <n v="939"/>
    <n v="937740"/>
    <d v="2026-04-14T00:00:00"/>
    <x v="0"/>
    <s v="OK"/>
    <n v="0"/>
  </r>
  <r>
    <n v="2"/>
    <d v="2025-05-14T00:00:00"/>
    <x v="1"/>
    <s v="FY 2025-26"/>
    <x v="5"/>
    <n v="255734"/>
    <n v="2.9"/>
    <n v="741629"/>
    <n v="742"/>
    <n v="740887"/>
    <d v="2025-05-24T00:00:00"/>
    <x v="0"/>
    <s v="OK"/>
    <n v="0"/>
  </r>
  <r>
    <n v="3"/>
    <d v="2025-06-10T00:00:00"/>
    <x v="2"/>
    <s v="FY 2025-26"/>
    <x v="5"/>
    <n v="517407"/>
    <n v="2.9"/>
    <n v="1500481"/>
    <n v="1500"/>
    <n v="1498981"/>
    <d v="2025-06-20T00:00:00"/>
    <x v="0"/>
    <s v="OK"/>
    <n v="0"/>
  </r>
  <r>
    <n v="4"/>
    <d v="2025-07-04T00:00:00"/>
    <x v="3"/>
    <s v="FY 2025-26"/>
    <x v="5"/>
    <n v="480028"/>
    <n v="2.9"/>
    <n v="1392080"/>
    <n v="1392"/>
    <n v="1390688"/>
    <d v="2025-07-14T00:00:00"/>
    <x v="0"/>
    <s v="OK"/>
    <n v="0"/>
  </r>
  <r>
    <n v="5"/>
    <d v="2025-08-18T00:00:00"/>
    <x v="4"/>
    <s v="FY 2025-26"/>
    <x v="5"/>
    <n v="373756"/>
    <n v="2.9"/>
    <n v="1083892"/>
    <n v="1084"/>
    <n v="1082808"/>
    <d v="2025-08-28T00:00:00"/>
    <x v="1"/>
    <s v="OK"/>
    <n v="0"/>
  </r>
  <r>
    <n v="6"/>
    <d v="2025-09-17T00:00:00"/>
    <x v="5"/>
    <s v="FY 2025-26"/>
    <x v="5"/>
    <n v="276438"/>
    <n v="2.9"/>
    <n v="801670"/>
    <n v="802"/>
    <n v="800868"/>
    <d v="2025-09-27T00:00:00"/>
    <x v="1"/>
    <s v="OK"/>
    <n v="0"/>
  </r>
  <r>
    <n v="7"/>
    <d v="2025-10-09T00:00:00"/>
    <x v="6"/>
    <s v="FY 2025-26"/>
    <x v="5"/>
    <n v="88630"/>
    <n v="2.9"/>
    <n v="257026"/>
    <n v="257"/>
    <n v="256769"/>
    <d v="2025-10-19T00:00:00"/>
    <x v="1"/>
    <s v="OK"/>
    <n v="0"/>
  </r>
  <r>
    <n v="8"/>
    <d v="2025-12-01T00:00:00"/>
    <x v="7"/>
    <s v="FY 2025-26"/>
    <x v="5"/>
    <n v="73745"/>
    <n v="2.9"/>
    <n v="213860"/>
    <n v="214"/>
    <n v="213646"/>
    <d v="2025-12-11T00:00:00"/>
    <x v="1"/>
    <s v="OK"/>
    <n v="0"/>
  </r>
  <r>
    <n v="9"/>
    <d v="2025-12-12T00:00:00"/>
    <x v="8"/>
    <s v="FY 2025-26"/>
    <x v="5"/>
    <n v="82779"/>
    <n v="2.9"/>
    <n v="240059"/>
    <n v="240"/>
    <n v="239819"/>
    <d v="2025-12-22T00:00:00"/>
    <x v="1"/>
    <s v="OK"/>
    <n v="0"/>
  </r>
  <r>
    <n v="10"/>
    <d v="2026-01-28T00:00:00"/>
    <x v="9"/>
    <s v="FY 2025-26"/>
    <x v="5"/>
    <n v="68041"/>
    <n v="2.9"/>
    <n v="197320"/>
    <n v="197"/>
    <n v="197122"/>
    <d v="2026-02-07T00:00:00"/>
    <x v="1"/>
    <s v="Review"/>
    <n v="1"/>
  </r>
  <r>
    <n v="11"/>
    <d v="2026-02-21T00:00:00"/>
    <x v="10"/>
    <s v="FY 2025-26"/>
    <x v="5"/>
    <n v="58988"/>
    <n v="2.9"/>
    <n v="171064"/>
    <n v="171"/>
    <n v="170893"/>
    <d v="2026-03-03T00:00:00"/>
    <x v="1"/>
    <s v="OK"/>
    <n v="0"/>
  </r>
  <r>
    <n v="12"/>
    <d v="2026-03-24T00:00:00"/>
    <x v="11"/>
    <s v="FY 2025-26"/>
    <x v="5"/>
    <n v="145516"/>
    <n v="2.9"/>
    <n v="421996"/>
    <n v="422"/>
    <n v="421574"/>
    <d v="2026-04-03T00:00:00"/>
    <x v="0"/>
    <s v="OK"/>
    <n v="0"/>
  </r>
  <r>
    <n v="1"/>
    <d v="2026-04-04T00:00:00"/>
    <x v="0"/>
    <s v="FY 2025-26"/>
    <x v="6"/>
    <n v="207898"/>
    <n v="2.9"/>
    <n v="602903"/>
    <n v="603"/>
    <n v="602300"/>
    <d v="2026-04-11T00:00:00"/>
    <x v="0"/>
    <s v="OK"/>
    <n v="0"/>
  </r>
  <r>
    <n v="2"/>
    <d v="2025-05-14T00:00:00"/>
    <x v="1"/>
    <s v="FY 2025-26"/>
    <x v="6"/>
    <n v="286144"/>
    <n v="2.9"/>
    <n v="829817"/>
    <n v="830"/>
    <n v="828988"/>
    <d v="2025-05-21T00:00:00"/>
    <x v="0"/>
    <s v="Review"/>
    <n v="-1"/>
  </r>
  <r>
    <n v="3"/>
    <d v="2025-06-10T00:00:00"/>
    <x v="2"/>
    <s v="FY 2025-26"/>
    <x v="6"/>
    <n v="694213"/>
    <n v="2.9"/>
    <n v="2013217"/>
    <n v="2013"/>
    <n v="2011204"/>
    <d v="2025-06-17T00:00:00"/>
    <x v="0"/>
    <s v="OK"/>
    <n v="0"/>
  </r>
  <r>
    <n v="4"/>
    <d v="2025-07-04T00:00:00"/>
    <x v="3"/>
    <s v="FY 2025-26"/>
    <x v="6"/>
    <n v="864747"/>
    <n v="2.9"/>
    <n v="2507767"/>
    <n v="2508"/>
    <n v="2505259"/>
    <d v="2025-07-11T00:00:00"/>
    <x v="0"/>
    <s v="OK"/>
    <n v="0"/>
  </r>
  <r>
    <n v="5"/>
    <d v="2025-08-18T00:00:00"/>
    <x v="4"/>
    <s v="FY 2025-26"/>
    <x v="6"/>
    <n v="537907"/>
    <n v="2.9"/>
    <n v="1559931"/>
    <n v="1560"/>
    <n v="1558371"/>
    <d v="2025-08-25T00:00:00"/>
    <x v="0"/>
    <s v="OK"/>
    <n v="0"/>
  </r>
  <r>
    <n v="6"/>
    <d v="2025-09-17T00:00:00"/>
    <x v="5"/>
    <s v="FY 2025-26"/>
    <x v="6"/>
    <n v="337010"/>
    <n v="2.9"/>
    <n v="977328"/>
    <n v="977"/>
    <n v="976351"/>
    <d v="2025-09-24T00:00:00"/>
    <x v="0"/>
    <s v="OK"/>
    <n v="0"/>
  </r>
  <r>
    <n v="7"/>
    <d v="2025-10-09T00:00:00"/>
    <x v="6"/>
    <s v="FY 2025-26"/>
    <x v="6"/>
    <n v="239036"/>
    <n v="2.9"/>
    <n v="693206"/>
    <n v="693"/>
    <n v="692513"/>
    <d v="2025-10-16T00:00:00"/>
    <x v="0"/>
    <s v="OK"/>
    <n v="0"/>
  </r>
  <r>
    <n v="8"/>
    <d v="2025-12-01T00:00:00"/>
    <x v="7"/>
    <s v="FY 2025-26"/>
    <x v="6"/>
    <n v="230110"/>
    <n v="2.9"/>
    <n v="667318"/>
    <n v="667"/>
    <n v="666650"/>
    <d v="2025-12-08T00:00:00"/>
    <x v="0"/>
    <s v="Review"/>
    <n v="1"/>
  </r>
  <r>
    <n v="9"/>
    <d v="2025-12-12T00:00:00"/>
    <x v="8"/>
    <s v="FY 2025-26"/>
    <x v="6"/>
    <n v="251404"/>
    <n v="2.9"/>
    <n v="729073"/>
    <n v="729"/>
    <n v="728344"/>
    <d v="2025-12-19T00:00:00"/>
    <x v="0"/>
    <s v="OK"/>
    <n v="0"/>
  </r>
  <r>
    <n v="10"/>
    <d v="2026-01-28T00:00:00"/>
    <x v="9"/>
    <s v="FY 2025-26"/>
    <x v="6"/>
    <n v="155774"/>
    <n v="2.9"/>
    <n v="451745"/>
    <n v="452"/>
    <n v="451293"/>
    <d v="2026-02-04T00:00:00"/>
    <x v="0"/>
    <s v="OK"/>
    <n v="0"/>
  </r>
  <r>
    <n v="11"/>
    <d v="2026-02-21T00:00:00"/>
    <x v="10"/>
    <s v="FY 2025-26"/>
    <x v="6"/>
    <n v="101237"/>
    <n v="2.9"/>
    <n v="293587"/>
    <n v="294"/>
    <n v="293294"/>
    <d v="2026-02-28T00:00:00"/>
    <x v="0"/>
    <s v="Review"/>
    <n v="-1"/>
  </r>
  <r>
    <n v="12"/>
    <d v="2026-03-24T00:00:00"/>
    <x v="11"/>
    <s v="FY 2025-26"/>
    <x v="6"/>
    <n v="150263"/>
    <n v="2.9"/>
    <n v="435762"/>
    <n v="436"/>
    <n v="435327"/>
    <d v="2026-03-31T00:00:00"/>
    <x v="0"/>
    <s v="Review"/>
    <n v="-1"/>
  </r>
  <r>
    <n v="1"/>
    <d v="2026-04-04T00:00:00"/>
    <x v="0"/>
    <s v="FY 2025-26"/>
    <x v="7"/>
    <n v="441827"/>
    <n v="2.67"/>
    <n v="1179678"/>
    <n v="1180"/>
    <n v="1178498"/>
    <d v="2026-04-19T00:00:00"/>
    <x v="0"/>
    <s v="OK"/>
    <n v="0"/>
  </r>
  <r>
    <n v="2"/>
    <d v="2025-05-14T00:00:00"/>
    <x v="1"/>
    <s v="FY 2025-26"/>
    <x v="7"/>
    <n v="626816"/>
    <n v="2.67"/>
    <n v="1673598"/>
    <n v="1674"/>
    <n v="1671924"/>
    <d v="2025-05-29T00:00:00"/>
    <x v="0"/>
    <s v="OK"/>
    <n v="0"/>
  </r>
  <r>
    <n v="3"/>
    <d v="2025-06-10T00:00:00"/>
    <x v="2"/>
    <s v="FY 2025-26"/>
    <x v="7"/>
    <n v="1655025"/>
    <n v="2.67"/>
    <n v="4418916"/>
    <n v="4419"/>
    <n v="4414497"/>
    <d v="2025-06-25T00:00:00"/>
    <x v="0"/>
    <s v="OK"/>
    <n v="0"/>
  </r>
  <r>
    <n v="4"/>
    <d v="2025-07-04T00:00:00"/>
    <x v="3"/>
    <s v="FY 2025-26"/>
    <x v="7"/>
    <n v="1651751"/>
    <n v="2.67"/>
    <n v="4410175"/>
    <n v="4410"/>
    <n v="4405765"/>
    <d v="2025-07-19T00:00:00"/>
    <x v="0"/>
    <s v="OK"/>
    <n v="0"/>
  </r>
  <r>
    <n v="5"/>
    <d v="2025-08-18T00:00:00"/>
    <x v="4"/>
    <s v="FY 2025-26"/>
    <x v="7"/>
    <n v="993951"/>
    <n v="2.67"/>
    <n v="2653850"/>
    <n v="2654"/>
    <n v="2651196"/>
    <d v="2025-09-02T00:00:00"/>
    <x v="1"/>
    <s v="OK"/>
    <n v="0"/>
  </r>
  <r>
    <n v="6"/>
    <d v="2025-09-17T00:00:00"/>
    <x v="5"/>
    <s v="FY 2025-26"/>
    <x v="7"/>
    <n v="691147"/>
    <n v="2.67"/>
    <n v="1845362"/>
    <n v="1845"/>
    <n v="1843517"/>
    <d v="2025-10-02T00:00:00"/>
    <x v="0"/>
    <s v="OK"/>
    <n v="0"/>
  </r>
  <r>
    <n v="7"/>
    <d v="2025-10-09T00:00:00"/>
    <x v="6"/>
    <s v="FY 2025-26"/>
    <x v="7"/>
    <n v="380298"/>
    <n v="2.67"/>
    <n v="1015396"/>
    <n v="1015"/>
    <n v="1014381"/>
    <d v="2025-10-24T00:00:00"/>
    <x v="0"/>
    <s v="OK"/>
    <n v="0"/>
  </r>
  <r>
    <n v="8"/>
    <d v="2025-12-01T00:00:00"/>
    <x v="7"/>
    <s v="FY 2025-26"/>
    <x v="7"/>
    <n v="590454"/>
    <n v="2.67"/>
    <n v="1576511"/>
    <n v="1577"/>
    <n v="1574935"/>
    <d v="2025-12-16T00:00:00"/>
    <x v="1"/>
    <s v="Review"/>
    <n v="-1"/>
  </r>
  <r>
    <n v="9"/>
    <d v="2025-12-12T00:00:00"/>
    <x v="8"/>
    <s v="FY 2025-26"/>
    <x v="7"/>
    <n v="753687"/>
    <n v="2.67"/>
    <n v="2012345"/>
    <n v="2012"/>
    <n v="2010332"/>
    <d v="2025-12-27T00:00:00"/>
    <x v="1"/>
    <s v="Review"/>
    <n v="1"/>
  </r>
  <r>
    <n v="10"/>
    <d v="2026-01-28T00:00:00"/>
    <x v="9"/>
    <s v="FY 2025-26"/>
    <x v="7"/>
    <n v="282805"/>
    <n v="2.67"/>
    <n v="755091"/>
    <n v="755"/>
    <n v="754335"/>
    <d v="2026-02-12T00:00:00"/>
    <x v="0"/>
    <s v="Review"/>
    <n v="1"/>
  </r>
  <r>
    <n v="11"/>
    <d v="2026-02-21T00:00:00"/>
    <x v="10"/>
    <s v="FY 2025-26"/>
    <x v="7"/>
    <n v="232502"/>
    <n v="2.67"/>
    <n v="620781"/>
    <n v="621"/>
    <n v="620160"/>
    <d v="2026-03-08T00:00:00"/>
    <x v="0"/>
    <s v="OK"/>
    <n v="0"/>
  </r>
  <r>
    <n v="12"/>
    <d v="2026-03-24T00:00:00"/>
    <x v="11"/>
    <s v="FY 2025-26"/>
    <x v="7"/>
    <n v="360310"/>
    <n v="2.67"/>
    <n v="962027"/>
    <n v="962"/>
    <n v="961065"/>
    <d v="2026-04-08T00:00:00"/>
    <x v="0"/>
    <s v="OK"/>
    <n v="0"/>
  </r>
  <r>
    <n v="1"/>
    <d v="2025-04-08T00:00:00"/>
    <x v="0"/>
    <s v="FY 2025-26"/>
    <x v="8"/>
    <n v="137022"/>
    <n v="3.4"/>
    <n v="465873"/>
    <n v="466"/>
    <n v="465408"/>
    <d v="2025-04-23T00:00:00"/>
    <x v="0"/>
    <s v="Review"/>
    <n v="-1"/>
  </r>
  <r>
    <n v="2"/>
    <d v="2025-05-12T00:00:00"/>
    <x v="1"/>
    <s v="FY 2025-26"/>
    <x v="8"/>
    <n v="264196"/>
    <n v="3.4"/>
    <n v="898266"/>
    <n v="898"/>
    <n v="897368"/>
    <d v="2025-05-27T00:00:00"/>
    <x v="0"/>
    <s v="OK"/>
    <n v="0"/>
  </r>
  <r>
    <n v="3"/>
    <d v="2025-06-09T00:00:00"/>
    <x v="2"/>
    <s v="FY 2025-26"/>
    <x v="8"/>
    <n v="423789"/>
    <n v="3.4"/>
    <n v="1440882"/>
    <n v="1441"/>
    <n v="1439441"/>
    <d v="2025-06-24T00:00:00"/>
    <x v="0"/>
    <s v="OK"/>
    <n v="0"/>
  </r>
  <r>
    <n v="4"/>
    <d v="2025-07-14T00:00:00"/>
    <x v="3"/>
    <s v="FY 2025-26"/>
    <x v="8"/>
    <n v="615882"/>
    <n v="3.4"/>
    <n v="2093999"/>
    <n v="2094"/>
    <n v="2091905"/>
    <d v="2025-07-29T00:00:00"/>
    <x v="0"/>
    <s v="OK"/>
    <n v="0"/>
  </r>
  <r>
    <n v="5"/>
    <d v="2025-08-14T00:00:00"/>
    <x v="4"/>
    <s v="FY 2025-26"/>
    <x v="8"/>
    <n v="508221"/>
    <n v="3.4"/>
    <n v="1727951"/>
    <n v="1728"/>
    <n v="1726223"/>
    <d v="2025-08-29T00:00:00"/>
    <x v="1"/>
    <s v="OK"/>
    <n v="0"/>
  </r>
  <r>
    <n v="6"/>
    <d v="2025-09-08T00:00:00"/>
    <x v="5"/>
    <s v="FY 2025-26"/>
    <x v="8"/>
    <n v="315109"/>
    <n v="3.4"/>
    <n v="1071369"/>
    <n v="1071"/>
    <n v="1070298"/>
    <d v="2025-09-23T00:00:00"/>
    <x v="0"/>
    <s v="OK"/>
    <n v="0"/>
  </r>
  <r>
    <n v="7"/>
    <d v="2025-10-27T00:00:00"/>
    <x v="6"/>
    <s v="FY 2025-26"/>
    <x v="8"/>
    <n v="227708"/>
    <n v="3.4"/>
    <n v="774208"/>
    <n v="774"/>
    <n v="773434"/>
    <d v="2025-11-11T00:00:00"/>
    <x v="0"/>
    <s v="OK"/>
    <n v="0"/>
  </r>
  <r>
    <n v="8"/>
    <d v="2025-11-12T00:00:00"/>
    <x v="7"/>
    <s v="FY 2025-26"/>
    <x v="8"/>
    <n v="191891"/>
    <n v="3.4"/>
    <n v="652430"/>
    <n v="652"/>
    <n v="651777"/>
    <d v="2025-11-27T00:00:00"/>
    <x v="1"/>
    <s v="Review"/>
    <n v="1"/>
  </r>
  <r>
    <n v="9"/>
    <d v="2025-12-12T00:00:00"/>
    <x v="8"/>
    <s v="FY 2025-26"/>
    <x v="8"/>
    <n v="250326"/>
    <n v="3.4"/>
    <n v="851110"/>
    <n v="851"/>
    <n v="850259"/>
    <d v="2025-12-27T00:00:00"/>
    <x v="1"/>
    <s v="OK"/>
    <n v="0"/>
  </r>
  <r>
    <n v="10"/>
    <d v="2026-01-08T00:00:00"/>
    <x v="9"/>
    <s v="FY 2025-26"/>
    <x v="8"/>
    <n v="114966"/>
    <n v="3.4"/>
    <n v="390885"/>
    <n v="391"/>
    <n v="390494"/>
    <d v="2026-01-23T00:00:00"/>
    <x v="1"/>
    <s v="OK"/>
    <n v="0"/>
  </r>
  <r>
    <n v="11"/>
    <d v="2026-02-20T00:00:00"/>
    <x v="10"/>
    <s v="FY 2025-26"/>
    <x v="8"/>
    <n v="101644"/>
    <n v="3.4"/>
    <n v="345589"/>
    <n v="346"/>
    <n v="345243"/>
    <d v="2026-03-07T00:00:00"/>
    <x v="1"/>
    <s v="OK"/>
    <n v="0"/>
  </r>
  <r>
    <n v="12"/>
    <d v="2026-03-07T00:00:00"/>
    <x v="11"/>
    <s v="FY 2025-26"/>
    <x v="8"/>
    <n v="94005"/>
    <n v="3.4"/>
    <n v="319617"/>
    <n v="320"/>
    <n v="319297"/>
    <d v="2026-03-22T00:00:00"/>
    <x v="0"/>
    <s v="OK"/>
    <n v="0"/>
  </r>
  <r>
    <n v="1"/>
    <d v="2025-05-12T00:00:00"/>
    <x v="0"/>
    <s v="FY 2025-26"/>
    <x v="9"/>
    <n v="250800"/>
    <n v="2.67"/>
    <n v="669636"/>
    <n v="670"/>
    <n v="668966"/>
    <d v="2025-05-27T00:00:00"/>
    <x v="0"/>
    <s v="OK"/>
    <n v="0"/>
  </r>
  <r>
    <n v="2"/>
    <d v="2025-06-10T00:00:00"/>
    <x v="1"/>
    <s v="FY 2025-26"/>
    <x v="9"/>
    <n v="695400"/>
    <n v="2.67"/>
    <n v="1856718"/>
    <n v="1857"/>
    <n v="1854861"/>
    <d v="2025-06-25T00:00:00"/>
    <x v="0"/>
    <s v="OK"/>
    <n v="0"/>
  </r>
  <r>
    <n v="3"/>
    <d v="2025-07-07T00:00:00"/>
    <x v="2"/>
    <s v="FY 2025-26"/>
    <x v="9"/>
    <n v="1079100"/>
    <n v="2.67"/>
    <n v="2881197"/>
    <n v="2881"/>
    <n v="2878316"/>
    <d v="2025-07-22T00:00:00"/>
    <x v="0"/>
    <s v="OK"/>
    <n v="0"/>
  </r>
  <r>
    <n v="4"/>
    <d v="2025-08-11T00:00:00"/>
    <x v="3"/>
    <s v="FY 2025-26"/>
    <x v="9"/>
    <n v="1250700"/>
    <n v="2.67"/>
    <n v="3339369"/>
    <n v="3339"/>
    <n v="3336030"/>
    <d v="2025-08-26T00:00:00"/>
    <x v="0"/>
    <s v="OK"/>
    <n v="0"/>
  </r>
  <r>
    <n v="5"/>
    <d v="2025-09-15T00:00:00"/>
    <x v="4"/>
    <s v="FY 2025-26"/>
    <x v="9"/>
    <n v="775500"/>
    <n v="2.67"/>
    <n v="2070585"/>
    <n v="2071"/>
    <n v="2068514"/>
    <d v="2025-09-30T00:00:00"/>
    <x v="0"/>
    <s v="OK"/>
    <n v="0"/>
  </r>
  <r>
    <n v="6"/>
    <d v="2025-10-08T00:00:00"/>
    <x v="5"/>
    <s v="FY 2025-26"/>
    <x v="9"/>
    <n v="572100"/>
    <n v="2.67"/>
    <n v="1527507"/>
    <n v="1528"/>
    <n v="1525979"/>
    <d v="2025-10-23T00:00:00"/>
    <x v="0"/>
    <s v="OK"/>
    <n v="0"/>
  </r>
  <r>
    <n v="7"/>
    <d v="2025-11-09T00:00:00"/>
    <x v="6"/>
    <s v="FY 2025-26"/>
    <x v="9"/>
    <n v="354900"/>
    <n v="2.67"/>
    <n v="947583"/>
    <n v="948"/>
    <n v="946635"/>
    <d v="2025-11-24T00:00:00"/>
    <x v="1"/>
    <s v="OK"/>
    <n v="0"/>
  </r>
  <r>
    <n v="8"/>
    <d v="2025-12-06T00:00:00"/>
    <x v="7"/>
    <s v="FY 2025-26"/>
    <x v="9"/>
    <n v="326700"/>
    <n v="2.67"/>
    <n v="872289"/>
    <n v="872"/>
    <n v="871417"/>
    <d v="2025-12-21T00:00:00"/>
    <x v="1"/>
    <s v="OK"/>
    <n v="0"/>
  </r>
  <r>
    <n v="9"/>
    <d v="2026-01-27T00:00:00"/>
    <x v="8"/>
    <s v="FY 2025-26"/>
    <x v="9"/>
    <n v="462000"/>
    <n v="2.67"/>
    <n v="1233540"/>
    <n v="1234"/>
    <n v="1232306"/>
    <d v="2026-02-11T00:00:00"/>
    <x v="1"/>
    <s v="OK"/>
    <n v="0"/>
  </r>
  <r>
    <n v="10"/>
    <d v="2026-02-21T00:00:00"/>
    <x v="9"/>
    <s v="FY 2025-26"/>
    <x v="9"/>
    <n v="431700"/>
    <n v="2.67"/>
    <n v="1152639"/>
    <n v="1153"/>
    <n v="1151486"/>
    <d v="2026-03-08T00:00:00"/>
    <x v="1"/>
    <s v="OK"/>
    <n v="0"/>
  </r>
  <r>
    <n v="11"/>
    <d v="2026-03-24T00:00:00"/>
    <x v="10"/>
    <s v="FY 2025-26"/>
    <x v="9"/>
    <n v="323100"/>
    <n v="2.67"/>
    <n v="862677"/>
    <n v="863"/>
    <n v="861814"/>
    <d v="2026-04-08T00:00:00"/>
    <x v="0"/>
    <s v="OK"/>
    <n v="0"/>
  </r>
  <r>
    <n v="12"/>
    <d v="2026-03-24T00:00:00"/>
    <x v="11"/>
    <s v="FY 2025-26"/>
    <x v="9"/>
    <n v="249900"/>
    <n v="2.67"/>
    <n v="667233"/>
    <n v="667"/>
    <n v="666566"/>
    <d v="2026-04-08T00:00:00"/>
    <x v="0"/>
    <s v="OK"/>
    <n v="0"/>
  </r>
  <r>
    <n v="1"/>
    <d v="2025-05-12T00:00:00"/>
    <x v="0"/>
    <s v="FY 2025-26"/>
    <x v="10"/>
    <n v="168457"/>
    <n v="2.67"/>
    <n v="449779"/>
    <n v="450"/>
    <n v="449330"/>
    <d v="2025-05-27T00:00:00"/>
    <x v="0"/>
    <s v="Review"/>
    <n v="-1"/>
  </r>
  <r>
    <n v="2"/>
    <d v="2025-06-10T00:00:00"/>
    <x v="1"/>
    <s v="FY 2025-26"/>
    <x v="10"/>
    <n v="191144"/>
    <n v="2.67"/>
    <n v="510354"/>
    <n v="510"/>
    <n v="509843"/>
    <d v="2025-06-25T00:00:00"/>
    <x v="0"/>
    <s v="Review"/>
    <n v="1"/>
  </r>
  <r>
    <n v="3"/>
    <d v="2025-07-07T00:00:00"/>
    <x v="2"/>
    <s v="FY 2025-26"/>
    <x v="10"/>
    <n v="370909"/>
    <n v="2.67"/>
    <n v="990327"/>
    <n v="990"/>
    <n v="989337"/>
    <d v="2025-07-22T00:00:00"/>
    <x v="0"/>
    <s v="OK"/>
    <n v="0"/>
  </r>
  <r>
    <n v="4"/>
    <d v="2025-08-11T00:00:00"/>
    <x v="3"/>
    <s v="FY 2025-26"/>
    <x v="10"/>
    <n v="406505"/>
    <n v="2.67"/>
    <n v="1085369"/>
    <n v="1085"/>
    <n v="1084283"/>
    <d v="2025-08-26T00:00:00"/>
    <x v="0"/>
    <s v="Review"/>
    <n v="1"/>
  </r>
  <r>
    <n v="5"/>
    <d v="2025-09-15T00:00:00"/>
    <x v="4"/>
    <s v="FY 2025-26"/>
    <x v="10"/>
    <n v="239028"/>
    <n v="2.67"/>
    <n v="638205"/>
    <n v="638"/>
    <n v="637567"/>
    <d v="2025-09-30T00:00:00"/>
    <x v="1"/>
    <s v="OK"/>
    <n v="0"/>
  </r>
  <r>
    <n v="6"/>
    <d v="2025-10-08T00:00:00"/>
    <x v="5"/>
    <s v="FY 2025-26"/>
    <x v="10"/>
    <n v="203462"/>
    <n v="2.67"/>
    <n v="543243"/>
    <n v="543"/>
    <n v="542700"/>
    <d v="2025-10-23T00:00:00"/>
    <x v="0"/>
    <s v="OK"/>
    <n v="0"/>
  </r>
  <r>
    <n v="7"/>
    <d v="2025-11-09T00:00:00"/>
    <x v="6"/>
    <s v="FY 2025-26"/>
    <x v="10"/>
    <n v="152718"/>
    <n v="2.67"/>
    <n v="407757"/>
    <n v="408"/>
    <n v="407349"/>
    <d v="2025-11-24T00:00:00"/>
    <x v="0"/>
    <s v="OK"/>
    <n v="0"/>
  </r>
  <r>
    <n v="8"/>
    <d v="2025-12-06T00:00:00"/>
    <x v="7"/>
    <s v="FY 2025-26"/>
    <x v="10"/>
    <n v="144096"/>
    <n v="2.67"/>
    <n v="384736"/>
    <n v="385"/>
    <n v="384352"/>
    <d v="2025-12-21T00:00:00"/>
    <x v="1"/>
    <s v="Review"/>
    <n v="-1"/>
  </r>
  <r>
    <n v="9"/>
    <d v="2026-01-27T00:00:00"/>
    <x v="8"/>
    <s v="FY 2025-26"/>
    <x v="10"/>
    <n v="197919"/>
    <n v="2.67"/>
    <n v="528443"/>
    <n v="528"/>
    <n v="527914"/>
    <d v="2026-02-11T00:00:00"/>
    <x v="1"/>
    <s v="Review"/>
    <n v="1"/>
  </r>
  <r>
    <n v="10"/>
    <d v="2026-02-21T00:00:00"/>
    <x v="9"/>
    <s v="FY 2025-26"/>
    <x v="10"/>
    <n v="87138"/>
    <n v="2.67"/>
    <n v="232658"/>
    <n v="233"/>
    <n v="232425"/>
    <d v="2026-03-08T00:00:00"/>
    <x v="0"/>
    <s v="OK"/>
    <n v="0"/>
  </r>
  <r>
    <n v="11"/>
    <d v="2026-03-24T00:00:00"/>
    <x v="10"/>
    <s v="FY 2025-26"/>
    <x v="10"/>
    <n v="62945"/>
    <n v="2.67"/>
    <n v="168062"/>
    <n v="168"/>
    <n v="167894"/>
    <d v="2026-04-08T00:00:00"/>
    <x v="0"/>
    <s v="OK"/>
    <n v="0"/>
  </r>
  <r>
    <n v="12"/>
    <d v="2026-03-24T00:00:00"/>
    <x v="11"/>
    <s v="FY 2025-26"/>
    <x v="10"/>
    <n v="76165"/>
    <n v="2.67"/>
    <n v="203360"/>
    <n v="203"/>
    <n v="203156"/>
    <d v="2026-04-08T00:00:00"/>
    <x v="0"/>
    <s v="Review"/>
    <n v="1"/>
  </r>
  <r>
    <n v="1"/>
    <d v="2025-04-08T00:00:00"/>
    <x v="0"/>
    <s v="FY 2025-26"/>
    <x v="11"/>
    <n v="95760"/>
    <n v="3.4"/>
    <n v="325584"/>
    <n v="326"/>
    <n v="325258"/>
    <d v="2025-04-18T00:00:00"/>
    <x v="0"/>
    <s v="OK"/>
    <n v="0"/>
  </r>
  <r>
    <n v="2"/>
    <d v="2025-05-12T00:00:00"/>
    <x v="1"/>
    <s v="FY 2025-26"/>
    <x v="11"/>
    <n v="329640"/>
    <n v="3.4"/>
    <n v="1120776"/>
    <n v="1121"/>
    <n v="1119655"/>
    <d v="2025-05-22T00:00:00"/>
    <x v="0"/>
    <s v="OK"/>
    <n v="0"/>
  </r>
  <r>
    <n v="3"/>
    <d v="2025-06-09T00:00:00"/>
    <x v="2"/>
    <s v="FY 2025-26"/>
    <x v="11"/>
    <n v="507120"/>
    <n v="3.4"/>
    <n v="1724208"/>
    <n v="1724"/>
    <n v="1722484"/>
    <d v="2025-06-19T00:00:00"/>
    <x v="0"/>
    <s v="OK"/>
    <n v="0"/>
  </r>
  <r>
    <n v="4"/>
    <d v="2025-07-14T00:00:00"/>
    <x v="3"/>
    <s v="FY 2025-26"/>
    <x v="11"/>
    <n v="557640"/>
    <n v="3.4"/>
    <n v="1895976"/>
    <n v="1896"/>
    <n v="1894080"/>
    <d v="2025-07-24T00:00:00"/>
    <x v="0"/>
    <s v="OK"/>
    <n v="0"/>
  </r>
  <r>
    <n v="5"/>
    <d v="2025-08-14T00:00:00"/>
    <x v="4"/>
    <s v="FY 2025-26"/>
    <x v="11"/>
    <n v="366120"/>
    <n v="3.4"/>
    <n v="1244808"/>
    <n v="1245"/>
    <n v="1243563"/>
    <d v="2025-08-24T00:00:00"/>
    <x v="1"/>
    <s v="OK"/>
    <n v="0"/>
  </r>
  <r>
    <n v="6"/>
    <d v="2025-09-08T00:00:00"/>
    <x v="5"/>
    <s v="FY 2025-26"/>
    <x v="11"/>
    <n v="324480"/>
    <n v="3.4"/>
    <n v="1103232"/>
    <n v="1103"/>
    <n v="1102129"/>
    <d v="2025-09-18T00:00:00"/>
    <x v="1"/>
    <s v="OK"/>
    <n v="0"/>
  </r>
  <r>
    <n v="7"/>
    <d v="2025-10-27T00:00:00"/>
    <x v="6"/>
    <s v="FY 2025-26"/>
    <x v="11"/>
    <n v="211560"/>
    <n v="3.4"/>
    <n v="719304"/>
    <n v="719"/>
    <n v="718585"/>
    <d v="2025-11-06T00:00:00"/>
    <x v="1"/>
    <s v="OK"/>
    <n v="0"/>
  </r>
  <r>
    <n v="8"/>
    <d v="2025-11-12T00:00:00"/>
    <x v="7"/>
    <s v="FY 2025-26"/>
    <x v="11"/>
    <n v="112920"/>
    <n v="3.4"/>
    <n v="383928"/>
    <n v="384"/>
    <n v="383544"/>
    <d v="2025-11-22T00:00:00"/>
    <x v="1"/>
    <s v="OK"/>
    <n v="0"/>
  </r>
  <r>
    <n v="9"/>
    <d v="2025-12-12T00:00:00"/>
    <x v="8"/>
    <s v="FY 2025-26"/>
    <x v="11"/>
    <n v="148800"/>
    <n v="3.4"/>
    <n v="505920"/>
    <n v="506"/>
    <n v="505414"/>
    <d v="2025-12-22T00:00:00"/>
    <x v="1"/>
    <s v="OK"/>
    <n v="0"/>
  </r>
  <r>
    <n v="10"/>
    <d v="2026-01-08T00:00:00"/>
    <x v="9"/>
    <s v="FY 2025-26"/>
    <x v="11"/>
    <n v="164880"/>
    <n v="3.4"/>
    <n v="560592"/>
    <n v="561"/>
    <n v="560031"/>
    <d v="2026-01-18T00:00:00"/>
    <x v="1"/>
    <s v="OK"/>
    <n v="0"/>
  </r>
  <r>
    <n v="11"/>
    <d v="2026-02-20T00:00:00"/>
    <x v="10"/>
    <s v="FY 2025-26"/>
    <x v="11"/>
    <n v="120840"/>
    <n v="3.4"/>
    <n v="410856"/>
    <n v="411"/>
    <n v="410445"/>
    <d v="2026-03-02T00:00:00"/>
    <x v="1"/>
    <s v="OK"/>
    <n v="0"/>
  </r>
  <r>
    <n v="12"/>
    <d v="2026-03-07T00:00:00"/>
    <x v="11"/>
    <s v="FY 2025-26"/>
    <x v="11"/>
    <n v="105720"/>
    <n v="3.4"/>
    <n v="359448"/>
    <n v="359"/>
    <n v="359089"/>
    <d v="2026-03-17T00:00:00"/>
    <x v="0"/>
    <s v="OK"/>
    <n v="0"/>
  </r>
  <r>
    <n v="1"/>
    <d v="2025-04-08T00:00:00"/>
    <x v="0"/>
    <s v="FY 2025-26"/>
    <x v="12"/>
    <n v="78720"/>
    <n v="3.4"/>
    <n v="267648"/>
    <n v="268"/>
    <n v="267380"/>
    <d v="2025-04-23T00:00:00"/>
    <x v="0"/>
    <s v="OK"/>
    <n v="0"/>
  </r>
  <r>
    <n v="2"/>
    <d v="2025-05-12T00:00:00"/>
    <x v="1"/>
    <s v="FY 2025-26"/>
    <x v="12"/>
    <n v="300480"/>
    <n v="3.4"/>
    <n v="1021632"/>
    <n v="1022"/>
    <n v="1020610"/>
    <d v="2025-05-27T00:00:00"/>
    <x v="0"/>
    <s v="OK"/>
    <n v="0"/>
  </r>
  <r>
    <n v="3"/>
    <d v="2025-06-09T00:00:00"/>
    <x v="2"/>
    <s v="FY 2025-26"/>
    <x v="12"/>
    <n v="447600"/>
    <n v="3.4"/>
    <n v="1521840"/>
    <n v="1522"/>
    <n v="1520318"/>
    <d v="2025-06-24T00:00:00"/>
    <x v="0"/>
    <s v="OK"/>
    <n v="0"/>
  </r>
  <r>
    <n v="4"/>
    <d v="2025-07-14T00:00:00"/>
    <x v="3"/>
    <s v="FY 2025-26"/>
    <x v="12"/>
    <n v="570960"/>
    <n v="3.4"/>
    <n v="1941264"/>
    <n v="1941"/>
    <n v="1939323"/>
    <d v="2025-07-29T00:00:00"/>
    <x v="0"/>
    <s v="OK"/>
    <n v="0"/>
  </r>
  <r>
    <n v="5"/>
    <d v="2025-08-14T00:00:00"/>
    <x v="4"/>
    <s v="FY 2025-26"/>
    <x v="12"/>
    <n v="331320"/>
    <n v="3.4"/>
    <n v="1126488"/>
    <n v="1126"/>
    <n v="1125362"/>
    <d v="2025-08-29T00:00:00"/>
    <x v="0"/>
    <s v="OK"/>
    <n v="0"/>
  </r>
  <r>
    <n v="6"/>
    <d v="2025-09-08T00:00:00"/>
    <x v="5"/>
    <s v="FY 2025-26"/>
    <x v="12"/>
    <n v="282960"/>
    <n v="3.4"/>
    <n v="962064"/>
    <n v="962"/>
    <n v="961102"/>
    <d v="2025-09-23T00:00:00"/>
    <x v="0"/>
    <s v="OK"/>
    <n v="0"/>
  </r>
  <r>
    <n v="7"/>
    <d v="2025-10-27T00:00:00"/>
    <x v="6"/>
    <s v="FY 2025-26"/>
    <x v="12"/>
    <n v="190920"/>
    <n v="3.4"/>
    <n v="649128"/>
    <n v="649"/>
    <n v="648479"/>
    <d v="2025-11-11T00:00:00"/>
    <x v="0"/>
    <s v="OK"/>
    <n v="0"/>
  </r>
  <r>
    <n v="8"/>
    <d v="2025-11-12T00:00:00"/>
    <x v="7"/>
    <s v="FY 2025-26"/>
    <x v="12"/>
    <n v="121920"/>
    <n v="3.4"/>
    <n v="414528"/>
    <n v="415"/>
    <n v="414113"/>
    <d v="2025-11-27T00:00:00"/>
    <x v="0"/>
    <s v="OK"/>
    <n v="0"/>
  </r>
  <r>
    <n v="9"/>
    <d v="2025-12-12T00:00:00"/>
    <x v="8"/>
    <s v="FY 2025-26"/>
    <x v="12"/>
    <n v="188520"/>
    <n v="3.4"/>
    <n v="640968"/>
    <n v="641"/>
    <n v="640327"/>
    <d v="2025-12-27T00:00:00"/>
    <x v="0"/>
    <s v="OK"/>
    <n v="0"/>
  </r>
  <r>
    <n v="10"/>
    <d v="2026-01-08T00:00:00"/>
    <x v="9"/>
    <s v="FY 2025-26"/>
    <x v="12"/>
    <n v="174000"/>
    <n v="3.4"/>
    <n v="591600"/>
    <n v="592"/>
    <n v="591008"/>
    <d v="2026-01-23T00:00:00"/>
    <x v="0"/>
    <s v="OK"/>
    <n v="0"/>
  </r>
  <r>
    <n v="11"/>
    <d v="2026-02-20T00:00:00"/>
    <x v="10"/>
    <s v="FY 2025-26"/>
    <x v="12"/>
    <n v="132240"/>
    <n v="3.4"/>
    <n v="449616"/>
    <n v="450"/>
    <n v="449166"/>
    <d v="2026-03-07T00:00:00"/>
    <x v="0"/>
    <s v="OK"/>
    <n v="0"/>
  </r>
  <r>
    <n v="12"/>
    <d v="2026-03-07T00:00:00"/>
    <x v="11"/>
    <s v="FY 2025-26"/>
    <x v="12"/>
    <n v="92880"/>
    <n v="3.4"/>
    <n v="315792"/>
    <n v="316"/>
    <n v="315476"/>
    <d v="2026-03-22T00:00:00"/>
    <x v="0"/>
    <s v="OK"/>
    <n v="0"/>
  </r>
  <r>
    <n v="1"/>
    <d v="2025-05-05T00:00:00"/>
    <x v="0"/>
    <s v="FY 2025-26"/>
    <x v="13"/>
    <n v="72960"/>
    <n v="3.4"/>
    <n v="248064"/>
    <n v="248"/>
    <n v="247816"/>
    <d v="2025-05-20T00:00:00"/>
    <x v="0"/>
    <s v="OK"/>
    <n v="0"/>
  </r>
  <r>
    <n v="2"/>
    <d v="2025-05-28T00:00:00"/>
    <x v="1"/>
    <s v="FY 2025-26"/>
    <x v="13"/>
    <n v="265800"/>
    <n v="3.4"/>
    <n v="903720"/>
    <n v="904"/>
    <n v="902816"/>
    <d v="2025-06-12T00:00:00"/>
    <x v="0"/>
    <s v="OK"/>
    <n v="0"/>
  </r>
  <r>
    <n v="3"/>
    <d v="2025-06-26T00:00:00"/>
    <x v="2"/>
    <s v="FY 2025-26"/>
    <x v="13"/>
    <n v="436680"/>
    <n v="3.4"/>
    <n v="1484712"/>
    <n v="1485"/>
    <n v="1483227"/>
    <d v="2025-07-11T00:00:00"/>
    <x v="0"/>
    <s v="OK"/>
    <n v="0"/>
  </r>
  <r>
    <n v="4"/>
    <d v="2025-07-16T00:00:00"/>
    <x v="3"/>
    <s v="FY 2025-26"/>
    <x v="13"/>
    <n v="543960"/>
    <n v="3.4"/>
    <n v="1849464"/>
    <n v="1849"/>
    <n v="1847615"/>
    <d v="2025-07-31T00:00:00"/>
    <x v="0"/>
    <s v="OK"/>
    <n v="0"/>
  </r>
  <r>
    <n v="5"/>
    <d v="2025-08-18T00:00:00"/>
    <x v="4"/>
    <s v="FY 2025-26"/>
    <x v="13"/>
    <n v="314760"/>
    <n v="3.4"/>
    <n v="1070184"/>
    <n v="1070"/>
    <n v="1069114"/>
    <d v="2025-09-02T00:00:00"/>
    <x v="1"/>
    <s v="OK"/>
    <n v="0"/>
  </r>
  <r>
    <n v="6"/>
    <d v="2025-09-12T00:00:00"/>
    <x v="5"/>
    <s v="FY 2025-26"/>
    <x v="13"/>
    <n v="293880"/>
    <n v="3.4"/>
    <n v="999192"/>
    <n v="999"/>
    <n v="998193"/>
    <d v="2025-09-27T00:00:00"/>
    <x v="0"/>
    <s v="OK"/>
    <n v="0"/>
  </r>
  <r>
    <n v="7"/>
    <d v="2025-10-16T00:00:00"/>
    <x v="6"/>
    <s v="FY 2025-26"/>
    <x v="13"/>
    <n v="160320"/>
    <n v="3.4"/>
    <n v="545088"/>
    <n v="545"/>
    <n v="544543"/>
    <d v="2025-10-31T00:00:00"/>
    <x v="0"/>
    <s v="OK"/>
    <n v="0"/>
  </r>
  <r>
    <n v="8"/>
    <d v="2025-12-01T00:00:00"/>
    <x v="7"/>
    <s v="FY 2025-26"/>
    <x v="13"/>
    <n v="81600"/>
    <n v="3.4"/>
    <n v="277440"/>
    <n v="277"/>
    <n v="277163"/>
    <d v="2025-12-16T00:00:00"/>
    <x v="1"/>
    <s v="OK"/>
    <n v="0"/>
  </r>
  <r>
    <n v="9"/>
    <d v="2025-12-12T00:00:00"/>
    <x v="8"/>
    <s v="FY 2025-26"/>
    <x v="13"/>
    <n v="120960"/>
    <n v="3.4"/>
    <n v="411264"/>
    <n v="411"/>
    <n v="410853"/>
    <d v="2025-12-27T00:00:00"/>
    <x v="1"/>
    <s v="OK"/>
    <n v="0"/>
  </r>
  <r>
    <n v="10"/>
    <d v="2026-01-07T00:00:00"/>
    <x v="9"/>
    <s v="FY 2025-26"/>
    <x v="13"/>
    <n v="130320"/>
    <n v="3.4"/>
    <n v="443088"/>
    <n v="443"/>
    <n v="442645"/>
    <d v="2026-01-22T00:00:00"/>
    <x v="0"/>
    <s v="OK"/>
    <n v="0"/>
  </r>
  <r>
    <n v="11"/>
    <d v="2026-02-21T00:00:00"/>
    <x v="10"/>
    <s v="FY 2025-26"/>
    <x v="13"/>
    <n v="93240"/>
    <n v="3.4"/>
    <n v="317016"/>
    <n v="317"/>
    <n v="316699"/>
    <d v="2026-03-08T00:00:00"/>
    <x v="0"/>
    <s v="OK"/>
    <n v="0"/>
  </r>
  <r>
    <n v="12"/>
    <d v="2026-03-31T00:00:00"/>
    <x v="11"/>
    <s v="FY 2025-26"/>
    <x v="13"/>
    <n v="78120"/>
    <n v="3.4"/>
    <n v="265608"/>
    <n v="266"/>
    <n v="265342"/>
    <d v="2026-04-15T00:00:00"/>
    <x v="0"/>
    <s v="OK"/>
    <n v="0"/>
  </r>
  <r>
    <n v="1"/>
    <d v="2025-05-12T00:00:00"/>
    <x v="0"/>
    <s v="FY 2025-26"/>
    <x v="14"/>
    <n v="65022"/>
    <n v="2.66"/>
    <n v="172959"/>
    <n v="173"/>
    <n v="172786"/>
    <d v="2025-05-27T00:00:00"/>
    <x v="0"/>
    <s v="OK"/>
    <n v="0"/>
  </r>
  <r>
    <n v="2"/>
    <d v="2025-06-10T00:00:00"/>
    <x v="1"/>
    <s v="FY 2025-26"/>
    <x v="14"/>
    <n v="413562"/>
    <n v="2.66"/>
    <n v="1100075"/>
    <n v="1100"/>
    <n v="1098975"/>
    <d v="2025-06-25T00:00:00"/>
    <x v="0"/>
    <s v="OK"/>
    <n v="0"/>
  </r>
  <r>
    <n v="3"/>
    <d v="2025-07-07T00:00:00"/>
    <x v="2"/>
    <s v="FY 2025-26"/>
    <x v="14"/>
    <n v="698968"/>
    <n v="2.66"/>
    <n v="1859255"/>
    <n v="1859"/>
    <n v="1857396"/>
    <d v="2025-07-22T00:00:00"/>
    <x v="0"/>
    <s v="OK"/>
    <n v="0"/>
  </r>
  <r>
    <n v="4"/>
    <d v="2025-08-11T00:00:00"/>
    <x v="3"/>
    <s v="FY 2025-26"/>
    <x v="14"/>
    <n v="774886"/>
    <n v="2.66"/>
    <n v="2061197"/>
    <n v="2061"/>
    <n v="2059136"/>
    <d v="2025-08-26T00:00:00"/>
    <x v="0"/>
    <s v="OK"/>
    <n v="0"/>
  </r>
  <r>
    <n v="5"/>
    <d v="2025-09-15T00:00:00"/>
    <x v="4"/>
    <s v="FY 2025-26"/>
    <x v="14"/>
    <n v="553290"/>
    <n v="2.66"/>
    <n v="1471751"/>
    <n v="1472"/>
    <n v="1470280"/>
    <d v="2025-09-30T00:00:00"/>
    <x v="1"/>
    <s v="Review"/>
    <n v="-1"/>
  </r>
  <r>
    <n v="6"/>
    <d v="2025-10-08T00:00:00"/>
    <x v="5"/>
    <s v="FY 2025-26"/>
    <x v="14"/>
    <n v="535034"/>
    <n v="2.66"/>
    <n v="1423190"/>
    <n v="1423"/>
    <n v="1421767"/>
    <d v="2025-10-23T00:00:00"/>
    <x v="0"/>
    <s v="OK"/>
    <n v="0"/>
  </r>
  <r>
    <n v="7"/>
    <d v="2025-11-09T00:00:00"/>
    <x v="6"/>
    <s v="FY 2025-26"/>
    <x v="14"/>
    <n v="180214"/>
    <n v="2.66"/>
    <n v="479369"/>
    <n v="479"/>
    <n v="478890"/>
    <d v="2025-11-24T00:00:00"/>
    <x v="0"/>
    <s v="OK"/>
    <n v="0"/>
  </r>
  <r>
    <n v="8"/>
    <d v="2025-12-06T00:00:00"/>
    <x v="7"/>
    <s v="FY 2025-26"/>
    <x v="14"/>
    <n v="62608"/>
    <n v="2.66"/>
    <n v="166537"/>
    <n v="167"/>
    <n v="166371"/>
    <d v="2025-12-21T00:00:00"/>
    <x v="1"/>
    <s v="Review"/>
    <n v="-1"/>
  </r>
  <r>
    <n v="9"/>
    <d v="2026-01-27T00:00:00"/>
    <x v="8"/>
    <s v="FY 2025-26"/>
    <x v="14"/>
    <n v="44072"/>
    <n v="2.66"/>
    <n v="117232"/>
    <n v="117"/>
    <n v="117114"/>
    <d v="2026-02-11T00:00:00"/>
    <x v="1"/>
    <s v="Review"/>
    <n v="1"/>
  </r>
  <r>
    <n v="10"/>
    <d v="2026-02-21T00:00:00"/>
    <x v="9"/>
    <s v="FY 2025-26"/>
    <x v="14"/>
    <n v="51382"/>
    <n v="2.66"/>
    <n v="136676"/>
    <n v="137"/>
    <n v="136539"/>
    <d v="2026-03-08T00:00:00"/>
    <x v="1"/>
    <s v="OK"/>
    <n v="0"/>
  </r>
  <r>
    <n v="11"/>
    <d v="2026-03-24T00:00:00"/>
    <x v="10"/>
    <s v="FY 2025-26"/>
    <x v="14"/>
    <n v="44156"/>
    <n v="2.66"/>
    <n v="117455"/>
    <n v="117"/>
    <n v="117338"/>
    <d v="2026-04-08T00:00:00"/>
    <x v="1"/>
    <s v="OK"/>
    <n v="0"/>
  </r>
  <r>
    <n v="12"/>
    <d v="2026-03-24T00:00:00"/>
    <x v="11"/>
    <s v="FY 2025-26"/>
    <x v="14"/>
    <n v="35926"/>
    <n v="2.66"/>
    <n v="95563"/>
    <n v="96"/>
    <n v="95468"/>
    <d v="2026-04-08T00:00:00"/>
    <x v="0"/>
    <s v="Review"/>
    <n v="-1"/>
  </r>
  <r>
    <n v="1"/>
    <d v="2025-05-12T00:00:00"/>
    <x v="0"/>
    <s v="FY 2025-26"/>
    <x v="15"/>
    <n v="71310"/>
    <n v="2.7"/>
    <n v="192537"/>
    <n v="193"/>
    <n v="192344"/>
    <d v="2025-07-11T00:00:00"/>
    <x v="0"/>
    <s v="OK"/>
    <n v="0"/>
  </r>
  <r>
    <n v="2"/>
    <d v="2025-06-10T00:00:00"/>
    <x v="1"/>
    <s v="FY 2025-26"/>
    <x v="15"/>
    <n v="426274"/>
    <n v="2.7"/>
    <n v="1150940"/>
    <n v="1151"/>
    <n v="1149789"/>
    <d v="2025-08-09T00:00:00"/>
    <x v="0"/>
    <s v="OK"/>
    <n v="0"/>
  </r>
  <r>
    <n v="3"/>
    <d v="2025-07-07T00:00:00"/>
    <x v="2"/>
    <s v="FY 2025-26"/>
    <x v="15"/>
    <n v="725368"/>
    <n v="2.7"/>
    <n v="1958494"/>
    <n v="1958"/>
    <n v="1956535"/>
    <d v="2025-09-05T00:00:00"/>
    <x v="0"/>
    <s v="Review"/>
    <n v="1"/>
  </r>
  <r>
    <n v="4"/>
    <d v="2025-08-11T00:00:00"/>
    <x v="3"/>
    <s v="FY 2025-26"/>
    <x v="15"/>
    <n v="806478"/>
    <n v="2.7"/>
    <n v="2177491"/>
    <n v="2177"/>
    <n v="2175313"/>
    <d v="2025-10-10T00:00:00"/>
    <x v="0"/>
    <s v="Review"/>
    <n v="1"/>
  </r>
  <r>
    <n v="5"/>
    <d v="2025-09-15T00:00:00"/>
    <x v="4"/>
    <s v="FY 2025-26"/>
    <x v="15"/>
    <n v="581134"/>
    <n v="2.7"/>
    <n v="1569062"/>
    <n v="1569"/>
    <n v="1567493"/>
    <d v="2025-11-14T00:00:00"/>
    <x v="0"/>
    <s v="OK"/>
    <n v="0"/>
  </r>
  <r>
    <n v="6"/>
    <d v="2025-10-08T00:00:00"/>
    <x v="5"/>
    <s v="FY 2025-26"/>
    <x v="15"/>
    <n v="567424"/>
    <n v="2.7"/>
    <n v="1532045"/>
    <n v="1532"/>
    <n v="1530513"/>
    <d v="2025-12-07T00:00:00"/>
    <x v="0"/>
    <s v="OK"/>
    <n v="0"/>
  </r>
  <r>
    <n v="7"/>
    <d v="2025-11-09T00:00:00"/>
    <x v="6"/>
    <s v="FY 2025-26"/>
    <x v="15"/>
    <n v="190720"/>
    <n v="2.7"/>
    <n v="514944"/>
    <n v="515"/>
    <n v="514429"/>
    <d v="2026-01-08T00:00:00"/>
    <x v="0"/>
    <s v="OK"/>
    <n v="0"/>
  </r>
  <r>
    <n v="8"/>
    <d v="2025-12-06T00:00:00"/>
    <x v="7"/>
    <s v="FY 2025-26"/>
    <x v="15"/>
    <n v="65346"/>
    <n v="2.7"/>
    <n v="176434"/>
    <n v="176"/>
    <n v="176258"/>
    <d v="2026-02-04T00:00:00"/>
    <x v="0"/>
    <s v="OK"/>
    <n v="0"/>
  </r>
  <r>
    <n v="9"/>
    <d v="2026-01-27T00:00:00"/>
    <x v="8"/>
    <s v="FY 2025-26"/>
    <x v="15"/>
    <n v="51492"/>
    <n v="2.7"/>
    <n v="139028"/>
    <n v="139"/>
    <n v="138889"/>
    <d v="2026-03-28T00:00:00"/>
    <x v="0"/>
    <s v="OK"/>
    <n v="0"/>
  </r>
  <r>
    <n v="10"/>
    <d v="2026-02-21T00:00:00"/>
    <x v="9"/>
    <s v="FY 2025-26"/>
    <x v="15"/>
    <n v="52996"/>
    <n v="2.7"/>
    <n v="143089"/>
    <n v="143"/>
    <n v="142946"/>
    <d v="2026-04-22T00:00:00"/>
    <x v="0"/>
    <s v="OK"/>
    <n v="0"/>
  </r>
  <r>
    <n v="11"/>
    <d v="2026-03-24T00:00:00"/>
    <x v="10"/>
    <s v="FY 2025-26"/>
    <x v="15"/>
    <n v="46190"/>
    <n v="2.7"/>
    <n v="124713"/>
    <n v="125"/>
    <n v="124588"/>
    <d v="2026-05-23T00:00:00"/>
    <x v="0"/>
    <s v="OK"/>
    <n v="0"/>
  </r>
  <r>
    <n v="12"/>
    <d v="2026-03-24T00:00:00"/>
    <x v="11"/>
    <s v="FY 2025-26"/>
    <x v="15"/>
    <n v="34570"/>
    <n v="2.7"/>
    <n v="93339"/>
    <n v="93"/>
    <n v="93246"/>
    <d v="2026-05-23T00:00:00"/>
    <x v="0"/>
    <s v="OK"/>
    <n v="0"/>
  </r>
  <r>
    <n v="1"/>
    <d v="2025-04-07T00:00:00"/>
    <x v="0"/>
    <s v="FY 2025-26"/>
    <x v="16"/>
    <n v="64986"/>
    <n v="3.39"/>
    <n v="220303"/>
    <n v="220"/>
    <n v="220082"/>
    <d v="2025-06-06T00:00:00"/>
    <x v="0"/>
    <s v="Review"/>
    <n v="1"/>
  </r>
  <r>
    <n v="2"/>
    <d v="2025-06-09T00:00:00"/>
    <x v="1"/>
    <s v="FY 2025-26"/>
    <x v="16"/>
    <n v="420252"/>
    <n v="3.39"/>
    <n v="1424654"/>
    <n v="1425"/>
    <n v="1423230"/>
    <d v="2025-08-08T00:00:00"/>
    <x v="0"/>
    <s v="Review"/>
    <n v="-1"/>
  </r>
  <r>
    <n v="3"/>
    <d v="2025-06-09T00:00:00"/>
    <x v="2"/>
    <s v="FY 2025-26"/>
    <x v="16"/>
    <n v="711634"/>
    <n v="3.39"/>
    <n v="2412439"/>
    <n v="2412"/>
    <n v="2410027"/>
    <d v="2025-08-08T00:00:00"/>
    <x v="0"/>
    <s v="OK"/>
    <n v="0"/>
  </r>
  <r>
    <n v="4"/>
    <d v="2025-07-14T00:00:00"/>
    <x v="3"/>
    <s v="FY 2025-26"/>
    <x v="16"/>
    <n v="815826"/>
    <n v="3.39"/>
    <n v="2765650"/>
    <n v="2766"/>
    <n v="2762884"/>
    <d v="2025-09-12T00:00:00"/>
    <x v="0"/>
    <s v="OK"/>
    <n v="0"/>
  </r>
  <r>
    <n v="5"/>
    <d v="2025-08-16T00:00:00"/>
    <x v="4"/>
    <s v="FY 2025-26"/>
    <x v="16"/>
    <n v="568096"/>
    <n v="3.39"/>
    <n v="1925845"/>
    <n v="1926"/>
    <n v="1923920"/>
    <d v="2025-10-15T00:00:00"/>
    <x v="1"/>
    <s v="Review"/>
    <n v="-1"/>
  </r>
  <r>
    <n v="6"/>
    <d v="2025-09-08T00:00:00"/>
    <x v="5"/>
    <s v="FY 2025-26"/>
    <x v="16"/>
    <n v="517522"/>
    <n v="3.39"/>
    <n v="1754400"/>
    <n v="1754"/>
    <n v="1752645"/>
    <d v="2025-11-07T00:00:00"/>
    <x v="0"/>
    <s v="Review"/>
    <n v="1"/>
  </r>
  <r>
    <n v="7"/>
    <d v="2025-10-14T00:00:00"/>
    <x v="6"/>
    <s v="FY 2025-26"/>
    <x v="16"/>
    <n v="182192"/>
    <n v="3.39"/>
    <n v="617631"/>
    <n v="618"/>
    <n v="617013"/>
    <d v="2025-12-13T00:00:00"/>
    <x v="0"/>
    <s v="OK"/>
    <n v="0"/>
  </r>
  <r>
    <n v="8"/>
    <d v="2025-11-12T00:00:00"/>
    <x v="7"/>
    <s v="FY 2025-26"/>
    <x v="16"/>
    <n v="70412"/>
    <n v="3.39"/>
    <n v="238697"/>
    <n v="239"/>
    <n v="238458"/>
    <d v="2026-01-11T00:00:00"/>
    <x v="1"/>
    <s v="OK"/>
    <n v="0"/>
  </r>
  <r>
    <n v="9"/>
    <d v="2025-12-05T00:00:00"/>
    <x v="8"/>
    <s v="FY 2025-26"/>
    <x v="16"/>
    <n v="51260"/>
    <n v="3.39"/>
    <n v="173771"/>
    <n v="174"/>
    <n v="173598"/>
    <d v="2026-02-03T00:00:00"/>
    <x v="1"/>
    <s v="Review"/>
    <n v="-1"/>
  </r>
  <r>
    <n v="10"/>
    <d v="2025-01-07T00:00:00"/>
    <x v="9"/>
    <s v="FY 2025-26"/>
    <x v="16"/>
    <n v="66704"/>
    <n v="3.39"/>
    <n v="226127"/>
    <n v="226"/>
    <n v="225900"/>
    <d v="2025-03-08T00:00:00"/>
    <x v="0"/>
    <s v="Review"/>
    <n v="1"/>
  </r>
  <r>
    <n v="11"/>
    <d v="2025-02-20T00:00:00"/>
    <x v="10"/>
    <s v="FY 2025-26"/>
    <x v="16"/>
    <n v="49396"/>
    <n v="3.39"/>
    <n v="167452"/>
    <n v="167"/>
    <n v="167285"/>
    <d v="2025-04-21T00:00:00"/>
    <x v="0"/>
    <s v="OK"/>
    <n v="0"/>
  </r>
  <r>
    <n v="12"/>
    <d v="2026-03-07T00:00:00"/>
    <x v="11"/>
    <s v="FY 2025-26"/>
    <x v="16"/>
    <n v="38300"/>
    <n v="3.39"/>
    <n v="129837"/>
    <n v="130"/>
    <n v="129707"/>
    <d v="2026-05-06T00:00:00"/>
    <x v="0"/>
    <s v="OK"/>
    <n v="0"/>
  </r>
  <r>
    <n v="1"/>
    <d v="2025-04-07T00:00:00"/>
    <x v="0"/>
    <s v="FY 2025-26"/>
    <x v="17"/>
    <n v="70940"/>
    <n v="2.2000000000000002"/>
    <n v="156068"/>
    <n v="156"/>
    <n v="155912"/>
    <d v="2025-04-17T00:00:00"/>
    <x v="0"/>
    <s v="OK"/>
    <n v="0"/>
  </r>
  <r>
    <n v="2"/>
    <d v="2025-06-09T00:00:00"/>
    <x v="1"/>
    <s v="FY 2025-26"/>
    <x v="17"/>
    <n v="150951"/>
    <n v="2.2000000000000002"/>
    <n v="332093"/>
    <n v="332"/>
    <n v="331761"/>
    <d v="2025-06-19T00:00:00"/>
    <x v="0"/>
    <s v="OK"/>
    <n v="0"/>
  </r>
  <r>
    <n v="3"/>
    <d v="2025-06-09T00:00:00"/>
    <x v="2"/>
    <s v="FY 2025-26"/>
    <x v="17"/>
    <n v="300171"/>
    <n v="2.2000000000000002"/>
    <n v="660376"/>
    <n v="660"/>
    <n v="659715"/>
    <d v="2025-06-19T00:00:00"/>
    <x v="0"/>
    <s v="Review"/>
    <n v="1"/>
  </r>
  <r>
    <n v="4"/>
    <d v="2025-07-14T00:00:00"/>
    <x v="3"/>
    <s v="FY 2025-26"/>
    <x v="17"/>
    <n v="430253"/>
    <n v="2.2000000000000002"/>
    <n v="946557"/>
    <n v="947"/>
    <n v="945610"/>
    <d v="2025-07-24T00:00:00"/>
    <x v="0"/>
    <s v="OK"/>
    <n v="0"/>
  </r>
  <r>
    <n v="5"/>
    <d v="2025-08-16T00:00:00"/>
    <x v="4"/>
    <s v="FY 2025-26"/>
    <x v="17"/>
    <n v="398629"/>
    <n v="2.2000000000000002"/>
    <n v="876983"/>
    <n v="877"/>
    <n v="876106"/>
    <d v="2025-08-26T00:00:00"/>
    <x v="1"/>
    <s v="OK"/>
    <n v="0"/>
  </r>
  <r>
    <n v="6"/>
    <d v="2025-09-08T00:00:00"/>
    <x v="5"/>
    <s v="FY 2025-26"/>
    <x v="17"/>
    <n v="243049"/>
    <n v="2.2000000000000002"/>
    <n v="534708"/>
    <n v="535"/>
    <n v="534173"/>
    <d v="2025-09-18T00:00:00"/>
    <x v="1"/>
    <s v="OK"/>
    <n v="0"/>
  </r>
  <r>
    <n v="7"/>
    <d v="2025-10-14T00:00:00"/>
    <x v="6"/>
    <s v="FY 2025-26"/>
    <x v="17"/>
    <n v="131227"/>
    <n v="2.2000000000000002"/>
    <n v="288699"/>
    <n v="289"/>
    <n v="288411"/>
    <d v="2025-10-24T00:00:00"/>
    <x v="1"/>
    <s v="Review"/>
    <n v="-1"/>
  </r>
  <r>
    <n v="8"/>
    <d v="2025-11-12T00:00:00"/>
    <x v="7"/>
    <s v="FY 2025-26"/>
    <x v="17"/>
    <n v="115746"/>
    <n v="2.2000000000000002"/>
    <n v="254641"/>
    <n v="255"/>
    <n v="254387"/>
    <d v="2025-11-22T00:00:00"/>
    <x v="1"/>
    <s v="Review"/>
    <n v="-1"/>
  </r>
  <r>
    <n v="9"/>
    <d v="2025-12-05T00:00:00"/>
    <x v="8"/>
    <s v="FY 2025-26"/>
    <x v="17"/>
    <n v="191232"/>
    <n v="2.2000000000000002"/>
    <n v="420710"/>
    <n v="421"/>
    <n v="420289"/>
    <d v="2025-12-15T00:00:00"/>
    <x v="1"/>
    <s v="OK"/>
    <n v="0"/>
  </r>
  <r>
    <n v="10"/>
    <d v="2025-01-07T00:00:00"/>
    <x v="9"/>
    <s v="FY 2025-26"/>
    <x v="17"/>
    <n v="61840"/>
    <n v="2.2000000000000002"/>
    <n v="136049"/>
    <n v="136"/>
    <n v="135913"/>
    <d v="2025-01-17T00:00:00"/>
    <x v="1"/>
    <s v="OK"/>
    <n v="0"/>
  </r>
  <r>
    <n v="11"/>
    <d v="2025-02-20T00:00:00"/>
    <x v="10"/>
    <s v="FY 2025-26"/>
    <x v="17"/>
    <n v="42031"/>
    <n v="2.2000000000000002"/>
    <n v="92469"/>
    <n v="92"/>
    <n v="92377"/>
    <d v="2025-03-02T00:00:00"/>
    <x v="1"/>
    <s v="OK"/>
    <n v="0"/>
  </r>
  <r>
    <n v="12"/>
    <d v="2026-03-07T00:00:00"/>
    <x v="11"/>
    <s v="FY 2025-26"/>
    <x v="17"/>
    <n v="58870"/>
    <n v="2.2000000000000002"/>
    <n v="129515"/>
    <n v="130"/>
    <n v="129385"/>
    <d v="2026-03-17T00:00:00"/>
    <x v="0"/>
    <s v="OK"/>
    <n v="0"/>
  </r>
  <r>
    <n v="1"/>
    <d v="2025-04-07T00:00:00"/>
    <x v="0"/>
    <s v="FY 2025-26"/>
    <x v="18"/>
    <n v="150910"/>
    <n v="2.2000000000000002"/>
    <n v="332002"/>
    <n v="332"/>
    <n v="331670"/>
    <d v="2025-04-14T00:00:00"/>
    <x v="0"/>
    <s v="OK"/>
    <n v="0"/>
  </r>
  <r>
    <n v="2"/>
    <d v="2025-06-09T00:00:00"/>
    <x v="1"/>
    <s v="FY 2025-26"/>
    <x v="18"/>
    <n v="297003"/>
    <n v="2.2000000000000002"/>
    <n v="653407"/>
    <n v="653"/>
    <n v="652753"/>
    <d v="2025-06-16T00:00:00"/>
    <x v="0"/>
    <s v="Review"/>
    <n v="1"/>
  </r>
  <r>
    <n v="3"/>
    <d v="2025-06-09T00:00:00"/>
    <x v="2"/>
    <s v="FY 2025-26"/>
    <x v="18"/>
    <n v="912130"/>
    <n v="2.2000000000000002"/>
    <n v="2006686"/>
    <n v="2007"/>
    <n v="2004679"/>
    <d v="2025-06-16T00:00:00"/>
    <x v="0"/>
    <s v="OK"/>
    <n v="0"/>
  </r>
  <r>
    <n v="4"/>
    <d v="2025-07-14T00:00:00"/>
    <x v="3"/>
    <s v="FY 2025-26"/>
    <x v="18"/>
    <n v="1162156"/>
    <n v="2.2000000000000002"/>
    <n v="2556743"/>
    <n v="2557"/>
    <n v="2554186"/>
    <d v="2025-07-21T00:00:00"/>
    <x v="0"/>
    <s v="OK"/>
    <n v="0"/>
  </r>
  <r>
    <n v="5"/>
    <d v="2025-08-16T00:00:00"/>
    <x v="4"/>
    <s v="FY 2025-26"/>
    <x v="18"/>
    <n v="725434"/>
    <n v="2.2000000000000002"/>
    <n v="1595955"/>
    <n v="1596"/>
    <n v="1594359"/>
    <d v="2025-08-23T00:00:00"/>
    <x v="0"/>
    <s v="OK"/>
    <n v="0"/>
  </r>
  <r>
    <n v="6"/>
    <d v="2025-09-08T00:00:00"/>
    <x v="5"/>
    <s v="FY 2025-26"/>
    <x v="18"/>
    <n v="422571"/>
    <n v="2.2000000000000002"/>
    <n v="929656"/>
    <n v="930"/>
    <n v="928727"/>
    <d v="2025-09-15T00:00:00"/>
    <x v="0"/>
    <s v="Review"/>
    <n v="-1"/>
  </r>
  <r>
    <n v="7"/>
    <d v="2025-10-14T00:00:00"/>
    <x v="6"/>
    <s v="FY 2025-26"/>
    <x v="18"/>
    <n v="241172"/>
    <n v="2.2000000000000002"/>
    <n v="530578"/>
    <n v="531"/>
    <n v="530048"/>
    <d v="2025-10-21T00:00:00"/>
    <x v="0"/>
    <s v="Review"/>
    <n v="-1"/>
  </r>
  <r>
    <n v="8"/>
    <d v="2025-11-12T00:00:00"/>
    <x v="7"/>
    <s v="FY 2025-26"/>
    <x v="18"/>
    <n v="236136"/>
    <n v="2.2000000000000002"/>
    <n v="519499"/>
    <n v="519"/>
    <n v="518980"/>
    <d v="2025-11-19T00:00:00"/>
    <x v="0"/>
    <s v="OK"/>
    <n v="0"/>
  </r>
  <r>
    <n v="9"/>
    <d v="2025-12-05T00:00:00"/>
    <x v="8"/>
    <s v="FY 2025-26"/>
    <x v="18"/>
    <n v="370684"/>
    <n v="2.2000000000000002"/>
    <n v="815505"/>
    <n v="816"/>
    <n v="814689"/>
    <d v="2025-12-12T00:00:00"/>
    <x v="0"/>
    <s v="OK"/>
    <n v="0"/>
  </r>
  <r>
    <n v="10"/>
    <d v="2025-01-07T00:00:00"/>
    <x v="9"/>
    <s v="FY 2025-26"/>
    <x v="18"/>
    <n v="144683"/>
    <n v="2.2000000000000002"/>
    <n v="318303"/>
    <n v="318"/>
    <n v="317984"/>
    <d v="2025-01-14T00:00:00"/>
    <x v="0"/>
    <s v="Review"/>
    <n v="1"/>
  </r>
  <r>
    <n v="11"/>
    <d v="2025-02-20T00:00:00"/>
    <x v="10"/>
    <s v="FY 2025-26"/>
    <x v="18"/>
    <n v="100234"/>
    <n v="2.2000000000000002"/>
    <n v="220515"/>
    <n v="221"/>
    <n v="220294"/>
    <d v="2025-02-27T00:00:00"/>
    <x v="0"/>
    <s v="OK"/>
    <n v="0"/>
  </r>
  <r>
    <n v="12"/>
    <d v="2026-03-07T00:00:00"/>
    <x v="11"/>
    <s v="FY 2025-26"/>
    <x v="18"/>
    <n v="126585"/>
    <n v="2.2000000000000002"/>
    <n v="278487"/>
    <n v="278"/>
    <n v="278209"/>
    <d v="2026-03-14T00:00:00"/>
    <x v="0"/>
    <s v="OK"/>
    <n v="0"/>
  </r>
  <r>
    <n v="1"/>
    <d v="2025-04-07T00:00:00"/>
    <x v="0"/>
    <s v="FY 2025-26"/>
    <x v="19"/>
    <n v="55212"/>
    <n v="2.2000000000000002"/>
    <n v="121466"/>
    <n v="121"/>
    <n v="121345"/>
    <d v="2025-04-27T00:00:00"/>
    <x v="0"/>
    <s v="OK"/>
    <n v="0"/>
  </r>
  <r>
    <n v="2"/>
    <d v="2025-06-09T00:00:00"/>
    <x v="1"/>
    <s v="FY 2025-26"/>
    <x v="19"/>
    <n v="246334"/>
    <n v="2.2000000000000002"/>
    <n v="541935"/>
    <n v="542"/>
    <n v="541393"/>
    <d v="2025-06-29T00:00:00"/>
    <x v="0"/>
    <s v="OK"/>
    <n v="0"/>
  </r>
  <r>
    <n v="3"/>
    <d v="2025-06-09T00:00:00"/>
    <x v="2"/>
    <s v="FY 2025-26"/>
    <x v="19"/>
    <n v="405863"/>
    <n v="2.2000000000000002"/>
    <n v="892899"/>
    <n v="893"/>
    <n v="892006"/>
    <d v="2025-06-29T00:00:00"/>
    <x v="0"/>
    <s v="OK"/>
    <n v="0"/>
  </r>
  <r>
    <n v="4"/>
    <d v="2025-07-14T00:00:00"/>
    <x v="3"/>
    <s v="FY 2025-26"/>
    <x v="19"/>
    <n v="510362"/>
    <n v="2.2000000000000002"/>
    <n v="1122796"/>
    <n v="1123"/>
    <n v="1121674"/>
    <d v="2025-08-03T00:00:00"/>
    <x v="0"/>
    <s v="Review"/>
    <n v="-1"/>
  </r>
  <r>
    <n v="5"/>
    <d v="2025-08-16T00:00:00"/>
    <x v="4"/>
    <s v="FY 2025-26"/>
    <x v="19"/>
    <n v="339781"/>
    <n v="2.2000000000000002"/>
    <n v="747518"/>
    <n v="748"/>
    <n v="746771"/>
    <d v="2025-09-05T00:00:00"/>
    <x v="1"/>
    <s v="Review"/>
    <n v="-1"/>
  </r>
  <r>
    <n v="6"/>
    <d v="2025-09-08T00:00:00"/>
    <x v="5"/>
    <s v="FY 2025-26"/>
    <x v="19"/>
    <n v="343584"/>
    <n v="2.2000000000000002"/>
    <n v="755885"/>
    <n v="756"/>
    <n v="755129"/>
    <d v="2025-09-28T00:00:00"/>
    <x v="0"/>
    <s v="OK"/>
    <n v="0"/>
  </r>
  <r>
    <n v="7"/>
    <d v="2025-10-14T00:00:00"/>
    <x v="6"/>
    <s v="FY 2025-26"/>
    <x v="19"/>
    <n v="101218"/>
    <n v="2.2000000000000002"/>
    <n v="222680"/>
    <n v="223"/>
    <n v="222457"/>
    <d v="2025-11-03T00:00:00"/>
    <x v="0"/>
    <s v="OK"/>
    <n v="0"/>
  </r>
  <r>
    <n v="8"/>
    <d v="2025-11-12T00:00:00"/>
    <x v="7"/>
    <s v="FY 2025-26"/>
    <x v="19"/>
    <n v="20852"/>
    <n v="2.2000000000000002"/>
    <n v="45874"/>
    <n v="46"/>
    <n v="45829"/>
    <d v="2025-12-02T00:00:00"/>
    <x v="1"/>
    <s v="Review"/>
    <n v="-1"/>
  </r>
  <r>
    <n v="9"/>
    <d v="2025-12-05T00:00:00"/>
    <x v="8"/>
    <s v="FY 2025-26"/>
    <x v="19"/>
    <n v="12645"/>
    <n v="2.2000000000000002"/>
    <n v="27819"/>
    <n v="28"/>
    <n v="27791"/>
    <d v="2025-12-25T00:00:00"/>
    <x v="1"/>
    <s v="OK"/>
    <n v="0"/>
  </r>
  <r>
    <n v="10"/>
    <d v="2025-01-07T00:00:00"/>
    <x v="9"/>
    <s v="FY 2025-26"/>
    <x v="19"/>
    <n v="19720"/>
    <n v="2.2000000000000002"/>
    <n v="43384"/>
    <n v="43"/>
    <n v="43341"/>
    <d v="2025-01-27T00:00:00"/>
    <x v="0"/>
    <s v="OK"/>
    <n v="0"/>
  </r>
  <r>
    <n v="11"/>
    <d v="2025-02-20T00:00:00"/>
    <x v="10"/>
    <s v="FY 2025-26"/>
    <x v="19"/>
    <n v="26233"/>
    <n v="2.2000000000000002"/>
    <n v="57713"/>
    <n v="58"/>
    <n v="57655"/>
    <d v="2025-03-12T00:00:00"/>
    <x v="0"/>
    <s v="OK"/>
    <n v="0"/>
  </r>
  <r>
    <n v="12"/>
    <d v="2026-03-07T00:00:00"/>
    <x v="11"/>
    <s v="FY 2025-26"/>
    <x v="19"/>
    <n v="23291"/>
    <n v="2.2000000000000002"/>
    <n v="51240"/>
    <n v="51"/>
    <n v="51189"/>
    <d v="2026-03-27T00:00:00"/>
    <x v="0"/>
    <s v="OK"/>
    <n v="0"/>
  </r>
  <r>
    <n v="1"/>
    <d v="2025-04-07T00:00:00"/>
    <x v="0"/>
    <s v="FY 2025-26"/>
    <x v="20"/>
    <n v="49032"/>
    <n v="2.2000000000000002"/>
    <n v="107870"/>
    <n v="108"/>
    <n v="107763"/>
    <d v="2025-04-27T00:00:00"/>
    <x v="0"/>
    <s v="Review"/>
    <n v="-1"/>
  </r>
  <r>
    <n v="2"/>
    <d v="2025-06-09T00:00:00"/>
    <x v="1"/>
    <s v="FY 2025-26"/>
    <x v="20"/>
    <n v="217894"/>
    <n v="2.2000000000000002"/>
    <n v="479367"/>
    <n v="479"/>
    <n v="478887"/>
    <d v="2025-06-29T00:00:00"/>
    <x v="0"/>
    <s v="Review"/>
    <n v="1"/>
  </r>
  <r>
    <n v="3"/>
    <d v="2025-06-09T00:00:00"/>
    <x v="2"/>
    <s v="FY 2025-26"/>
    <x v="20"/>
    <n v="343038"/>
    <n v="2.2000000000000002"/>
    <n v="754684"/>
    <n v="755"/>
    <n v="753929"/>
    <d v="2025-06-29T00:00:00"/>
    <x v="0"/>
    <s v="OK"/>
    <n v="0"/>
  </r>
  <r>
    <n v="4"/>
    <d v="2025-07-14T00:00:00"/>
    <x v="3"/>
    <s v="FY 2025-26"/>
    <x v="20"/>
    <n v="453002"/>
    <n v="2.2000000000000002"/>
    <n v="996604"/>
    <n v="997"/>
    <n v="995608"/>
    <d v="2025-08-03T00:00:00"/>
    <x v="0"/>
    <s v="Review"/>
    <n v="-1"/>
  </r>
  <r>
    <n v="5"/>
    <d v="2025-08-16T00:00:00"/>
    <x v="4"/>
    <s v="FY 2025-26"/>
    <x v="20"/>
    <n v="321516"/>
    <n v="2.2000000000000002"/>
    <n v="707335"/>
    <n v="707"/>
    <n v="706628"/>
    <d v="2025-09-05T00:00:00"/>
    <x v="1"/>
    <s v="OK"/>
    <n v="0"/>
  </r>
  <r>
    <n v="6"/>
    <d v="2025-09-08T00:00:00"/>
    <x v="5"/>
    <s v="FY 2025-26"/>
    <x v="20"/>
    <n v="315162"/>
    <n v="2.2000000000000002"/>
    <n v="693356"/>
    <n v="693"/>
    <n v="692663"/>
    <d v="2025-09-28T00:00:00"/>
    <x v="0"/>
    <s v="OK"/>
    <n v="0"/>
  </r>
  <r>
    <n v="7"/>
    <d v="2025-10-14T00:00:00"/>
    <x v="6"/>
    <s v="FY 2025-26"/>
    <x v="20"/>
    <n v="76485"/>
    <n v="2.2000000000000002"/>
    <n v="168267"/>
    <n v="168"/>
    <n v="168099"/>
    <d v="2025-11-03T00:00:00"/>
    <x v="0"/>
    <s v="OK"/>
    <n v="0"/>
  </r>
  <r>
    <n v="8"/>
    <d v="2025-11-12T00:00:00"/>
    <x v="7"/>
    <s v="FY 2025-26"/>
    <x v="20"/>
    <n v="21226"/>
    <n v="2.2000000000000002"/>
    <n v="46697"/>
    <n v="47"/>
    <n v="46651"/>
    <d v="2025-12-02T00:00:00"/>
    <x v="1"/>
    <s v="Review"/>
    <n v="-1"/>
  </r>
  <r>
    <n v="9"/>
    <d v="2025-12-05T00:00:00"/>
    <x v="8"/>
    <s v="FY 2025-26"/>
    <x v="20"/>
    <n v="11446"/>
    <n v="2.2000000000000002"/>
    <n v="25181"/>
    <n v="25"/>
    <n v="25156"/>
    <d v="2025-12-25T00:00:00"/>
    <x v="1"/>
    <s v="OK"/>
    <n v="0"/>
  </r>
  <r>
    <n v="10"/>
    <d v="2025-01-07T00:00:00"/>
    <x v="9"/>
    <s v="FY 2025-26"/>
    <x v="20"/>
    <n v="17667"/>
    <n v="2.2000000000000002"/>
    <n v="38867"/>
    <n v="39"/>
    <n v="38829"/>
    <d v="2025-01-27T00:00:00"/>
    <x v="1"/>
    <s v="Review"/>
    <n v="-1"/>
  </r>
  <r>
    <n v="11"/>
    <d v="2025-02-20T00:00:00"/>
    <x v="10"/>
    <s v="FY 2025-26"/>
    <x v="20"/>
    <n v="24744"/>
    <n v="2.2000000000000002"/>
    <n v="54437"/>
    <n v="54"/>
    <n v="54382"/>
    <d v="2025-03-12T00:00:00"/>
    <x v="1"/>
    <s v="Review"/>
    <n v="1"/>
  </r>
  <r>
    <n v="12"/>
    <d v="2026-03-07T00:00:00"/>
    <x v="11"/>
    <s v="FY 2025-26"/>
    <x v="20"/>
    <n v="22730"/>
    <n v="2.2000000000000002"/>
    <n v="50006"/>
    <n v="50"/>
    <n v="49956"/>
    <d v="2026-03-27T00:00:00"/>
    <x v="0"/>
    <s v="OK"/>
    <n v="0"/>
  </r>
  <r>
    <n v="1"/>
    <d v="2025-04-07T00:00:00"/>
    <x v="0"/>
    <s v="FY 2025-26"/>
    <x v="21"/>
    <n v="55212"/>
    <n v="6"/>
    <n v="331272"/>
    <n v="331"/>
    <n v="330941"/>
    <d v="2025-04-22T00:00:00"/>
    <x v="0"/>
    <s v="OK"/>
    <n v="0"/>
  </r>
  <r>
    <n v="2"/>
    <d v="2025-06-09T00:00:00"/>
    <x v="1"/>
    <s v="FY 2025-26"/>
    <x v="21"/>
    <n v="169017"/>
    <n v="6"/>
    <n v="1014102"/>
    <n v="1014"/>
    <n v="1013088"/>
    <d v="2025-06-24T00:00:00"/>
    <x v="0"/>
    <s v="OK"/>
    <n v="0"/>
  </r>
  <r>
    <n v="3"/>
    <d v="2025-06-09T00:00:00"/>
    <x v="2"/>
    <s v="FY 2025-26"/>
    <x v="21"/>
    <n v="222654"/>
    <n v="6"/>
    <n v="1335924"/>
    <n v="1336"/>
    <n v="1334588"/>
    <d v="2025-06-24T00:00:00"/>
    <x v="0"/>
    <s v="OK"/>
    <n v="0"/>
  </r>
  <r>
    <n v="4"/>
    <d v="2025-07-14T00:00:00"/>
    <x v="3"/>
    <s v="FY 2025-26"/>
    <x v="21"/>
    <n v="267435"/>
    <n v="6"/>
    <n v="1604610"/>
    <n v="1605"/>
    <n v="1603005"/>
    <d v="2025-07-29T00:00:00"/>
    <x v="0"/>
    <s v="OK"/>
    <n v="0"/>
  </r>
  <r>
    <n v="5"/>
    <d v="2025-08-14T00:00:00"/>
    <x v="4"/>
    <s v="FY 2025-26"/>
    <x v="21"/>
    <n v="225236"/>
    <n v="6"/>
    <n v="1351416"/>
    <n v="1351"/>
    <n v="1350065"/>
    <d v="2025-08-29T00:00:00"/>
    <x v="0"/>
    <s v="OK"/>
    <n v="0"/>
  </r>
  <r>
    <n v="6"/>
    <d v="2025-09-08T00:00:00"/>
    <x v="5"/>
    <s v="FY 2025-26"/>
    <x v="21"/>
    <n v="201857"/>
    <n v="6"/>
    <n v="1211142"/>
    <n v="1211"/>
    <n v="1209931"/>
    <d v="2025-09-23T00:00:00"/>
    <x v="0"/>
    <s v="OK"/>
    <n v="0"/>
  </r>
  <r>
    <n v="7"/>
    <d v="2025-10-08T00:00:00"/>
    <x v="6"/>
    <s v="FY 2025-26"/>
    <x v="21"/>
    <n v="72194"/>
    <n v="6"/>
    <n v="433164"/>
    <n v="433"/>
    <n v="432731"/>
    <d v="2025-10-23T00:00:00"/>
    <x v="1"/>
    <s v="OK"/>
    <n v="0"/>
  </r>
  <r>
    <n v="8"/>
    <d v="2025-11-12T00:00:00"/>
    <x v="7"/>
    <s v="FY 2025-26"/>
    <x v="21"/>
    <n v="40403"/>
    <n v="6"/>
    <n v="242418"/>
    <n v="242"/>
    <n v="242176"/>
    <d v="2025-11-27T00:00:00"/>
    <x v="1"/>
    <s v="OK"/>
    <n v="0"/>
  </r>
  <r>
    <n v="9"/>
    <d v="2025-12-12T00:00:00"/>
    <x v="8"/>
    <s v="FY 2025-26"/>
    <x v="21"/>
    <n v="52561"/>
    <n v="6"/>
    <n v="315366"/>
    <n v="315"/>
    <n v="315051"/>
    <d v="2025-12-27T00:00:00"/>
    <x v="1"/>
    <s v="OK"/>
    <n v="0"/>
  </r>
  <r>
    <n v="10"/>
    <d v="2026-01-07T00:00:00"/>
    <x v="9"/>
    <s v="FY 2025-26"/>
    <x v="21"/>
    <n v="57832"/>
    <n v="6"/>
    <n v="346992"/>
    <n v="347"/>
    <n v="346645"/>
    <d v="2026-01-22T00:00:00"/>
    <x v="1"/>
    <s v="OK"/>
    <n v="0"/>
  </r>
  <r>
    <n v="11"/>
    <d v="2026-02-19T00:00:00"/>
    <x v="10"/>
    <s v="FY 2025-26"/>
    <x v="21"/>
    <n v="49218"/>
    <n v="6"/>
    <n v="295308"/>
    <n v="295"/>
    <n v="295013"/>
    <d v="2026-03-06T00:00:00"/>
    <x v="0"/>
    <s v="OK"/>
    <n v="0"/>
  </r>
  <r>
    <n v="12"/>
    <d v="2026-03-07T00:00:00"/>
    <x v="11"/>
    <s v="FY 2025-26"/>
    <x v="21"/>
    <n v="29755"/>
    <n v="6"/>
    <n v="178530"/>
    <n v="179"/>
    <n v="178351"/>
    <d v="2026-03-22T00:00:00"/>
    <x v="0"/>
    <s v="OK"/>
    <n v="0"/>
  </r>
  <r>
    <n v="1"/>
    <d v="2025-04-08T00:00:00"/>
    <x v="0"/>
    <s v="FY 2025-26"/>
    <x v="22"/>
    <n v="68638"/>
    <n v="6"/>
    <n v="411828"/>
    <n v="412"/>
    <n v="411416"/>
    <d v="2025-04-23T00:00:00"/>
    <x v="0"/>
    <s v="OK"/>
    <n v="0"/>
  </r>
  <r>
    <n v="2"/>
    <d v="2025-05-12T00:00:00"/>
    <x v="1"/>
    <s v="FY 2025-26"/>
    <x v="22"/>
    <n v="207567"/>
    <n v="6"/>
    <n v="1245402"/>
    <n v="1245"/>
    <n v="1244157"/>
    <d v="2025-05-27T00:00:00"/>
    <x v="0"/>
    <s v="OK"/>
    <n v="0"/>
  </r>
  <r>
    <n v="3"/>
    <d v="2025-06-09T00:00:00"/>
    <x v="2"/>
    <s v="FY 2025-26"/>
    <x v="22"/>
    <n v="278762"/>
    <n v="6"/>
    <n v="1672572"/>
    <n v="1673"/>
    <n v="1670899"/>
    <d v="2025-06-24T00:00:00"/>
    <x v="0"/>
    <s v="OK"/>
    <n v="0"/>
  </r>
  <r>
    <n v="4"/>
    <d v="2025-07-14T00:00:00"/>
    <x v="3"/>
    <s v="FY 2025-26"/>
    <x v="22"/>
    <n v="322060"/>
    <n v="6"/>
    <n v="1932360"/>
    <n v="1932"/>
    <n v="1930428"/>
    <d v="2025-07-29T00:00:00"/>
    <x v="0"/>
    <s v="OK"/>
    <n v="0"/>
  </r>
  <r>
    <n v="5"/>
    <d v="2025-08-14T00:00:00"/>
    <x v="4"/>
    <s v="FY 2025-26"/>
    <x v="22"/>
    <n v="298180"/>
    <n v="6"/>
    <n v="1789080"/>
    <n v="1789"/>
    <n v="1787291"/>
    <d v="2025-08-29T00:00:00"/>
    <x v="1"/>
    <s v="OK"/>
    <n v="0"/>
  </r>
  <r>
    <n v="6"/>
    <d v="2025-09-08T00:00:00"/>
    <x v="5"/>
    <s v="FY 2025-26"/>
    <x v="22"/>
    <n v="259620"/>
    <n v="6"/>
    <n v="1557720"/>
    <n v="1558"/>
    <n v="1556162"/>
    <d v="2025-09-23T00:00:00"/>
    <x v="0"/>
    <s v="OK"/>
    <n v="0"/>
  </r>
  <r>
    <n v="7"/>
    <d v="2025-10-27T00:00:00"/>
    <x v="6"/>
    <s v="FY 2025-26"/>
    <x v="22"/>
    <n v="79220"/>
    <n v="6"/>
    <n v="475320"/>
    <n v="475"/>
    <n v="474845"/>
    <d v="2025-11-11T00:00:00"/>
    <x v="0"/>
    <s v="OK"/>
    <n v="0"/>
  </r>
  <r>
    <n v="8"/>
    <d v="2025-11-12T00:00:00"/>
    <x v="7"/>
    <s v="FY 2025-26"/>
    <x v="22"/>
    <n v="45069"/>
    <n v="6"/>
    <n v="270414"/>
    <n v="270"/>
    <n v="270144"/>
    <d v="2025-11-27T00:00:00"/>
    <x v="1"/>
    <s v="OK"/>
    <n v="0"/>
  </r>
  <r>
    <n v="9"/>
    <d v="2025-12-12T00:00:00"/>
    <x v="8"/>
    <s v="FY 2025-26"/>
    <x v="22"/>
    <n v="62931"/>
    <n v="6"/>
    <n v="377586"/>
    <n v="378"/>
    <n v="377208"/>
    <d v="2025-12-27T00:00:00"/>
    <x v="1"/>
    <s v="OK"/>
    <n v="0"/>
  </r>
  <r>
    <n v="10"/>
    <d v="2026-01-08T00:00:00"/>
    <x v="9"/>
    <s v="FY 2025-26"/>
    <x v="22"/>
    <n v="63880"/>
    <n v="6"/>
    <n v="383280"/>
    <n v="383"/>
    <n v="382897"/>
    <d v="2026-01-23T00:00:00"/>
    <x v="0"/>
    <s v="OK"/>
    <n v="0"/>
  </r>
  <r>
    <n v="11"/>
    <d v="2026-02-20T00:00:00"/>
    <x v="10"/>
    <s v="FY 2025-26"/>
    <x v="22"/>
    <n v="54480"/>
    <n v="6"/>
    <n v="326880"/>
    <n v="327"/>
    <n v="326553"/>
    <d v="2026-03-07T00:00:00"/>
    <x v="0"/>
    <s v="OK"/>
    <n v="0"/>
  </r>
  <r>
    <n v="12"/>
    <d v="2026-03-07T00:00:00"/>
    <x v="11"/>
    <s v="FY 2025-26"/>
    <x v="22"/>
    <n v="31160"/>
    <n v="6"/>
    <n v="186960"/>
    <n v="187"/>
    <n v="186773"/>
    <d v="2026-03-22T00:00:00"/>
    <x v="0"/>
    <s v="OK"/>
    <n v="0"/>
  </r>
  <r>
    <n v="1"/>
    <d v="2025-04-08T00:00:00"/>
    <x v="0"/>
    <s v="FY 2025-26"/>
    <x v="23"/>
    <n v="80100"/>
    <n v="6"/>
    <n v="480600"/>
    <n v="481"/>
    <n v="480119"/>
    <d v="2025-04-18T00:00:00"/>
    <x v="0"/>
    <s v="OK"/>
    <n v="0"/>
  </r>
  <r>
    <n v="2"/>
    <d v="2025-05-12T00:00:00"/>
    <x v="1"/>
    <s v="FY 2025-26"/>
    <x v="23"/>
    <n v="150255"/>
    <n v="6"/>
    <n v="901530"/>
    <n v="902"/>
    <n v="900628"/>
    <d v="2025-05-22T00:00:00"/>
    <x v="0"/>
    <s v="OK"/>
    <n v="0"/>
  </r>
  <r>
    <n v="3"/>
    <d v="2025-06-09T00:00:00"/>
    <x v="2"/>
    <s v="FY 2025-26"/>
    <x v="23"/>
    <n v="249495"/>
    <n v="6"/>
    <n v="1496970"/>
    <n v="1497"/>
    <n v="1495473"/>
    <d v="2025-06-19T00:00:00"/>
    <x v="0"/>
    <s v="OK"/>
    <n v="0"/>
  </r>
  <r>
    <n v="4"/>
    <d v="2025-07-14T00:00:00"/>
    <x v="3"/>
    <s v="FY 2025-26"/>
    <x v="23"/>
    <n v="337710"/>
    <n v="6"/>
    <n v="2026260"/>
    <n v="2026"/>
    <n v="2024234"/>
    <d v="2025-07-24T00:00:00"/>
    <x v="0"/>
    <s v="OK"/>
    <n v="0"/>
  </r>
  <r>
    <n v="5"/>
    <d v="2025-08-14T00:00:00"/>
    <x v="4"/>
    <s v="FY 2025-26"/>
    <x v="23"/>
    <n v="224708"/>
    <n v="6"/>
    <n v="1348248"/>
    <n v="1348"/>
    <n v="1346900"/>
    <d v="2025-08-24T00:00:00"/>
    <x v="0"/>
    <s v="OK"/>
    <n v="0"/>
  </r>
  <r>
    <n v="6"/>
    <d v="2025-09-08T00:00:00"/>
    <x v="5"/>
    <s v="FY 2025-26"/>
    <x v="23"/>
    <n v="202133"/>
    <n v="6"/>
    <n v="1212798"/>
    <n v="1213"/>
    <n v="1211585"/>
    <d v="2025-09-18T00:00:00"/>
    <x v="0"/>
    <s v="OK"/>
    <n v="0"/>
  </r>
  <r>
    <n v="7"/>
    <d v="2025-10-27T00:00:00"/>
    <x v="6"/>
    <s v="FY 2025-26"/>
    <x v="23"/>
    <n v="87578"/>
    <n v="6"/>
    <n v="525468"/>
    <n v="525"/>
    <n v="524943"/>
    <d v="2025-11-06T00:00:00"/>
    <x v="0"/>
    <s v="OK"/>
    <n v="0"/>
  </r>
  <r>
    <n v="8"/>
    <d v="2025-11-12T00:00:00"/>
    <x v="7"/>
    <s v="FY 2025-26"/>
    <x v="23"/>
    <n v="65318"/>
    <n v="6"/>
    <n v="391908"/>
    <n v="392"/>
    <n v="391516"/>
    <d v="2025-11-22T00:00:00"/>
    <x v="0"/>
    <s v="OK"/>
    <n v="0"/>
  </r>
  <r>
    <n v="9"/>
    <d v="2025-12-12T00:00:00"/>
    <x v="8"/>
    <s v="FY 2025-26"/>
    <x v="23"/>
    <n v="66997"/>
    <n v="6"/>
    <n v="401982"/>
    <n v="402"/>
    <n v="401580"/>
    <d v="2025-12-22T00:00:00"/>
    <x v="0"/>
    <s v="OK"/>
    <n v="0"/>
  </r>
  <r>
    <n v="10"/>
    <d v="2026-01-08T00:00:00"/>
    <x v="9"/>
    <s v="FY 2025-26"/>
    <x v="23"/>
    <n v="75143"/>
    <n v="6"/>
    <n v="450858"/>
    <n v="451"/>
    <n v="450407"/>
    <d v="2026-01-18T00:00:00"/>
    <x v="0"/>
    <s v="OK"/>
    <n v="0"/>
  </r>
  <r>
    <n v="11"/>
    <d v="2026-02-20T00:00:00"/>
    <x v="10"/>
    <s v="FY 2025-26"/>
    <x v="23"/>
    <n v="59160"/>
    <n v="6"/>
    <n v="354960"/>
    <n v="355"/>
    <n v="354605"/>
    <d v="2026-03-02T00:00:00"/>
    <x v="0"/>
    <s v="OK"/>
    <n v="0"/>
  </r>
  <r>
    <n v="12"/>
    <d v="2026-03-07T00:00:00"/>
    <x v="11"/>
    <s v="FY 2025-26"/>
    <x v="23"/>
    <n v="61950"/>
    <n v="6"/>
    <n v="371700"/>
    <n v="372"/>
    <n v="371328"/>
    <d v="2026-03-17T00:00:00"/>
    <x v="0"/>
    <s v="OK"/>
    <n v="0"/>
  </r>
  <r>
    <n v="1"/>
    <d v="2025-04-10T00:00:00"/>
    <x v="0"/>
    <s v="FY 2025-26"/>
    <x v="24"/>
    <n v="970280"/>
    <n v="6"/>
    <n v="5821678"/>
    <n v="5822"/>
    <n v="5815856"/>
    <d v="2025-04-20T00:00:00"/>
    <x v="0"/>
    <s v="OK"/>
    <n v="0"/>
  </r>
  <r>
    <n v="2"/>
    <d v="2025-05-12T00:00:00"/>
    <x v="1"/>
    <s v="FY 2025-26"/>
    <x v="24"/>
    <n v="1358748"/>
    <n v="6"/>
    <n v="8152487"/>
    <n v="8152"/>
    <n v="8144335"/>
    <d v="2025-05-22T00:00:00"/>
    <x v="0"/>
    <s v="OK"/>
    <n v="0"/>
  </r>
  <r>
    <n v="3"/>
    <d v="2025-06-09T00:00:00"/>
    <x v="2"/>
    <s v="FY 2025-26"/>
    <x v="24"/>
    <n v="2403665"/>
    <n v="6"/>
    <n v="14421989"/>
    <n v="14422"/>
    <n v="14407567"/>
    <d v="2025-06-19T00:00:00"/>
    <x v="0"/>
    <s v="OK"/>
    <n v="0"/>
  </r>
  <r>
    <n v="4"/>
    <d v="2025-07-14T00:00:00"/>
    <x v="3"/>
    <s v="FY 2025-26"/>
    <x v="24"/>
    <n v="2919780"/>
    <n v="6"/>
    <n v="17518678"/>
    <n v="17519"/>
    <n v="17501159"/>
    <d v="2025-07-24T00:00:00"/>
    <x v="0"/>
    <s v="OK"/>
    <n v="0"/>
  </r>
  <r>
    <n v="5"/>
    <d v="2025-08-14T00:00:00"/>
    <x v="4"/>
    <s v="FY 2025-26"/>
    <x v="24"/>
    <n v="2097476"/>
    <n v="6"/>
    <n v="12584856"/>
    <n v="12585"/>
    <n v="12572271"/>
    <d v="2025-08-24T00:00:00"/>
    <x v="1"/>
    <s v="OK"/>
    <n v="0"/>
  </r>
  <r>
    <n v="6"/>
    <d v="2025-09-16T00:00:00"/>
    <x v="5"/>
    <s v="FY 2025-26"/>
    <x v="24"/>
    <n v="1600225"/>
    <n v="6"/>
    <n v="9601349"/>
    <n v="9601"/>
    <n v="9591748"/>
    <d v="2025-09-26T00:00:00"/>
    <x v="1"/>
    <s v="OK"/>
    <n v="0"/>
  </r>
  <r>
    <n v="7"/>
    <d v="2025-10-14T00:00:00"/>
    <x v="6"/>
    <s v="FY 2025-26"/>
    <x v="24"/>
    <n v="940703"/>
    <n v="6"/>
    <n v="5644216"/>
    <n v="5644"/>
    <n v="5638572"/>
    <d v="2025-10-24T00:00:00"/>
    <x v="1"/>
    <s v="OK"/>
    <n v="0"/>
  </r>
  <r>
    <n v="8"/>
    <d v="2025-11-12T00:00:00"/>
    <x v="7"/>
    <s v="FY 2025-26"/>
    <x v="24"/>
    <n v="708646"/>
    <n v="6"/>
    <n v="4251874"/>
    <n v="4252"/>
    <n v="4247623"/>
    <d v="2025-11-22T00:00:00"/>
    <x v="1"/>
    <s v="Review"/>
    <n v="-1"/>
  </r>
  <r>
    <n v="9"/>
    <d v="2025-12-22T00:00:00"/>
    <x v="8"/>
    <s v="FY 2025-26"/>
    <x v="24"/>
    <n v="734937"/>
    <n v="6"/>
    <n v="4409624"/>
    <n v="4410"/>
    <n v="4405214"/>
    <d v="2026-01-01T00:00:00"/>
    <x v="1"/>
    <s v="OK"/>
    <n v="0"/>
  </r>
  <r>
    <n v="10"/>
    <d v="2026-01-28T00:00:00"/>
    <x v="9"/>
    <s v="FY 2025-26"/>
    <x v="24"/>
    <n v="469743"/>
    <n v="6"/>
    <n v="2818460"/>
    <n v="2818"/>
    <n v="2815641"/>
    <d v="2026-02-07T00:00:00"/>
    <x v="1"/>
    <s v="Review"/>
    <n v="1"/>
  </r>
  <r>
    <n v="11"/>
    <d v="2026-02-19T00:00:00"/>
    <x v="10"/>
    <s v="FY 2025-26"/>
    <x v="24"/>
    <n v="414841"/>
    <n v="6"/>
    <n v="2489046"/>
    <n v="2489"/>
    <n v="2486557"/>
    <d v="2026-03-01T00:00:00"/>
    <x v="1"/>
    <s v="OK"/>
    <n v="0"/>
  </r>
  <r>
    <n v="12"/>
    <d v="2026-03-18T00:00:00"/>
    <x v="11"/>
    <s v="FY 2025-26"/>
    <x v="24"/>
    <n v="574430"/>
    <n v="6"/>
    <n v="3446582"/>
    <n v="3447"/>
    <n v="3443136"/>
    <d v="2026-03-28T00:00:00"/>
    <x v="0"/>
    <s v="Review"/>
    <n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x v="0"/>
    <x v="0"/>
    <d v="2025-05-30T00:00:00"/>
    <n v="559657"/>
    <n v="559659"/>
    <n v="-2"/>
    <n v="559659"/>
    <n v="3"/>
    <s v="Paid"/>
    <s v="OK"/>
  </r>
  <r>
    <n v="2"/>
    <x v="0"/>
    <x v="1"/>
    <d v="2025-06-28T00:00:00"/>
    <n v="732654"/>
    <n v="732655"/>
    <n v="-1"/>
    <n v="732655"/>
    <n v="3"/>
    <s v="Paid"/>
    <s v="OK"/>
  </r>
  <r>
    <n v="3"/>
    <x v="0"/>
    <x v="2"/>
    <d v="2025-07-22T00:00:00"/>
    <n v="1630365"/>
    <n v="1630368"/>
    <n v="-3"/>
    <n v="1630368"/>
    <n v="0"/>
    <s v="Paid"/>
    <s v="OK"/>
  </r>
  <r>
    <n v="4"/>
    <x v="0"/>
    <x v="3"/>
    <d v="2025-08-28T00:00:00"/>
    <n v="2394320"/>
    <n v="2394318"/>
    <n v="2"/>
    <n v="2394318"/>
    <n v="2"/>
    <s v="Paid"/>
    <s v="OK"/>
  </r>
  <r>
    <n v="5"/>
    <x v="0"/>
    <x v="4"/>
    <d v="2025-09-28T00:00:00"/>
    <n v="1197158"/>
    <n v="1197161"/>
    <n v="-3"/>
    <n v="1197161"/>
    <n v="-2"/>
    <s v="Paid"/>
    <s v="OK"/>
  </r>
  <r>
    <n v="6"/>
    <x v="0"/>
    <x v="5"/>
    <d v="2025-10-20T00:00:00"/>
    <n v="580023"/>
    <n v="580020"/>
    <n v="3"/>
    <n v="580020"/>
    <n v="-3"/>
    <s v="Paid"/>
    <s v="OK"/>
  </r>
  <r>
    <n v="7"/>
    <x v="0"/>
    <x v="6"/>
    <d v="2025-11-25T00:00:00"/>
    <n v="407485"/>
    <n v="407483"/>
    <n v="2"/>
    <n v="407483"/>
    <n v="1"/>
    <s v="Paid"/>
    <s v="OK"/>
  </r>
  <r>
    <n v="8"/>
    <x v="0"/>
    <x v="7"/>
    <d v="2025-12-24T00:00:00"/>
    <n v="576657"/>
    <n v="576654"/>
    <n v="3"/>
    <n v="576654"/>
    <n v="3"/>
    <s v="Paid"/>
    <s v="OK"/>
  </r>
  <r>
    <n v="9"/>
    <x v="0"/>
    <x v="8"/>
    <d v="2026-02-10T00:00:00"/>
    <n v="947713"/>
    <n v="947711"/>
    <n v="2"/>
    <n v="947711"/>
    <n v="-1"/>
    <s v="Paid"/>
    <s v="OK"/>
  </r>
  <r>
    <n v="10"/>
    <x v="0"/>
    <x v="9"/>
    <d v="2026-03-06T00:00:00"/>
    <n v="223277"/>
    <n v="223280"/>
    <n v="-3"/>
    <n v="223280"/>
    <n v="-2"/>
    <s v="Paid"/>
    <s v="OK"/>
  </r>
  <r>
    <n v="11"/>
    <x v="0"/>
    <x v="10"/>
    <d v="2026-04-08T00:00:00"/>
    <n v="270112"/>
    <n v="270116"/>
    <n v="-4"/>
    <n v="270116"/>
    <n v="0"/>
    <s v="Paid"/>
    <s v="OK"/>
  </r>
  <r>
    <n v="12"/>
    <x v="0"/>
    <x v="10"/>
    <d v="2026-04-07T00:00:00"/>
    <n v="254510"/>
    <n v="254507"/>
    <n v="3"/>
    <n v="254507"/>
    <n v="-1"/>
    <s v="Paid"/>
    <s v="OK"/>
  </r>
  <r>
    <n v="1"/>
    <x v="1"/>
    <x v="11"/>
    <d v="2025-05-23T00:00:00"/>
    <n v="238417"/>
    <n v="238420"/>
    <n v="-3"/>
    <n v="238420"/>
    <n v="3"/>
    <s v="Paid"/>
    <s v="OK"/>
  </r>
  <r>
    <n v="2"/>
    <x v="1"/>
    <x v="12"/>
    <d v="2025-06-10T00:00:00"/>
    <n v="569166"/>
    <n v="569171"/>
    <n v="-5"/>
    <n v="569171"/>
    <n v="-2"/>
    <s v="Paid"/>
    <s v="OK"/>
  </r>
  <r>
    <n v="3"/>
    <x v="1"/>
    <x v="13"/>
    <d v="2025-07-13T00:00:00"/>
    <n v="837458"/>
    <n v="837458"/>
    <n v="0"/>
    <n v="837458"/>
    <n v="2"/>
    <s v="Paid"/>
    <s v="OK"/>
  </r>
  <r>
    <n v="4"/>
    <x v="1"/>
    <x v="14"/>
    <d v="2025-08-03T00:00:00"/>
    <n v="987619"/>
    <n v="987618"/>
    <n v="1"/>
    <n v="987618"/>
    <n v="3"/>
    <s v="Paid"/>
    <s v="OK"/>
  </r>
  <r>
    <n v="5"/>
    <x v="1"/>
    <x v="15"/>
    <d v="2026-07-16T00:00:00"/>
    <n v="683148"/>
    <m/>
    <n v="683148"/>
    <n v="0"/>
    <n v="317"/>
    <s v="Unpaid"/>
    <s v="Review: Unpaid with payment date"/>
  </r>
  <r>
    <n v="6"/>
    <x v="1"/>
    <x v="16"/>
    <d v="2025-09-27T00:00:00"/>
    <n v="606449"/>
    <n v="606450"/>
    <n v="-1"/>
    <n v="606450"/>
    <n v="0"/>
    <s v="Paid"/>
    <s v="OK"/>
  </r>
  <r>
    <n v="7"/>
    <x v="1"/>
    <x v="17"/>
    <d v="2025-10-29T00:00:00"/>
    <n v="257478"/>
    <n v="257483"/>
    <n v="-5"/>
    <n v="257483"/>
    <n v="-2"/>
    <s v="Paid"/>
    <s v="OK"/>
  </r>
  <r>
    <n v="8"/>
    <x v="1"/>
    <x v="18"/>
    <d v="2026-07-16T00:00:00"/>
    <n v="145175"/>
    <m/>
    <n v="145175"/>
    <n v="0"/>
    <n v="212"/>
    <s v="Unpaid"/>
    <s v="Review: Unpaid with payment date"/>
  </r>
  <r>
    <n v="9"/>
    <x v="1"/>
    <x v="19"/>
    <d v="2026-07-16T00:00:00"/>
    <n v="105063"/>
    <m/>
    <n v="105063"/>
    <n v="0"/>
    <n v="201"/>
    <s v="Unpaid"/>
    <s v="Review: Unpaid with payment date"/>
  </r>
  <r>
    <n v="10"/>
    <x v="1"/>
    <x v="20"/>
    <d v="2026-01-25T00:00:00"/>
    <n v="112711"/>
    <n v="112714"/>
    <n v="-3"/>
    <n v="112714"/>
    <n v="3"/>
    <s v="Paid"/>
    <s v="OK"/>
  </r>
  <r>
    <n v="11"/>
    <x v="1"/>
    <x v="9"/>
    <d v="2026-03-08T00:00:00"/>
    <n v="96959"/>
    <n v="96963"/>
    <n v="-4"/>
    <n v="96963"/>
    <n v="0"/>
    <s v="Paid"/>
    <s v="OK"/>
  </r>
  <r>
    <n v="12"/>
    <x v="1"/>
    <x v="21"/>
    <d v="2026-04-16T00:00:00"/>
    <n v="144144"/>
    <n v="144142"/>
    <n v="2"/>
    <n v="144142"/>
    <n v="1"/>
    <s v="Paid"/>
    <s v="OK"/>
  </r>
  <r>
    <n v="1"/>
    <x v="2"/>
    <x v="11"/>
    <d v="2025-05-17T00:00:00"/>
    <n v="1020155"/>
    <n v="1020157"/>
    <n v="-2"/>
    <n v="1020157"/>
    <n v="-3"/>
    <s v="Paid"/>
    <s v="OK"/>
  </r>
  <r>
    <n v="2"/>
    <x v="2"/>
    <x v="12"/>
    <d v="2025-06-11T00:00:00"/>
    <n v="2258180"/>
    <n v="2258178"/>
    <n v="2"/>
    <n v="2258178"/>
    <n v="-1"/>
    <s v="Paid"/>
    <s v="OK"/>
  </r>
  <r>
    <n v="3"/>
    <x v="2"/>
    <x v="13"/>
    <d v="2025-07-11T00:00:00"/>
    <n v="3459503"/>
    <n v="3459504"/>
    <n v="-1"/>
    <n v="3459504"/>
    <n v="0"/>
    <s v="Paid"/>
    <s v="OK"/>
  </r>
  <r>
    <n v="4"/>
    <x v="2"/>
    <x v="14"/>
    <d v="2025-08-02T00:00:00"/>
    <n v="4709917"/>
    <n v="4709914"/>
    <n v="3"/>
    <n v="4709914"/>
    <n v="2"/>
    <s v="Paid"/>
    <s v="OK"/>
  </r>
  <r>
    <n v="5"/>
    <x v="2"/>
    <x v="15"/>
    <d v="2026-07-16T00:00:00"/>
    <n v="3250399"/>
    <m/>
    <n v="3250399"/>
    <n v="0"/>
    <n v="317"/>
    <s v="Unpaid"/>
    <s v="Review: Unpaid with payment date"/>
  </r>
  <r>
    <n v="6"/>
    <x v="2"/>
    <x v="16"/>
    <d v="2025-09-26T00:00:00"/>
    <n v="2327374"/>
    <n v="2327373"/>
    <n v="1"/>
    <n v="2327373"/>
    <n v="-1"/>
    <s v="Paid"/>
    <s v="OK"/>
  </r>
  <r>
    <n v="7"/>
    <x v="2"/>
    <x v="17"/>
    <d v="2025-11-02T00:00:00"/>
    <n v="924895"/>
    <n v="924899"/>
    <n v="-4"/>
    <n v="924899"/>
    <n v="2"/>
    <s v="Paid"/>
    <s v="OK"/>
  </r>
  <r>
    <n v="8"/>
    <x v="2"/>
    <x v="18"/>
    <d v="2026-07-16T00:00:00"/>
    <n v="587571"/>
    <m/>
    <n v="587571"/>
    <n v="0"/>
    <n v="212"/>
    <s v="Unpaid"/>
    <s v="Review: Unpaid with payment date"/>
  </r>
  <r>
    <n v="9"/>
    <x v="2"/>
    <x v="19"/>
    <d v="2026-07-16T00:00:00"/>
    <n v="682129"/>
    <m/>
    <n v="682129"/>
    <n v="0"/>
    <n v="201"/>
    <s v="Unpaid"/>
    <s v="Review: Unpaid with payment date"/>
  </r>
  <r>
    <n v="10"/>
    <x v="2"/>
    <x v="20"/>
    <d v="2026-07-16T00:00:00"/>
    <n v="779376"/>
    <m/>
    <n v="779376"/>
    <n v="0"/>
    <n v="175"/>
    <s v="Unpaid"/>
    <s v="Review: Unpaid with payment date"/>
  </r>
  <r>
    <n v="11"/>
    <x v="2"/>
    <x v="9"/>
    <d v="2026-07-16T00:00:00"/>
    <n v="606155"/>
    <m/>
    <n v="606155"/>
    <n v="0"/>
    <n v="130"/>
    <s v="Unpaid"/>
    <s v="Review: Unpaid with payment date"/>
  </r>
  <r>
    <n v="12"/>
    <x v="2"/>
    <x v="21"/>
    <d v="2026-04-16T00:00:00"/>
    <n v="625675"/>
    <n v="625678"/>
    <n v="-3"/>
    <n v="625678"/>
    <n v="1"/>
    <s v="Paid"/>
    <s v="OK"/>
  </r>
  <r>
    <n v="1"/>
    <x v="3"/>
    <x v="22"/>
    <d v="2025-06-06T00:00:00"/>
    <n v="706261"/>
    <n v="706260"/>
    <n v="1"/>
    <n v="706260"/>
    <n v="0"/>
    <s v="Paid"/>
    <s v="OK"/>
  </r>
  <r>
    <n v="2"/>
    <x v="3"/>
    <x v="23"/>
    <d v="2025-08-08T00:00:00"/>
    <n v="1563355"/>
    <n v="1563357"/>
    <n v="-2"/>
    <n v="1563357"/>
    <n v="0"/>
    <s v="Paid"/>
    <s v="OK"/>
  </r>
  <r>
    <n v="3"/>
    <x v="3"/>
    <x v="23"/>
    <d v="2025-08-05T00:00:00"/>
    <n v="2395041"/>
    <n v="2395037"/>
    <n v="4"/>
    <n v="2395037"/>
    <n v="-3"/>
    <s v="Paid"/>
    <s v="OK"/>
  </r>
  <r>
    <n v="4"/>
    <x v="3"/>
    <x v="24"/>
    <d v="2025-09-15T00:00:00"/>
    <n v="3260712"/>
    <n v="3260714"/>
    <n v="-2"/>
    <n v="3260714"/>
    <n v="3"/>
    <s v="Paid"/>
    <s v="OK"/>
  </r>
  <r>
    <n v="5"/>
    <x v="3"/>
    <x v="25"/>
    <d v="2025-10-13T00:00:00"/>
    <n v="2250276"/>
    <n v="2250273"/>
    <n v="3"/>
    <n v="2250273"/>
    <n v="0"/>
    <s v="Paid"/>
    <s v="OK"/>
  </r>
  <r>
    <n v="6"/>
    <x v="3"/>
    <x v="26"/>
    <d v="2025-11-05T00:00:00"/>
    <n v="1611259"/>
    <n v="1611256"/>
    <n v="3"/>
    <n v="1611256"/>
    <n v="-2"/>
    <s v="Paid"/>
    <s v="OK"/>
  </r>
  <r>
    <n v="7"/>
    <x v="3"/>
    <x v="27"/>
    <d v="2025-12-10T00:00:00"/>
    <n v="640312"/>
    <n v="640307"/>
    <n v="5"/>
    <n v="640307"/>
    <n v="3"/>
    <s v="Paid"/>
    <s v="OK"/>
  </r>
  <r>
    <n v="8"/>
    <x v="3"/>
    <x v="28"/>
    <d v="2026-01-12T00:00:00"/>
    <n v="406780"/>
    <n v="406780"/>
    <n v="0"/>
    <n v="406780"/>
    <n v="1"/>
    <s v="Paid"/>
    <s v="OK"/>
  </r>
  <r>
    <n v="9"/>
    <x v="3"/>
    <x v="29"/>
    <d v="2026-02-12T00:00:00"/>
    <n v="472243"/>
    <n v="472240"/>
    <n v="3"/>
    <n v="472240"/>
    <n v="2"/>
    <s v="Paid"/>
    <s v="OK"/>
  </r>
  <r>
    <n v="10"/>
    <x v="3"/>
    <x v="9"/>
    <d v="2026-03-06T00:00:00"/>
    <n v="539568"/>
    <n v="539569"/>
    <n v="-1"/>
    <n v="539569"/>
    <n v="-2"/>
    <s v="Paid"/>
    <s v="OK"/>
  </r>
  <r>
    <n v="11"/>
    <x v="3"/>
    <x v="30"/>
    <d v="2026-04-18T00:00:00"/>
    <n v="419646"/>
    <n v="419646"/>
    <n v="0"/>
    <n v="419646"/>
    <n v="-2"/>
    <s v="Paid"/>
    <s v="OK"/>
  </r>
  <r>
    <n v="12"/>
    <x v="3"/>
    <x v="31"/>
    <d v="2026-05-08T00:00:00"/>
    <n v="433159"/>
    <n v="433155"/>
    <n v="4"/>
    <n v="433155"/>
    <n v="2"/>
    <s v="Paid"/>
    <s v="OK"/>
  </r>
  <r>
    <n v="1"/>
    <x v="4"/>
    <x v="32"/>
    <d v="2025-04-22T00:00:00"/>
    <n v="317732"/>
    <n v="317729"/>
    <n v="3"/>
    <n v="317729"/>
    <n v="0"/>
    <s v="Paid"/>
    <s v="OK"/>
  </r>
  <r>
    <n v="2"/>
    <x v="4"/>
    <x v="33"/>
    <d v="2025-05-20T00:00:00"/>
    <n v="647348"/>
    <n v="647352"/>
    <n v="-4"/>
    <n v="647352"/>
    <n v="-3"/>
    <s v="Paid"/>
    <s v="OK"/>
  </r>
  <r>
    <n v="3"/>
    <x v="4"/>
    <x v="34"/>
    <d v="2025-06-23T00:00:00"/>
    <n v="893849"/>
    <n v="893854"/>
    <n v="-5"/>
    <n v="893854"/>
    <n v="-1"/>
    <s v="Paid"/>
    <s v="OK"/>
  </r>
  <r>
    <n v="4"/>
    <x v="4"/>
    <x v="35"/>
    <d v="2026-03-21T00:00:00"/>
    <n v="1397765"/>
    <n v="1397766"/>
    <n v="-1"/>
    <n v="1397766"/>
    <n v="2"/>
    <s v="Paid"/>
    <s v="OK"/>
  </r>
  <r>
    <n v="5"/>
    <x v="4"/>
    <x v="35"/>
    <d v="2026-07-16T00:00:00"/>
    <n v="1034925"/>
    <m/>
    <n v="1034925"/>
    <n v="0"/>
    <n v="119"/>
    <s v="Unpaid"/>
    <s v="Review: Unpaid with payment date"/>
  </r>
  <r>
    <n v="6"/>
    <x v="4"/>
    <x v="36"/>
    <d v="2026-03-06T00:00:00"/>
    <n v="878986"/>
    <n v="878987"/>
    <n v="-1"/>
    <n v="878987"/>
    <n v="2"/>
    <s v="Paid"/>
    <s v="OK"/>
  </r>
  <r>
    <n v="7"/>
    <x v="4"/>
    <x v="36"/>
    <d v="2026-03-04T00:00:00"/>
    <n v="375555"/>
    <n v="375558"/>
    <n v="-3"/>
    <n v="375558"/>
    <n v="0"/>
    <s v="Paid"/>
    <s v="OK"/>
  </r>
  <r>
    <n v="8"/>
    <x v="4"/>
    <x v="36"/>
    <d v="2026-07-16T00:00:00"/>
    <n v="316866"/>
    <m/>
    <n v="316866"/>
    <n v="0"/>
    <n v="134"/>
    <s v="Unpaid"/>
    <s v="Review: Unpaid with payment date"/>
  </r>
  <r>
    <n v="9"/>
    <x v="4"/>
    <x v="36"/>
    <d v="2026-07-16T00:00:00"/>
    <n v="344756"/>
    <m/>
    <n v="344756"/>
    <n v="0"/>
    <n v="134"/>
    <s v="Unpaid"/>
    <s v="Review: Unpaid with payment date"/>
  </r>
  <r>
    <n v="10"/>
    <x v="4"/>
    <x v="36"/>
    <d v="2026-03-05T00:00:00"/>
    <n v="397555"/>
    <n v="397555"/>
    <n v="0"/>
    <n v="397555"/>
    <n v="1"/>
    <s v="Paid"/>
    <s v="OK"/>
  </r>
  <r>
    <n v="11"/>
    <x v="4"/>
    <x v="36"/>
    <d v="2026-03-06T00:00:00"/>
    <n v="257519"/>
    <n v="257521"/>
    <n v="-2"/>
    <n v="257521"/>
    <n v="2"/>
    <s v="Paid"/>
    <s v="OK"/>
  </r>
  <r>
    <n v="12"/>
    <x v="4"/>
    <x v="36"/>
    <d v="2026-03-05T00:00:00"/>
    <n v="228521"/>
    <n v="228516"/>
    <n v="5"/>
    <n v="228516"/>
    <n v="1"/>
    <s v="Paid"/>
    <s v="OK"/>
  </r>
  <r>
    <n v="1"/>
    <x v="5"/>
    <x v="37"/>
    <d v="2026-04-11T00:00:00"/>
    <n v="937740"/>
    <n v="937740"/>
    <n v="0"/>
    <n v="937740"/>
    <n v="-3"/>
    <s v="Paid"/>
    <s v="OK"/>
  </r>
  <r>
    <n v="2"/>
    <x v="5"/>
    <x v="38"/>
    <d v="2025-05-22T00:00:00"/>
    <n v="740887"/>
    <n v="740888"/>
    <n v="-1"/>
    <n v="740888"/>
    <n v="-2"/>
    <s v="Paid"/>
    <s v="OK"/>
  </r>
  <r>
    <n v="3"/>
    <x v="5"/>
    <x v="39"/>
    <d v="2025-06-19T00:00:00"/>
    <n v="1498981"/>
    <n v="1498978"/>
    <n v="3"/>
    <n v="1498978"/>
    <n v="-1"/>
    <s v="Paid"/>
    <s v="OK"/>
  </r>
  <r>
    <n v="4"/>
    <x v="5"/>
    <x v="40"/>
    <d v="2025-07-11T00:00:00"/>
    <n v="1390688"/>
    <n v="1390688"/>
    <n v="0"/>
    <n v="1390688"/>
    <n v="-3"/>
    <s v="Paid"/>
    <s v="OK"/>
  </r>
  <r>
    <n v="5"/>
    <x v="5"/>
    <x v="41"/>
    <d v="2026-07-16T00:00:00"/>
    <n v="1082808"/>
    <m/>
    <n v="1082808"/>
    <n v="0"/>
    <n v="322"/>
    <s v="Unpaid"/>
    <s v="Review: Unpaid with payment date"/>
  </r>
  <r>
    <n v="6"/>
    <x v="5"/>
    <x v="16"/>
    <d v="2026-07-16T00:00:00"/>
    <n v="800868"/>
    <m/>
    <n v="800868"/>
    <n v="0"/>
    <n v="292"/>
    <s v="Unpaid"/>
    <s v="Review: Unpaid with payment date"/>
  </r>
  <r>
    <n v="7"/>
    <x v="5"/>
    <x v="42"/>
    <d v="2026-07-16T00:00:00"/>
    <n v="256769"/>
    <m/>
    <n v="256769"/>
    <n v="0"/>
    <n v="270"/>
    <s v="Unpaid"/>
    <s v="Review: Unpaid with payment date"/>
  </r>
  <r>
    <n v="8"/>
    <x v="5"/>
    <x v="43"/>
    <d v="2026-07-16T00:00:00"/>
    <n v="213646"/>
    <m/>
    <n v="213646"/>
    <n v="0"/>
    <n v="217"/>
    <s v="Unpaid"/>
    <s v="Review: Unpaid with payment date"/>
  </r>
  <r>
    <n v="9"/>
    <x v="5"/>
    <x v="44"/>
    <d v="2026-07-16T00:00:00"/>
    <n v="239819"/>
    <m/>
    <n v="239819"/>
    <n v="0"/>
    <n v="206"/>
    <s v="Unpaid"/>
    <s v="Review: Unpaid with payment date"/>
  </r>
  <r>
    <n v="10"/>
    <x v="5"/>
    <x v="45"/>
    <d v="2026-07-16T00:00:00"/>
    <n v="197122"/>
    <m/>
    <n v="197122"/>
    <n v="0"/>
    <n v="159"/>
    <s v="Unpaid"/>
    <s v="Review: Unpaid with payment date"/>
  </r>
  <r>
    <n v="11"/>
    <x v="5"/>
    <x v="46"/>
    <d v="2026-07-16T00:00:00"/>
    <n v="170893"/>
    <m/>
    <n v="170893"/>
    <n v="0"/>
    <n v="135"/>
    <s v="Unpaid"/>
    <s v="Review: Unpaid with payment date"/>
  </r>
  <r>
    <n v="12"/>
    <x v="5"/>
    <x v="47"/>
    <d v="2026-04-02T00:00:00"/>
    <n v="421574"/>
    <n v="421570"/>
    <n v="4"/>
    <n v="421570"/>
    <n v="-1"/>
    <s v="Paid"/>
    <s v="OK"/>
  </r>
  <r>
    <n v="1"/>
    <x v="6"/>
    <x v="48"/>
    <d v="2026-04-10T00:00:00"/>
    <n v="602300"/>
    <n v="602299"/>
    <n v="1"/>
    <n v="602299"/>
    <n v="-1"/>
    <s v="Paid"/>
    <s v="OK"/>
  </r>
  <r>
    <n v="2"/>
    <x v="6"/>
    <x v="49"/>
    <d v="2025-05-21T00:00:00"/>
    <n v="828988"/>
    <n v="828988"/>
    <n v="0"/>
    <n v="828988"/>
    <n v="0"/>
    <s v="Paid"/>
    <s v="OK"/>
  </r>
  <r>
    <n v="3"/>
    <x v="6"/>
    <x v="50"/>
    <d v="2025-06-20T00:00:00"/>
    <n v="2011204"/>
    <n v="2011200"/>
    <n v="4"/>
    <n v="2011200"/>
    <n v="3"/>
    <s v="Paid"/>
    <s v="OK"/>
  </r>
  <r>
    <n v="4"/>
    <x v="6"/>
    <x v="13"/>
    <d v="2025-07-08T00:00:00"/>
    <n v="2505259"/>
    <n v="2505264"/>
    <n v="-5"/>
    <n v="2505264"/>
    <n v="-3"/>
    <s v="Paid"/>
    <s v="OK"/>
  </r>
  <r>
    <n v="5"/>
    <x v="6"/>
    <x v="51"/>
    <d v="2025-08-25T00:00:00"/>
    <n v="1558371"/>
    <n v="1558367"/>
    <n v="4"/>
    <n v="1558367"/>
    <n v="0"/>
    <s v="Paid"/>
    <s v="OK"/>
  </r>
  <r>
    <n v="6"/>
    <x v="6"/>
    <x v="52"/>
    <d v="2025-09-22T00:00:00"/>
    <n v="976351"/>
    <n v="976346"/>
    <n v="5"/>
    <n v="976346"/>
    <n v="-2"/>
    <s v="Paid"/>
    <s v="OK"/>
  </r>
  <r>
    <n v="7"/>
    <x v="6"/>
    <x v="53"/>
    <d v="2025-10-13T00:00:00"/>
    <n v="692513"/>
    <n v="692513"/>
    <n v="0"/>
    <n v="692513"/>
    <n v="-3"/>
    <s v="Paid"/>
    <s v="OK"/>
  </r>
  <r>
    <n v="8"/>
    <x v="6"/>
    <x v="54"/>
    <d v="2025-12-08T00:00:00"/>
    <n v="666650"/>
    <n v="666655"/>
    <n v="-5"/>
    <n v="666655"/>
    <n v="0"/>
    <s v="Paid"/>
    <s v="OK"/>
  </r>
  <r>
    <n v="9"/>
    <x v="6"/>
    <x v="55"/>
    <d v="2025-12-16T00:00:00"/>
    <n v="728344"/>
    <n v="728345"/>
    <n v="-1"/>
    <n v="728345"/>
    <n v="-3"/>
    <s v="Paid"/>
    <s v="OK"/>
  </r>
  <r>
    <n v="10"/>
    <x v="6"/>
    <x v="56"/>
    <d v="2026-02-01T00:00:00"/>
    <n v="451293"/>
    <n v="451295"/>
    <n v="-2"/>
    <n v="451295"/>
    <n v="-3"/>
    <s v="Paid"/>
    <s v="OK"/>
  </r>
  <r>
    <n v="11"/>
    <x v="6"/>
    <x v="57"/>
    <d v="2026-02-27T00:00:00"/>
    <n v="293294"/>
    <n v="293298"/>
    <n v="-4"/>
    <n v="293298"/>
    <n v="-1"/>
    <s v="Paid"/>
    <s v="OK"/>
  </r>
  <r>
    <n v="12"/>
    <x v="6"/>
    <x v="58"/>
    <d v="2026-04-02T00:00:00"/>
    <n v="435327"/>
    <n v="435328"/>
    <n v="-1"/>
    <n v="435328"/>
    <n v="2"/>
    <s v="Paid"/>
    <s v="OK"/>
  </r>
  <r>
    <n v="1"/>
    <x v="7"/>
    <x v="59"/>
    <d v="2026-04-18T00:00:00"/>
    <n v="1178498"/>
    <n v="1178493"/>
    <n v="5"/>
    <n v="1178493"/>
    <n v="-1"/>
    <s v="Paid"/>
    <s v="OK"/>
  </r>
  <r>
    <n v="2"/>
    <x v="7"/>
    <x v="60"/>
    <d v="2025-05-26T00:00:00"/>
    <n v="1671924"/>
    <n v="1671927"/>
    <n v="-3"/>
    <n v="1671927"/>
    <n v="-3"/>
    <s v="Paid"/>
    <s v="OK"/>
  </r>
  <r>
    <n v="3"/>
    <x v="7"/>
    <x v="1"/>
    <d v="2025-06-28T00:00:00"/>
    <n v="4414497"/>
    <n v="4414496"/>
    <n v="1"/>
    <n v="4414496"/>
    <n v="3"/>
    <s v="Paid"/>
    <s v="OK"/>
  </r>
  <r>
    <n v="4"/>
    <x v="7"/>
    <x v="61"/>
    <d v="2025-07-17T00:00:00"/>
    <n v="4405765"/>
    <n v="4405760"/>
    <n v="5"/>
    <n v="4405760"/>
    <n v="-2"/>
    <s v="Paid"/>
    <s v="OK"/>
  </r>
  <r>
    <n v="5"/>
    <x v="7"/>
    <x v="15"/>
    <d v="2026-07-16T00:00:00"/>
    <n v="2651196"/>
    <m/>
    <n v="2651196"/>
    <n v="0"/>
    <n v="317"/>
    <s v="Unpaid"/>
    <s v="Review: Unpaid with payment date"/>
  </r>
  <r>
    <n v="6"/>
    <x v="7"/>
    <x v="62"/>
    <d v="2025-10-01T00:00:00"/>
    <n v="1843517"/>
    <n v="1843516"/>
    <n v="1"/>
    <n v="1843516"/>
    <n v="-1"/>
    <s v="Paid"/>
    <s v="OK"/>
  </r>
  <r>
    <n v="7"/>
    <x v="7"/>
    <x v="63"/>
    <d v="2025-10-27T00:00:00"/>
    <n v="1014381"/>
    <n v="1014380"/>
    <n v="1"/>
    <n v="1014380"/>
    <n v="3"/>
    <s v="Paid"/>
    <s v="OK"/>
  </r>
  <r>
    <n v="8"/>
    <x v="7"/>
    <x v="18"/>
    <d v="2026-07-16T00:00:00"/>
    <n v="1574935"/>
    <m/>
    <n v="1574935"/>
    <n v="0"/>
    <n v="212"/>
    <s v="Unpaid"/>
    <s v="Review: Unpaid with payment date"/>
  </r>
  <r>
    <n v="9"/>
    <x v="7"/>
    <x v="19"/>
    <d v="2026-07-16T00:00:00"/>
    <n v="2010332"/>
    <m/>
    <n v="2010332"/>
    <n v="0"/>
    <n v="201"/>
    <s v="Unpaid"/>
    <s v="Review: Unpaid with payment date"/>
  </r>
  <r>
    <n v="10"/>
    <x v="7"/>
    <x v="64"/>
    <d v="2026-02-09T00:00:00"/>
    <n v="754335"/>
    <n v="754340"/>
    <n v="-5"/>
    <n v="754340"/>
    <n v="-3"/>
    <s v="Paid"/>
    <s v="OK"/>
  </r>
  <r>
    <n v="11"/>
    <x v="7"/>
    <x v="9"/>
    <d v="2026-03-10T00:00:00"/>
    <n v="620160"/>
    <n v="620157"/>
    <n v="3"/>
    <n v="620157"/>
    <n v="2"/>
    <s v="Paid"/>
    <s v="OK"/>
  </r>
  <r>
    <n v="12"/>
    <x v="7"/>
    <x v="10"/>
    <d v="2026-04-10T00:00:00"/>
    <n v="961065"/>
    <n v="961066"/>
    <n v="-1"/>
    <n v="961066"/>
    <n v="2"/>
    <s v="Paid"/>
    <s v="OK"/>
  </r>
  <r>
    <n v="1"/>
    <x v="8"/>
    <x v="65"/>
    <d v="2025-04-21T00:00:00"/>
    <n v="465408"/>
    <n v="465407"/>
    <n v="1"/>
    <n v="465407"/>
    <n v="-2"/>
    <s v="Paid"/>
    <s v="OK"/>
  </r>
  <r>
    <n v="2"/>
    <x v="8"/>
    <x v="0"/>
    <d v="2025-05-29T00:00:00"/>
    <n v="897368"/>
    <n v="897366"/>
    <n v="2"/>
    <n v="897366"/>
    <n v="2"/>
    <s v="Paid"/>
    <s v="OK"/>
  </r>
  <r>
    <n v="3"/>
    <x v="8"/>
    <x v="34"/>
    <d v="2025-06-24T00:00:00"/>
    <n v="1439441"/>
    <n v="1439437"/>
    <n v="4"/>
    <n v="1439437"/>
    <n v="0"/>
    <s v="Paid"/>
    <s v="OK"/>
  </r>
  <r>
    <n v="4"/>
    <x v="8"/>
    <x v="66"/>
    <d v="2025-07-31T00:00:00"/>
    <n v="2091905"/>
    <n v="2091904"/>
    <n v="1"/>
    <n v="2091904"/>
    <n v="2"/>
    <s v="Paid"/>
    <s v="OK"/>
  </r>
  <r>
    <n v="5"/>
    <x v="8"/>
    <x v="67"/>
    <d v="2026-07-16T00:00:00"/>
    <n v="1726223"/>
    <m/>
    <n v="1726223"/>
    <n v="0"/>
    <n v="321"/>
    <s v="Unpaid"/>
    <s v="Review: Unpaid with payment date"/>
  </r>
  <r>
    <n v="6"/>
    <x v="8"/>
    <x v="68"/>
    <d v="2025-09-22T00:00:00"/>
    <n v="1070298"/>
    <n v="1070293"/>
    <n v="5"/>
    <n v="1070293"/>
    <n v="-1"/>
    <s v="Paid"/>
    <s v="OK"/>
  </r>
  <r>
    <n v="7"/>
    <x v="8"/>
    <x v="69"/>
    <d v="2025-11-11T00:00:00"/>
    <n v="773434"/>
    <n v="773431"/>
    <n v="3"/>
    <n v="773431"/>
    <n v="0"/>
    <s v="Paid"/>
    <s v="OK"/>
  </r>
  <r>
    <n v="8"/>
    <x v="8"/>
    <x v="70"/>
    <d v="2026-07-16T00:00:00"/>
    <n v="651777"/>
    <m/>
    <n v="651777"/>
    <n v="0"/>
    <n v="231"/>
    <s v="Unpaid"/>
    <s v="Review: Unpaid with payment date"/>
  </r>
  <r>
    <n v="9"/>
    <x v="8"/>
    <x v="19"/>
    <d v="2026-07-16T00:00:00"/>
    <n v="850259"/>
    <m/>
    <n v="850259"/>
    <n v="0"/>
    <n v="201"/>
    <s v="Unpaid"/>
    <s v="Review: Unpaid with payment date"/>
  </r>
  <r>
    <n v="10"/>
    <x v="8"/>
    <x v="71"/>
    <d v="2026-07-16T00:00:00"/>
    <n v="390494"/>
    <m/>
    <n v="390494"/>
    <n v="0"/>
    <n v="174"/>
    <s v="Unpaid"/>
    <s v="Review: Unpaid with payment date"/>
  </r>
  <r>
    <n v="11"/>
    <x v="8"/>
    <x v="72"/>
    <d v="2026-07-16T00:00:00"/>
    <n v="345243"/>
    <m/>
    <n v="345243"/>
    <n v="0"/>
    <n v="131"/>
    <s v="Unpaid"/>
    <s v="Review: Unpaid with payment date"/>
  </r>
  <r>
    <n v="12"/>
    <x v="8"/>
    <x v="73"/>
    <d v="2026-03-19T00:00:00"/>
    <n v="319297"/>
    <n v="319302"/>
    <n v="-5"/>
    <n v="319302"/>
    <n v="-3"/>
    <s v="Paid"/>
    <s v="OK"/>
  </r>
  <r>
    <n v="1"/>
    <x v="9"/>
    <x v="0"/>
    <d v="2025-05-24T00:00:00"/>
    <n v="668966"/>
    <n v="668962"/>
    <n v="4"/>
    <n v="668962"/>
    <n v="-3"/>
    <s v="Paid"/>
    <s v="OK"/>
  </r>
  <r>
    <n v="2"/>
    <x v="9"/>
    <x v="1"/>
    <d v="2025-06-22T00:00:00"/>
    <n v="1854861"/>
    <n v="1854857"/>
    <n v="4"/>
    <n v="1854857"/>
    <n v="-3"/>
    <s v="Paid"/>
    <s v="OK"/>
  </r>
  <r>
    <n v="3"/>
    <x v="9"/>
    <x v="2"/>
    <d v="2025-07-25T00:00:00"/>
    <n v="2878316"/>
    <n v="2878318"/>
    <n v="-2"/>
    <n v="2878318"/>
    <n v="3"/>
    <s v="Paid"/>
    <s v="OK"/>
  </r>
  <r>
    <n v="4"/>
    <x v="9"/>
    <x v="3"/>
    <d v="2025-08-24T00:00:00"/>
    <n v="3336030"/>
    <n v="3336030"/>
    <n v="0"/>
    <n v="3336030"/>
    <n v="-2"/>
    <s v="Paid"/>
    <s v="OK"/>
  </r>
  <r>
    <n v="5"/>
    <x v="9"/>
    <x v="4"/>
    <d v="2025-09-28T00:00:00"/>
    <n v="2068514"/>
    <n v="2068517"/>
    <n v="-3"/>
    <n v="2068517"/>
    <n v="-2"/>
    <s v="Paid"/>
    <s v="OK"/>
  </r>
  <r>
    <n v="6"/>
    <x v="9"/>
    <x v="5"/>
    <d v="2025-10-25T00:00:00"/>
    <n v="1525979"/>
    <n v="1525980"/>
    <n v="-1"/>
    <n v="1525980"/>
    <n v="2"/>
    <s v="Paid"/>
    <s v="OK"/>
  </r>
  <r>
    <n v="7"/>
    <x v="9"/>
    <x v="6"/>
    <d v="2026-07-16T00:00:00"/>
    <n v="946635"/>
    <m/>
    <n v="946635"/>
    <n v="0"/>
    <n v="234"/>
    <s v="Unpaid"/>
    <s v="Review: Unpaid with payment date"/>
  </r>
  <r>
    <n v="8"/>
    <x v="9"/>
    <x v="7"/>
    <d v="2026-07-16T00:00:00"/>
    <n v="871417"/>
    <m/>
    <n v="871417"/>
    <n v="0"/>
    <n v="207"/>
    <s v="Unpaid"/>
    <s v="Review: Unpaid with payment date"/>
  </r>
  <r>
    <n v="9"/>
    <x v="9"/>
    <x v="8"/>
    <d v="2026-07-16T00:00:00"/>
    <n v="1232306"/>
    <m/>
    <n v="1232306"/>
    <n v="0"/>
    <n v="155"/>
    <s v="Unpaid"/>
    <s v="Review: Unpaid with payment date"/>
  </r>
  <r>
    <n v="10"/>
    <x v="9"/>
    <x v="9"/>
    <d v="2026-07-16T00:00:00"/>
    <n v="1151486"/>
    <m/>
    <n v="1151486"/>
    <n v="0"/>
    <n v="130"/>
    <s v="Unpaid"/>
    <s v="Review: Unpaid with payment date"/>
  </r>
  <r>
    <n v="11"/>
    <x v="9"/>
    <x v="10"/>
    <d v="2026-04-09T00:00:00"/>
    <n v="861814"/>
    <n v="861810"/>
    <n v="4"/>
    <n v="861810"/>
    <n v="1"/>
    <s v="Paid"/>
    <s v="OK"/>
  </r>
  <r>
    <n v="12"/>
    <x v="9"/>
    <x v="10"/>
    <d v="2026-04-05T00:00:00"/>
    <n v="666566"/>
    <n v="666565"/>
    <n v="1"/>
    <n v="666565"/>
    <n v="-3"/>
    <s v="Paid"/>
    <s v="OK"/>
  </r>
  <r>
    <n v="1"/>
    <x v="10"/>
    <x v="0"/>
    <d v="2025-05-25T00:00:00"/>
    <n v="449330"/>
    <n v="449331"/>
    <n v="-1"/>
    <n v="449331"/>
    <n v="-2"/>
    <s v="Paid"/>
    <s v="OK"/>
  </r>
  <r>
    <n v="2"/>
    <x v="10"/>
    <x v="1"/>
    <d v="2025-06-26T00:00:00"/>
    <n v="509843"/>
    <n v="509841"/>
    <n v="2"/>
    <n v="509841"/>
    <n v="1"/>
    <s v="Paid"/>
    <s v="OK"/>
  </r>
  <r>
    <n v="3"/>
    <x v="10"/>
    <x v="2"/>
    <d v="2025-07-22T00:00:00"/>
    <n v="989337"/>
    <n v="989333"/>
    <n v="4"/>
    <n v="989333"/>
    <n v="0"/>
    <s v="Paid"/>
    <s v="OK"/>
  </r>
  <r>
    <n v="4"/>
    <x v="10"/>
    <x v="3"/>
    <d v="2025-08-25T00:00:00"/>
    <n v="1084283"/>
    <n v="1084279"/>
    <n v="4"/>
    <n v="1084279"/>
    <n v="-1"/>
    <s v="Paid"/>
    <s v="OK"/>
  </r>
  <r>
    <n v="5"/>
    <x v="10"/>
    <x v="4"/>
    <d v="2026-07-16T00:00:00"/>
    <n v="637567"/>
    <m/>
    <n v="637567"/>
    <n v="0"/>
    <n v="289"/>
    <s v="Unpaid"/>
    <s v="Review: Unpaid with payment date"/>
  </r>
  <r>
    <n v="6"/>
    <x v="10"/>
    <x v="5"/>
    <d v="2025-10-24T00:00:00"/>
    <n v="542700"/>
    <n v="542696"/>
    <n v="4"/>
    <n v="542696"/>
    <n v="1"/>
    <s v="Paid"/>
    <s v="OK"/>
  </r>
  <r>
    <n v="7"/>
    <x v="10"/>
    <x v="6"/>
    <d v="2025-11-21T00:00:00"/>
    <n v="407349"/>
    <n v="407351"/>
    <n v="-2"/>
    <n v="407351"/>
    <n v="-3"/>
    <s v="Paid"/>
    <s v="OK"/>
  </r>
  <r>
    <n v="8"/>
    <x v="10"/>
    <x v="7"/>
    <d v="2026-07-16T00:00:00"/>
    <n v="384352"/>
    <m/>
    <n v="384352"/>
    <n v="0"/>
    <n v="207"/>
    <s v="Unpaid"/>
    <s v="Review: Unpaid with payment date"/>
  </r>
  <r>
    <n v="9"/>
    <x v="10"/>
    <x v="8"/>
    <d v="2026-07-16T00:00:00"/>
    <n v="527914"/>
    <m/>
    <n v="527914"/>
    <n v="0"/>
    <n v="155"/>
    <s v="Unpaid"/>
    <s v="Review: Unpaid with payment date"/>
  </r>
  <r>
    <n v="10"/>
    <x v="10"/>
    <x v="9"/>
    <d v="2026-03-09T00:00:00"/>
    <n v="232425"/>
    <n v="232421"/>
    <n v="4"/>
    <n v="232421"/>
    <n v="1"/>
    <s v="Paid"/>
    <s v="OK"/>
  </r>
  <r>
    <n v="11"/>
    <x v="10"/>
    <x v="10"/>
    <d v="2026-04-09T00:00:00"/>
    <n v="167894"/>
    <n v="167890"/>
    <n v="4"/>
    <n v="167890"/>
    <n v="1"/>
    <s v="Paid"/>
    <s v="OK"/>
  </r>
  <r>
    <n v="12"/>
    <x v="10"/>
    <x v="10"/>
    <d v="2026-04-08T00:00:00"/>
    <n v="203156"/>
    <n v="203158"/>
    <n v="-2"/>
    <n v="203158"/>
    <n v="0"/>
    <s v="Paid"/>
    <s v="OK"/>
  </r>
  <r>
    <n v="1"/>
    <x v="11"/>
    <x v="74"/>
    <d v="2025-04-18T00:00:00"/>
    <n v="325258"/>
    <n v="325261"/>
    <n v="-3"/>
    <n v="325261"/>
    <n v="0"/>
    <s v="Paid"/>
    <s v="OK"/>
  </r>
  <r>
    <n v="2"/>
    <x v="11"/>
    <x v="75"/>
    <d v="2025-05-20T00:00:00"/>
    <n v="1119655"/>
    <n v="1119656"/>
    <n v="-1"/>
    <n v="1119656"/>
    <n v="-2"/>
    <s v="Paid"/>
    <s v="OK"/>
  </r>
  <r>
    <n v="3"/>
    <x v="11"/>
    <x v="76"/>
    <d v="2025-06-19T00:00:00"/>
    <n v="1722484"/>
    <n v="1722484"/>
    <n v="0"/>
    <n v="1722484"/>
    <n v="0"/>
    <s v="Paid"/>
    <s v="OK"/>
  </r>
  <r>
    <n v="4"/>
    <x v="11"/>
    <x v="77"/>
    <d v="2025-07-27T00:00:00"/>
    <n v="1894080"/>
    <n v="1894075"/>
    <n v="5"/>
    <n v="1894075"/>
    <n v="3"/>
    <s v="Paid"/>
    <s v="OK"/>
  </r>
  <r>
    <n v="5"/>
    <x v="11"/>
    <x v="78"/>
    <d v="2026-07-16T00:00:00"/>
    <n v="1243563"/>
    <m/>
    <n v="1243563"/>
    <n v="0"/>
    <n v="326"/>
    <s v="Unpaid"/>
    <s v="Review: Unpaid with payment date"/>
  </r>
  <r>
    <n v="6"/>
    <x v="11"/>
    <x v="79"/>
    <d v="2026-07-16T00:00:00"/>
    <n v="1102129"/>
    <m/>
    <n v="1102129"/>
    <n v="0"/>
    <n v="301"/>
    <s v="Unpaid"/>
    <s v="Review: Unpaid with payment date"/>
  </r>
  <r>
    <n v="7"/>
    <x v="11"/>
    <x v="80"/>
    <d v="2026-07-16T00:00:00"/>
    <n v="718585"/>
    <m/>
    <n v="718585"/>
    <n v="0"/>
    <n v="252"/>
    <s v="Unpaid"/>
    <s v="Review: Unpaid with payment date"/>
  </r>
  <r>
    <n v="8"/>
    <x v="11"/>
    <x v="81"/>
    <d v="2026-07-16T00:00:00"/>
    <n v="383544"/>
    <m/>
    <n v="383544"/>
    <n v="0"/>
    <n v="236"/>
    <s v="Unpaid"/>
    <s v="Review: Unpaid with payment date"/>
  </r>
  <r>
    <n v="9"/>
    <x v="11"/>
    <x v="44"/>
    <d v="2026-07-16T00:00:00"/>
    <n v="505414"/>
    <m/>
    <n v="505414"/>
    <n v="0"/>
    <n v="206"/>
    <s v="Unpaid"/>
    <s v="Review: Unpaid with payment date"/>
  </r>
  <r>
    <n v="10"/>
    <x v="11"/>
    <x v="82"/>
    <d v="2026-07-16T00:00:00"/>
    <n v="560031"/>
    <m/>
    <n v="560031"/>
    <n v="0"/>
    <n v="179"/>
    <s v="Unpaid"/>
    <s v="Review: Unpaid with payment date"/>
  </r>
  <r>
    <n v="11"/>
    <x v="11"/>
    <x v="83"/>
    <d v="2026-07-16T00:00:00"/>
    <n v="410445"/>
    <m/>
    <n v="410445"/>
    <n v="0"/>
    <n v="136"/>
    <s v="Unpaid"/>
    <s v="Review: Unpaid with payment date"/>
  </r>
  <r>
    <n v="12"/>
    <x v="11"/>
    <x v="84"/>
    <d v="2026-03-14T00:00:00"/>
    <n v="359089"/>
    <n v="359088"/>
    <n v="1"/>
    <n v="359088"/>
    <n v="-3"/>
    <s v="Paid"/>
    <s v="OK"/>
  </r>
  <r>
    <n v="1"/>
    <x v="12"/>
    <x v="65"/>
    <d v="2025-04-21T00:00:00"/>
    <n v="267380"/>
    <n v="267376"/>
    <n v="4"/>
    <n v="267376"/>
    <n v="-2"/>
    <s v="Paid"/>
    <s v="OK"/>
  </r>
  <r>
    <n v="2"/>
    <x v="12"/>
    <x v="0"/>
    <d v="2025-05-25T00:00:00"/>
    <n v="1020610"/>
    <n v="1020606"/>
    <n v="4"/>
    <n v="1020606"/>
    <n v="-2"/>
    <s v="Paid"/>
    <s v="OK"/>
  </r>
  <r>
    <n v="3"/>
    <x v="12"/>
    <x v="34"/>
    <d v="2025-06-23T00:00:00"/>
    <n v="1520318"/>
    <n v="1520321"/>
    <n v="-3"/>
    <n v="1520321"/>
    <n v="-1"/>
    <s v="Paid"/>
    <s v="OK"/>
  </r>
  <r>
    <n v="4"/>
    <x v="12"/>
    <x v="66"/>
    <d v="2025-08-01T00:00:00"/>
    <n v="1939323"/>
    <n v="1939325"/>
    <n v="-2"/>
    <n v="1939325"/>
    <n v="3"/>
    <s v="Paid"/>
    <s v="OK"/>
  </r>
  <r>
    <n v="5"/>
    <x v="12"/>
    <x v="67"/>
    <d v="2025-08-31T00:00:00"/>
    <n v="1125362"/>
    <n v="1125363"/>
    <n v="-1"/>
    <n v="1125363"/>
    <n v="2"/>
    <s v="Paid"/>
    <s v="OK"/>
  </r>
  <r>
    <n v="6"/>
    <x v="12"/>
    <x v="68"/>
    <d v="2025-09-26T00:00:00"/>
    <n v="961102"/>
    <n v="961106"/>
    <n v="-4"/>
    <n v="961106"/>
    <n v="3"/>
    <s v="Paid"/>
    <s v="OK"/>
  </r>
  <r>
    <n v="7"/>
    <x v="12"/>
    <x v="69"/>
    <d v="2025-11-12T00:00:00"/>
    <n v="648479"/>
    <n v="648478"/>
    <n v="1"/>
    <n v="648478"/>
    <n v="1"/>
    <s v="Paid"/>
    <s v="OK"/>
  </r>
  <r>
    <n v="8"/>
    <x v="12"/>
    <x v="70"/>
    <d v="2025-11-28T00:00:00"/>
    <n v="414113"/>
    <n v="414116"/>
    <n v="-3"/>
    <n v="414116"/>
    <n v="1"/>
    <s v="Paid"/>
    <s v="OK"/>
  </r>
  <r>
    <n v="9"/>
    <x v="12"/>
    <x v="19"/>
    <d v="2025-12-26T00:00:00"/>
    <n v="640327"/>
    <n v="640328"/>
    <n v="-1"/>
    <n v="640328"/>
    <n v="-1"/>
    <s v="Paid"/>
    <s v="OK"/>
  </r>
  <r>
    <n v="10"/>
    <x v="12"/>
    <x v="71"/>
    <d v="2026-01-21T00:00:00"/>
    <n v="591008"/>
    <n v="591012"/>
    <n v="-4"/>
    <n v="591012"/>
    <n v="-2"/>
    <s v="Paid"/>
    <s v="OK"/>
  </r>
  <r>
    <n v="11"/>
    <x v="12"/>
    <x v="72"/>
    <d v="2026-03-04T00:00:00"/>
    <n v="449166"/>
    <n v="449165"/>
    <n v="1"/>
    <n v="449165"/>
    <n v="-3"/>
    <s v="Paid"/>
    <s v="OK"/>
  </r>
  <r>
    <n v="12"/>
    <x v="12"/>
    <x v="73"/>
    <d v="2026-03-25T00:00:00"/>
    <n v="315476"/>
    <n v="315472"/>
    <n v="4"/>
    <n v="315472"/>
    <n v="3"/>
    <s v="Paid"/>
    <s v="OK"/>
  </r>
  <r>
    <n v="1"/>
    <x v="13"/>
    <x v="11"/>
    <d v="2025-05-22T00:00:00"/>
    <n v="247816"/>
    <n v="247818"/>
    <n v="-2"/>
    <n v="247818"/>
    <n v="2"/>
    <s v="Paid"/>
    <s v="OK"/>
  </r>
  <r>
    <n v="2"/>
    <x v="13"/>
    <x v="12"/>
    <d v="2025-06-09T00:00:00"/>
    <n v="902816"/>
    <n v="902811"/>
    <n v="5"/>
    <n v="902811"/>
    <n v="-3"/>
    <s v="Paid"/>
    <s v="OK"/>
  </r>
  <r>
    <n v="3"/>
    <x v="13"/>
    <x v="13"/>
    <d v="2025-07-11T00:00:00"/>
    <n v="1483227"/>
    <n v="1483232"/>
    <n v="-5"/>
    <n v="1483232"/>
    <n v="0"/>
    <s v="Paid"/>
    <s v="OK"/>
  </r>
  <r>
    <n v="4"/>
    <x v="13"/>
    <x v="14"/>
    <d v="2025-07-30T00:00:00"/>
    <n v="1847615"/>
    <n v="1847615"/>
    <n v="0"/>
    <n v="1847615"/>
    <n v="-1"/>
    <s v="Paid"/>
    <s v="OK"/>
  </r>
  <r>
    <n v="5"/>
    <x v="13"/>
    <x v="15"/>
    <d v="2026-07-16T00:00:00"/>
    <n v="1069114"/>
    <m/>
    <n v="1069114"/>
    <n v="0"/>
    <n v="317"/>
    <s v="Unpaid"/>
    <s v="Review: Unpaid with payment date"/>
  </r>
  <r>
    <n v="6"/>
    <x v="13"/>
    <x v="16"/>
    <d v="2025-09-26T00:00:00"/>
    <n v="998193"/>
    <n v="998194"/>
    <n v="-1"/>
    <n v="998194"/>
    <n v="-1"/>
    <s v="Paid"/>
    <s v="OK"/>
  </r>
  <r>
    <n v="7"/>
    <x v="13"/>
    <x v="17"/>
    <d v="2025-11-01T00:00:00"/>
    <n v="544543"/>
    <n v="544542"/>
    <n v="1"/>
    <n v="544542"/>
    <n v="1"/>
    <s v="Paid"/>
    <s v="OK"/>
  </r>
  <r>
    <n v="8"/>
    <x v="13"/>
    <x v="18"/>
    <d v="2026-07-16T00:00:00"/>
    <n v="277163"/>
    <m/>
    <n v="277163"/>
    <n v="0"/>
    <n v="212"/>
    <s v="Unpaid"/>
    <s v="Review: Unpaid with payment date"/>
  </r>
  <r>
    <n v="9"/>
    <x v="13"/>
    <x v="19"/>
    <d v="2026-07-16T00:00:00"/>
    <n v="410853"/>
    <m/>
    <n v="410853"/>
    <n v="0"/>
    <n v="201"/>
    <s v="Unpaid"/>
    <s v="Review: Unpaid with payment date"/>
  </r>
  <r>
    <n v="10"/>
    <x v="13"/>
    <x v="20"/>
    <d v="2026-01-23T00:00:00"/>
    <n v="442645"/>
    <n v="442642"/>
    <n v="3"/>
    <n v="442642"/>
    <n v="1"/>
    <s v="Paid"/>
    <s v="OK"/>
  </r>
  <r>
    <n v="11"/>
    <x v="13"/>
    <x v="9"/>
    <d v="2026-03-11T00:00:00"/>
    <n v="316699"/>
    <n v="316702"/>
    <n v="-3"/>
    <n v="316702"/>
    <n v="3"/>
    <s v="Paid"/>
    <s v="OK"/>
  </r>
  <r>
    <n v="12"/>
    <x v="13"/>
    <x v="21"/>
    <d v="2026-04-13T00:00:00"/>
    <n v="265342"/>
    <n v="265346"/>
    <n v="-4"/>
    <n v="265346"/>
    <n v="-2"/>
    <s v="Paid"/>
    <s v="OK"/>
  </r>
  <r>
    <n v="1"/>
    <x v="14"/>
    <x v="0"/>
    <d v="2025-05-25T00:00:00"/>
    <n v="172786"/>
    <n v="172785"/>
    <n v="1"/>
    <n v="172785"/>
    <n v="-2"/>
    <s v="Paid"/>
    <s v="OK"/>
  </r>
  <r>
    <n v="2"/>
    <x v="14"/>
    <x v="1"/>
    <d v="2025-06-23T00:00:00"/>
    <n v="1098975"/>
    <n v="1098972"/>
    <n v="3"/>
    <n v="1098972"/>
    <n v="-2"/>
    <s v="Paid"/>
    <s v="OK"/>
  </r>
  <r>
    <n v="3"/>
    <x v="14"/>
    <x v="2"/>
    <d v="2025-07-24T00:00:00"/>
    <n v="1857396"/>
    <n v="1857392"/>
    <n v="4"/>
    <n v="1857392"/>
    <n v="2"/>
    <s v="Paid"/>
    <s v="OK"/>
  </r>
  <r>
    <n v="4"/>
    <x v="14"/>
    <x v="3"/>
    <d v="2025-08-29T00:00:00"/>
    <n v="2059136"/>
    <n v="2059135"/>
    <n v="1"/>
    <n v="2059135"/>
    <n v="3"/>
    <s v="Paid"/>
    <s v="OK"/>
  </r>
  <r>
    <n v="5"/>
    <x v="14"/>
    <x v="4"/>
    <d v="2026-07-16T00:00:00"/>
    <n v="1470280"/>
    <m/>
    <n v="1470280"/>
    <n v="0"/>
    <n v="289"/>
    <s v="Unpaid"/>
    <s v="Review: Unpaid with payment date"/>
  </r>
  <r>
    <n v="6"/>
    <x v="14"/>
    <x v="5"/>
    <d v="2025-10-23T00:00:00"/>
    <n v="1421767"/>
    <n v="1421765"/>
    <n v="2"/>
    <n v="1421765"/>
    <n v="0"/>
    <s v="Paid"/>
    <s v="OK"/>
  </r>
  <r>
    <n v="7"/>
    <x v="14"/>
    <x v="6"/>
    <d v="2025-11-22T00:00:00"/>
    <n v="478890"/>
    <n v="478887"/>
    <n v="3"/>
    <n v="478887"/>
    <n v="-2"/>
    <s v="Paid"/>
    <s v="OK"/>
  </r>
  <r>
    <n v="8"/>
    <x v="14"/>
    <x v="7"/>
    <d v="2026-07-16T00:00:00"/>
    <n v="166371"/>
    <m/>
    <n v="166371"/>
    <n v="0"/>
    <n v="207"/>
    <s v="Unpaid"/>
    <s v="Review: Unpaid with payment date"/>
  </r>
  <r>
    <n v="9"/>
    <x v="14"/>
    <x v="8"/>
    <d v="2026-07-16T00:00:00"/>
    <n v="117114"/>
    <m/>
    <n v="117114"/>
    <n v="0"/>
    <n v="155"/>
    <s v="Unpaid"/>
    <s v="Review: Unpaid with payment date"/>
  </r>
  <r>
    <n v="10"/>
    <x v="14"/>
    <x v="9"/>
    <d v="2026-07-16T00:00:00"/>
    <n v="136539"/>
    <m/>
    <n v="136539"/>
    <n v="0"/>
    <n v="130"/>
    <s v="Unpaid"/>
    <s v="Review: Unpaid with payment date"/>
  </r>
  <r>
    <n v="11"/>
    <x v="14"/>
    <x v="10"/>
    <d v="2026-07-16T00:00:00"/>
    <n v="117338"/>
    <m/>
    <n v="117338"/>
    <n v="0"/>
    <n v="99"/>
    <s v="Unpaid"/>
    <s v="Review: Unpaid with payment date"/>
  </r>
  <r>
    <n v="12"/>
    <x v="14"/>
    <x v="10"/>
    <d v="2026-04-05T00:00:00"/>
    <n v="95468"/>
    <n v="95463"/>
    <n v="5"/>
    <n v="95463"/>
    <n v="-3"/>
    <s v="Paid"/>
    <s v="OK"/>
  </r>
  <r>
    <n v="1"/>
    <x v="15"/>
    <x v="13"/>
    <d v="2025-07-09T00:00:00"/>
    <n v="192344"/>
    <n v="192342"/>
    <n v="2"/>
    <n v="192342"/>
    <n v="-2"/>
    <s v="Paid"/>
    <s v="OK"/>
  </r>
  <r>
    <n v="2"/>
    <x v="15"/>
    <x v="85"/>
    <d v="2025-08-07T00:00:00"/>
    <n v="1149789"/>
    <n v="1149790"/>
    <n v="-1"/>
    <n v="1149790"/>
    <n v="-2"/>
    <s v="Paid"/>
    <s v="OK"/>
  </r>
  <r>
    <n v="3"/>
    <x v="15"/>
    <x v="86"/>
    <d v="2025-09-08T00:00:00"/>
    <n v="1956535"/>
    <n v="1956533"/>
    <n v="2"/>
    <n v="1956533"/>
    <n v="3"/>
    <s v="Paid"/>
    <s v="OK"/>
  </r>
  <r>
    <n v="4"/>
    <x v="15"/>
    <x v="87"/>
    <d v="2025-10-13T00:00:00"/>
    <n v="2175313"/>
    <n v="2175310"/>
    <n v="3"/>
    <n v="2175310"/>
    <n v="3"/>
    <s v="Paid"/>
    <s v="OK"/>
  </r>
  <r>
    <n v="5"/>
    <x v="15"/>
    <x v="88"/>
    <d v="2025-11-16T00:00:00"/>
    <n v="1567493"/>
    <n v="1567497"/>
    <n v="-4"/>
    <n v="1567497"/>
    <n v="2"/>
    <s v="Paid"/>
    <s v="OK"/>
  </r>
  <r>
    <n v="6"/>
    <x v="15"/>
    <x v="27"/>
    <d v="2025-12-09T00:00:00"/>
    <n v="1530513"/>
    <n v="1530515"/>
    <n v="-2"/>
    <n v="1530515"/>
    <n v="2"/>
    <s v="Paid"/>
    <s v="OK"/>
  </r>
  <r>
    <n v="7"/>
    <x v="15"/>
    <x v="89"/>
    <d v="2026-01-08T00:00:00"/>
    <n v="514429"/>
    <n v="514429"/>
    <n v="0"/>
    <n v="514429"/>
    <n v="0"/>
    <s v="Paid"/>
    <s v="OK"/>
  </r>
  <r>
    <n v="8"/>
    <x v="15"/>
    <x v="56"/>
    <d v="2026-02-04T00:00:00"/>
    <n v="176258"/>
    <n v="176259"/>
    <n v="-1"/>
    <n v="176259"/>
    <n v="0"/>
    <s v="Paid"/>
    <s v="OK"/>
  </r>
  <r>
    <n v="9"/>
    <x v="15"/>
    <x v="90"/>
    <d v="2026-03-25T00:00:00"/>
    <n v="138889"/>
    <n v="138891"/>
    <n v="-2"/>
    <n v="138891"/>
    <n v="-3"/>
    <s v="Paid"/>
    <s v="OK"/>
  </r>
  <r>
    <n v="10"/>
    <x v="15"/>
    <x v="91"/>
    <d v="2026-04-19T00:00:00"/>
    <n v="142946"/>
    <n v="142951"/>
    <n v="-5"/>
    <n v="142951"/>
    <n v="-3"/>
    <s v="Paid"/>
    <s v="OK"/>
  </r>
  <r>
    <n v="11"/>
    <x v="15"/>
    <x v="92"/>
    <d v="2026-05-22T00:00:00"/>
    <n v="124588"/>
    <n v="124586"/>
    <n v="2"/>
    <n v="124586"/>
    <n v="-1"/>
    <s v="Paid"/>
    <s v="OK"/>
  </r>
  <r>
    <n v="12"/>
    <x v="15"/>
    <x v="92"/>
    <d v="2026-05-26T00:00:00"/>
    <n v="93246"/>
    <n v="93246"/>
    <n v="0"/>
    <n v="93246"/>
    <n v="3"/>
    <s v="Paid"/>
    <s v="OK"/>
  </r>
  <r>
    <n v="1"/>
    <x v="16"/>
    <x v="22"/>
    <d v="2025-06-04T00:00:00"/>
    <n v="220082"/>
    <n v="220084"/>
    <n v="-2"/>
    <n v="220084"/>
    <n v="-2"/>
    <s v="Paid"/>
    <s v="OK"/>
  </r>
  <r>
    <n v="2"/>
    <x v="16"/>
    <x v="23"/>
    <d v="2025-08-05T00:00:00"/>
    <n v="1423230"/>
    <n v="1423232"/>
    <n v="-2"/>
    <n v="1423232"/>
    <n v="-3"/>
    <s v="Paid"/>
    <s v="OK"/>
  </r>
  <r>
    <n v="3"/>
    <x v="16"/>
    <x v="23"/>
    <d v="2025-08-09T00:00:00"/>
    <n v="2410027"/>
    <n v="2410026"/>
    <n v="1"/>
    <n v="2410026"/>
    <n v="1"/>
    <s v="Paid"/>
    <s v="OK"/>
  </r>
  <r>
    <n v="4"/>
    <x v="16"/>
    <x v="24"/>
    <d v="2025-09-12T00:00:00"/>
    <n v="2762884"/>
    <n v="2762887"/>
    <n v="-3"/>
    <n v="2762887"/>
    <n v="0"/>
    <s v="Paid"/>
    <s v="OK"/>
  </r>
  <r>
    <n v="5"/>
    <x v="16"/>
    <x v="93"/>
    <d v="2026-07-16T00:00:00"/>
    <n v="1923920"/>
    <m/>
    <n v="1923920"/>
    <n v="0"/>
    <n v="274"/>
    <s v="Unpaid"/>
    <s v="Review: Unpaid with payment date"/>
  </r>
  <r>
    <n v="6"/>
    <x v="16"/>
    <x v="26"/>
    <d v="2025-11-07T00:00:00"/>
    <n v="1752645"/>
    <n v="1752647"/>
    <n v="-2"/>
    <n v="1752647"/>
    <n v="0"/>
    <s v="Paid"/>
    <s v="OK"/>
  </r>
  <r>
    <n v="7"/>
    <x v="16"/>
    <x v="94"/>
    <d v="2025-12-15T00:00:00"/>
    <n v="617013"/>
    <n v="617017"/>
    <n v="-4"/>
    <n v="617017"/>
    <n v="2"/>
    <s v="Paid"/>
    <s v="OK"/>
  </r>
  <r>
    <n v="8"/>
    <x v="16"/>
    <x v="28"/>
    <d v="2026-07-16T00:00:00"/>
    <n v="238458"/>
    <m/>
    <n v="238458"/>
    <n v="0"/>
    <n v="186"/>
    <s v="Unpaid"/>
    <s v="Review: Unpaid with payment date"/>
  </r>
  <r>
    <n v="9"/>
    <x v="16"/>
    <x v="95"/>
    <d v="2026-07-16T00:00:00"/>
    <n v="173598"/>
    <m/>
    <n v="173598"/>
    <n v="0"/>
    <n v="163"/>
    <s v="Unpaid"/>
    <s v="Review: Unpaid with payment date"/>
  </r>
  <r>
    <n v="10"/>
    <x v="16"/>
    <x v="96"/>
    <d v="2025-03-11T00:00:00"/>
    <n v="225900"/>
    <n v="225897"/>
    <n v="3"/>
    <n v="225897"/>
    <n v="3"/>
    <s v="Paid"/>
    <s v="OK"/>
  </r>
  <r>
    <n v="11"/>
    <x v="16"/>
    <x v="97"/>
    <d v="2025-04-20T00:00:00"/>
    <n v="167285"/>
    <n v="167280"/>
    <n v="5"/>
    <n v="167280"/>
    <n v="-1"/>
    <s v="Paid"/>
    <s v="OK"/>
  </r>
  <r>
    <n v="12"/>
    <x v="16"/>
    <x v="31"/>
    <d v="2026-05-06T00:00:00"/>
    <n v="129707"/>
    <n v="129708"/>
    <n v="-1"/>
    <n v="129708"/>
    <n v="0"/>
    <s v="Paid"/>
    <s v="OK"/>
  </r>
  <r>
    <n v="1"/>
    <x v="17"/>
    <x v="98"/>
    <d v="2025-04-17T00:00:00"/>
    <n v="155912"/>
    <n v="155908"/>
    <n v="4"/>
    <n v="155908"/>
    <n v="0"/>
    <s v="Paid"/>
    <s v="OK"/>
  </r>
  <r>
    <n v="2"/>
    <x v="17"/>
    <x v="76"/>
    <d v="2025-06-17T00:00:00"/>
    <n v="331761"/>
    <n v="331763"/>
    <n v="-2"/>
    <n v="331763"/>
    <n v="-2"/>
    <s v="Paid"/>
    <s v="OK"/>
  </r>
  <r>
    <n v="3"/>
    <x v="17"/>
    <x v="76"/>
    <d v="2025-06-16T00:00:00"/>
    <n v="659715"/>
    <n v="659712"/>
    <n v="3"/>
    <n v="659712"/>
    <n v="-3"/>
    <s v="Paid"/>
    <s v="OK"/>
  </r>
  <r>
    <n v="4"/>
    <x v="17"/>
    <x v="77"/>
    <d v="2025-07-23T00:00:00"/>
    <n v="945610"/>
    <n v="945612"/>
    <n v="-2"/>
    <n v="945612"/>
    <n v="-1"/>
    <s v="Paid"/>
    <s v="OK"/>
  </r>
  <r>
    <n v="5"/>
    <x v="17"/>
    <x v="3"/>
    <d v="2026-07-16T00:00:00"/>
    <n v="876106"/>
    <m/>
    <n v="876106"/>
    <n v="0"/>
    <n v="324"/>
    <s v="Unpaid"/>
    <s v="Review: Unpaid with payment date"/>
  </r>
  <r>
    <n v="6"/>
    <x v="17"/>
    <x v="79"/>
    <d v="2026-07-16T00:00:00"/>
    <n v="534173"/>
    <m/>
    <n v="534173"/>
    <n v="0"/>
    <n v="301"/>
    <s v="Unpaid"/>
    <s v="Review: Unpaid with payment date"/>
  </r>
  <r>
    <n v="7"/>
    <x v="17"/>
    <x v="63"/>
    <d v="2026-07-16T00:00:00"/>
    <n v="288411"/>
    <m/>
    <n v="288411"/>
    <n v="0"/>
    <n v="265"/>
    <s v="Unpaid"/>
    <s v="Review: Unpaid with payment date"/>
  </r>
  <r>
    <n v="8"/>
    <x v="17"/>
    <x v="81"/>
    <d v="2026-07-16T00:00:00"/>
    <n v="254387"/>
    <m/>
    <n v="254387"/>
    <n v="0"/>
    <n v="236"/>
    <s v="Unpaid"/>
    <s v="Review: Unpaid with payment date"/>
  </r>
  <r>
    <n v="9"/>
    <x v="17"/>
    <x v="99"/>
    <d v="2026-07-16T00:00:00"/>
    <n v="420289"/>
    <m/>
    <n v="420289"/>
    <n v="0"/>
    <n v="213"/>
    <s v="Unpaid"/>
    <s v="Review: Unpaid with payment date"/>
  </r>
  <r>
    <n v="10"/>
    <x v="17"/>
    <x v="100"/>
    <d v="2026-07-16T00:00:00"/>
    <n v="135913"/>
    <m/>
    <n v="135913"/>
    <n v="0"/>
    <n v="545"/>
    <s v="Unpaid"/>
    <s v="Review: Unpaid with payment date"/>
  </r>
  <r>
    <n v="11"/>
    <x v="17"/>
    <x v="101"/>
    <d v="2026-07-16T00:00:00"/>
    <n v="92377"/>
    <m/>
    <n v="92377"/>
    <n v="0"/>
    <n v="501"/>
    <s v="Unpaid"/>
    <s v="Review: Unpaid with payment date"/>
  </r>
  <r>
    <n v="12"/>
    <x v="17"/>
    <x v="84"/>
    <d v="2026-03-17T00:00:00"/>
    <n v="129385"/>
    <n v="129389"/>
    <n v="-4"/>
    <n v="129389"/>
    <n v="0"/>
    <s v="Paid"/>
    <s v="OK"/>
  </r>
  <r>
    <n v="1"/>
    <x v="18"/>
    <x v="102"/>
    <d v="2025-04-13T00:00:00"/>
    <n v="331670"/>
    <n v="331674"/>
    <n v="-4"/>
    <n v="331674"/>
    <n v="-1"/>
    <s v="Paid"/>
    <s v="OK"/>
  </r>
  <r>
    <n v="2"/>
    <x v="18"/>
    <x v="103"/>
    <d v="2025-06-18T00:00:00"/>
    <n v="652753"/>
    <n v="652749"/>
    <n v="4"/>
    <n v="652749"/>
    <n v="2"/>
    <s v="Paid"/>
    <s v="OK"/>
  </r>
  <r>
    <n v="3"/>
    <x v="18"/>
    <x v="103"/>
    <d v="2025-06-18T00:00:00"/>
    <n v="2004679"/>
    <n v="2004683"/>
    <n v="-4"/>
    <n v="2004683"/>
    <n v="2"/>
    <s v="Paid"/>
    <s v="OK"/>
  </r>
  <r>
    <n v="4"/>
    <x v="18"/>
    <x v="104"/>
    <d v="2025-07-20T00:00:00"/>
    <n v="2554186"/>
    <n v="2554185"/>
    <n v="1"/>
    <n v="2554185"/>
    <n v="-1"/>
    <s v="Paid"/>
    <s v="OK"/>
  </r>
  <r>
    <n v="5"/>
    <x v="18"/>
    <x v="105"/>
    <d v="2025-08-23T00:00:00"/>
    <n v="1594359"/>
    <n v="1594362"/>
    <n v="-3"/>
    <n v="1594362"/>
    <n v="0"/>
    <s v="Paid"/>
    <s v="OK"/>
  </r>
  <r>
    <n v="6"/>
    <x v="18"/>
    <x v="106"/>
    <d v="2025-09-14T00:00:00"/>
    <n v="928727"/>
    <n v="928722"/>
    <n v="5"/>
    <n v="928722"/>
    <n v="-1"/>
    <s v="Paid"/>
    <s v="OK"/>
  </r>
  <r>
    <n v="7"/>
    <x v="18"/>
    <x v="107"/>
    <d v="2025-10-23T00:00:00"/>
    <n v="530048"/>
    <n v="530045"/>
    <n v="3"/>
    <n v="530045"/>
    <n v="2"/>
    <s v="Paid"/>
    <s v="OK"/>
  </r>
  <r>
    <n v="8"/>
    <x v="18"/>
    <x v="108"/>
    <d v="2025-11-17T00:00:00"/>
    <n v="518980"/>
    <n v="518975"/>
    <n v="5"/>
    <n v="518975"/>
    <n v="-2"/>
    <s v="Paid"/>
    <s v="OK"/>
  </r>
  <r>
    <n v="9"/>
    <x v="18"/>
    <x v="109"/>
    <d v="2025-12-13T00:00:00"/>
    <n v="814689"/>
    <n v="814692"/>
    <n v="-3"/>
    <n v="814692"/>
    <n v="1"/>
    <s v="Paid"/>
    <s v="OK"/>
  </r>
  <r>
    <n v="10"/>
    <x v="18"/>
    <x v="110"/>
    <d v="2025-01-11T00:00:00"/>
    <n v="317984"/>
    <n v="317982"/>
    <n v="2"/>
    <n v="317982"/>
    <n v="-3"/>
    <s v="Paid"/>
    <s v="OK"/>
  </r>
  <r>
    <n v="11"/>
    <x v="18"/>
    <x v="111"/>
    <d v="2025-02-26T00:00:00"/>
    <n v="220294"/>
    <n v="220292"/>
    <n v="2"/>
    <n v="220292"/>
    <n v="-1"/>
    <s v="Paid"/>
    <s v="OK"/>
  </r>
  <r>
    <n v="12"/>
    <x v="18"/>
    <x v="112"/>
    <d v="2026-03-17T00:00:00"/>
    <n v="278209"/>
    <n v="278204"/>
    <n v="5"/>
    <n v="278204"/>
    <n v="3"/>
    <s v="Paid"/>
    <s v="OK"/>
  </r>
  <r>
    <n v="1"/>
    <x v="19"/>
    <x v="113"/>
    <d v="2025-04-25T00:00:00"/>
    <n v="121345"/>
    <n v="121340"/>
    <n v="5"/>
    <n v="121340"/>
    <n v="-2"/>
    <s v="Paid"/>
    <s v="OK"/>
  </r>
  <r>
    <n v="2"/>
    <x v="19"/>
    <x v="114"/>
    <d v="2025-06-29T00:00:00"/>
    <n v="541393"/>
    <n v="541388"/>
    <n v="5"/>
    <n v="541388"/>
    <n v="0"/>
    <s v="Paid"/>
    <s v="OK"/>
  </r>
  <r>
    <n v="3"/>
    <x v="19"/>
    <x v="114"/>
    <d v="2025-06-30T00:00:00"/>
    <n v="892006"/>
    <n v="892004"/>
    <n v="2"/>
    <n v="892004"/>
    <n v="1"/>
    <s v="Paid"/>
    <s v="OK"/>
  </r>
  <r>
    <n v="4"/>
    <x v="19"/>
    <x v="115"/>
    <d v="2025-08-02T00:00:00"/>
    <n v="1121674"/>
    <n v="1121671"/>
    <n v="3"/>
    <n v="1121671"/>
    <n v="-1"/>
    <s v="Paid"/>
    <s v="OK"/>
  </r>
  <r>
    <n v="5"/>
    <x v="19"/>
    <x v="86"/>
    <d v="2026-07-16T00:00:00"/>
    <n v="746771"/>
    <m/>
    <n v="746771"/>
    <n v="0"/>
    <n v="314"/>
    <s v="Unpaid"/>
    <s v="Review: Unpaid with payment date"/>
  </r>
  <r>
    <n v="6"/>
    <x v="19"/>
    <x v="116"/>
    <d v="2025-09-25T00:00:00"/>
    <n v="755129"/>
    <n v="755127"/>
    <n v="2"/>
    <n v="755127"/>
    <n v="-3"/>
    <s v="Paid"/>
    <s v="OK"/>
  </r>
  <r>
    <n v="7"/>
    <x v="19"/>
    <x v="117"/>
    <d v="2025-10-31T00:00:00"/>
    <n v="222457"/>
    <n v="222459"/>
    <n v="-2"/>
    <n v="222459"/>
    <n v="-3"/>
    <s v="Paid"/>
    <s v="OK"/>
  </r>
  <r>
    <n v="8"/>
    <x v="19"/>
    <x v="118"/>
    <d v="2026-07-16T00:00:00"/>
    <n v="45829"/>
    <m/>
    <n v="45829"/>
    <n v="0"/>
    <n v="226"/>
    <s v="Unpaid"/>
    <s v="Review: Unpaid with payment date"/>
  </r>
  <r>
    <n v="9"/>
    <x v="19"/>
    <x v="119"/>
    <d v="2026-07-16T00:00:00"/>
    <n v="27791"/>
    <m/>
    <n v="27791"/>
    <n v="0"/>
    <n v="203"/>
    <s v="Unpaid"/>
    <s v="Review: Unpaid with payment date"/>
  </r>
  <r>
    <n v="10"/>
    <x v="19"/>
    <x v="120"/>
    <d v="2025-01-26T00:00:00"/>
    <n v="43341"/>
    <n v="43344"/>
    <n v="-3"/>
    <n v="43344"/>
    <n v="-1"/>
    <s v="Paid"/>
    <s v="OK"/>
  </r>
  <r>
    <n v="11"/>
    <x v="19"/>
    <x v="121"/>
    <d v="2025-03-15T00:00:00"/>
    <n v="57655"/>
    <n v="57654"/>
    <n v="1"/>
    <n v="57654"/>
    <n v="3"/>
    <s v="Paid"/>
    <s v="OK"/>
  </r>
  <r>
    <n v="12"/>
    <x v="19"/>
    <x v="122"/>
    <d v="2026-03-27T00:00:00"/>
    <n v="51189"/>
    <n v="51188"/>
    <n v="1"/>
    <n v="51188"/>
    <n v="0"/>
    <s v="Paid"/>
    <s v="OK"/>
  </r>
  <r>
    <n v="1"/>
    <x v="20"/>
    <x v="113"/>
    <d v="2025-04-30T00:00:00"/>
    <n v="107763"/>
    <n v="107762"/>
    <n v="1"/>
    <n v="107762"/>
    <n v="3"/>
    <s v="Paid"/>
    <s v="OK"/>
  </r>
  <r>
    <n v="2"/>
    <x v="20"/>
    <x v="114"/>
    <d v="2025-06-28T00:00:00"/>
    <n v="478887"/>
    <n v="478892"/>
    <n v="-5"/>
    <n v="478892"/>
    <n v="-1"/>
    <s v="Paid"/>
    <s v="OK"/>
  </r>
  <r>
    <n v="3"/>
    <x v="20"/>
    <x v="114"/>
    <d v="2025-06-28T00:00:00"/>
    <n v="753929"/>
    <n v="753932"/>
    <n v="-3"/>
    <n v="753932"/>
    <n v="-1"/>
    <s v="Paid"/>
    <s v="OK"/>
  </r>
  <r>
    <n v="4"/>
    <x v="20"/>
    <x v="115"/>
    <d v="2025-08-03T00:00:00"/>
    <n v="995608"/>
    <n v="995609"/>
    <n v="-1"/>
    <n v="995609"/>
    <n v="0"/>
    <s v="Paid"/>
    <s v="OK"/>
  </r>
  <r>
    <n v="5"/>
    <x v="20"/>
    <x v="86"/>
    <d v="2026-07-16T00:00:00"/>
    <n v="706628"/>
    <m/>
    <n v="706628"/>
    <n v="0"/>
    <n v="314"/>
    <s v="Unpaid"/>
    <s v="Review: Unpaid with payment date"/>
  </r>
  <r>
    <n v="6"/>
    <x v="20"/>
    <x v="116"/>
    <d v="2025-10-01T00:00:00"/>
    <n v="692663"/>
    <n v="692658"/>
    <n v="5"/>
    <n v="692658"/>
    <n v="3"/>
    <s v="Paid"/>
    <s v="OK"/>
  </r>
  <r>
    <n v="7"/>
    <x v="20"/>
    <x v="117"/>
    <d v="2025-11-06T00:00:00"/>
    <n v="168099"/>
    <n v="168099"/>
    <n v="0"/>
    <n v="168099"/>
    <n v="3"/>
    <s v="Paid"/>
    <s v="OK"/>
  </r>
  <r>
    <n v="8"/>
    <x v="20"/>
    <x v="118"/>
    <d v="2026-07-16T00:00:00"/>
    <n v="46651"/>
    <m/>
    <n v="46651"/>
    <n v="0"/>
    <n v="226"/>
    <s v="Unpaid"/>
    <s v="Review: Unpaid with payment date"/>
  </r>
  <r>
    <n v="9"/>
    <x v="20"/>
    <x v="119"/>
    <d v="2026-07-16T00:00:00"/>
    <n v="25156"/>
    <m/>
    <n v="25156"/>
    <n v="0"/>
    <n v="203"/>
    <s v="Unpaid"/>
    <s v="Review: Unpaid with payment date"/>
  </r>
  <r>
    <n v="10"/>
    <x v="20"/>
    <x v="120"/>
    <d v="2026-07-16T00:00:00"/>
    <n v="38829"/>
    <m/>
    <n v="38829"/>
    <n v="0"/>
    <n v="535"/>
    <s v="Unpaid"/>
    <s v="Review: Unpaid with payment date"/>
  </r>
  <r>
    <n v="11"/>
    <x v="20"/>
    <x v="121"/>
    <d v="2026-07-16T00:00:00"/>
    <n v="54382"/>
    <m/>
    <n v="54382"/>
    <n v="0"/>
    <n v="491"/>
    <s v="Unpaid"/>
    <s v="Review: Unpaid with payment date"/>
  </r>
  <r>
    <n v="12"/>
    <x v="20"/>
    <x v="122"/>
    <d v="2026-03-25T00:00:00"/>
    <n v="49956"/>
    <n v="49961"/>
    <n v="-5"/>
    <n v="49961"/>
    <n v="-2"/>
    <s v="Paid"/>
    <s v="OK"/>
  </r>
  <r>
    <n v="1"/>
    <x v="21"/>
    <x v="32"/>
    <d v="2025-04-24T00:00:00"/>
    <n v="330941"/>
    <n v="330938"/>
    <n v="3"/>
    <n v="330938"/>
    <n v="2"/>
    <s v="Paid"/>
    <s v="OK"/>
  </r>
  <r>
    <n v="2"/>
    <x v="21"/>
    <x v="34"/>
    <d v="2025-06-22T00:00:00"/>
    <n v="1013088"/>
    <n v="1013091"/>
    <n v="-3"/>
    <n v="1013091"/>
    <n v="-2"/>
    <s v="Paid"/>
    <s v="OK"/>
  </r>
  <r>
    <n v="3"/>
    <x v="21"/>
    <x v="34"/>
    <d v="2025-06-22T00:00:00"/>
    <n v="1334588"/>
    <n v="1334590"/>
    <n v="-2"/>
    <n v="1334590"/>
    <n v="-2"/>
    <s v="Paid"/>
    <s v="OK"/>
  </r>
  <r>
    <n v="4"/>
    <x v="21"/>
    <x v="66"/>
    <d v="2025-07-30T00:00:00"/>
    <n v="1603005"/>
    <n v="1603009"/>
    <n v="-4"/>
    <n v="1603009"/>
    <n v="1"/>
    <s v="Paid"/>
    <s v="OK"/>
  </r>
  <r>
    <n v="5"/>
    <x v="21"/>
    <x v="67"/>
    <d v="2025-08-30T00:00:00"/>
    <n v="1350065"/>
    <n v="1350066"/>
    <n v="-1"/>
    <n v="1350066"/>
    <n v="1"/>
    <s v="Paid"/>
    <s v="OK"/>
  </r>
  <r>
    <n v="6"/>
    <x v="21"/>
    <x v="68"/>
    <d v="2025-09-20T00:00:00"/>
    <n v="1209931"/>
    <n v="1209930"/>
    <n v="1"/>
    <n v="1209930"/>
    <n v="-3"/>
    <s v="Paid"/>
    <s v="OK"/>
  </r>
  <r>
    <n v="7"/>
    <x v="21"/>
    <x v="5"/>
    <d v="2026-07-16T00:00:00"/>
    <n v="432731"/>
    <m/>
    <n v="432731"/>
    <n v="0"/>
    <n v="266"/>
    <s v="Unpaid"/>
    <s v="Review: Unpaid with payment date"/>
  </r>
  <r>
    <n v="8"/>
    <x v="21"/>
    <x v="70"/>
    <d v="2026-07-16T00:00:00"/>
    <n v="242176"/>
    <m/>
    <n v="242176"/>
    <n v="0"/>
    <n v="231"/>
    <s v="Unpaid"/>
    <s v="Review: Unpaid with payment date"/>
  </r>
  <r>
    <n v="9"/>
    <x v="21"/>
    <x v="19"/>
    <d v="2026-07-16T00:00:00"/>
    <n v="315051"/>
    <m/>
    <n v="315051"/>
    <n v="0"/>
    <n v="201"/>
    <s v="Unpaid"/>
    <s v="Review: Unpaid with payment date"/>
  </r>
  <r>
    <n v="10"/>
    <x v="21"/>
    <x v="20"/>
    <d v="2026-07-16T00:00:00"/>
    <n v="346645"/>
    <m/>
    <n v="346645"/>
    <n v="0"/>
    <n v="175"/>
    <s v="Unpaid"/>
    <s v="Review: Unpaid with payment date"/>
  </r>
  <r>
    <n v="11"/>
    <x v="21"/>
    <x v="123"/>
    <d v="2026-03-08T00:00:00"/>
    <n v="295013"/>
    <n v="295009"/>
    <n v="4"/>
    <n v="295009"/>
    <n v="2"/>
    <s v="Paid"/>
    <s v="OK"/>
  </r>
  <r>
    <n v="12"/>
    <x v="21"/>
    <x v="73"/>
    <d v="2026-03-24T00:00:00"/>
    <n v="178351"/>
    <n v="178348"/>
    <n v="3"/>
    <n v="178348"/>
    <n v="2"/>
    <s v="Paid"/>
    <s v="OK"/>
  </r>
  <r>
    <n v="1"/>
    <x v="22"/>
    <x v="65"/>
    <d v="2025-04-21T00:00:00"/>
    <n v="411416"/>
    <n v="411416"/>
    <n v="0"/>
    <n v="411416"/>
    <n v="-2"/>
    <s v="Paid"/>
    <s v="OK"/>
  </r>
  <r>
    <n v="2"/>
    <x v="22"/>
    <x v="0"/>
    <d v="2025-05-25T00:00:00"/>
    <n v="1244157"/>
    <n v="1244161"/>
    <n v="-4"/>
    <n v="1244161"/>
    <n v="-2"/>
    <s v="Paid"/>
    <s v="OK"/>
  </r>
  <r>
    <n v="3"/>
    <x v="22"/>
    <x v="34"/>
    <d v="2025-06-23T00:00:00"/>
    <n v="1670899"/>
    <n v="1670896"/>
    <n v="3"/>
    <n v="1670896"/>
    <n v="-1"/>
    <s v="Paid"/>
    <s v="OK"/>
  </r>
  <r>
    <n v="4"/>
    <x v="22"/>
    <x v="66"/>
    <d v="2025-08-01T00:00:00"/>
    <n v="1930428"/>
    <n v="1930432"/>
    <n v="-4"/>
    <n v="1930432"/>
    <n v="3"/>
    <s v="Paid"/>
    <s v="OK"/>
  </r>
  <r>
    <n v="5"/>
    <x v="22"/>
    <x v="67"/>
    <d v="2026-07-16T00:00:00"/>
    <n v="1787291"/>
    <m/>
    <n v="1787291"/>
    <n v="0"/>
    <n v="321"/>
    <s v="Unpaid"/>
    <s v="Review: Unpaid with payment date"/>
  </r>
  <r>
    <n v="6"/>
    <x v="22"/>
    <x v="68"/>
    <d v="2025-09-20T00:00:00"/>
    <n v="1556162"/>
    <n v="1556164"/>
    <n v="-2"/>
    <n v="1556164"/>
    <n v="-3"/>
    <s v="Paid"/>
    <s v="OK"/>
  </r>
  <r>
    <n v="7"/>
    <x v="22"/>
    <x v="69"/>
    <d v="2025-11-14T00:00:00"/>
    <n v="474845"/>
    <n v="474849"/>
    <n v="-4"/>
    <n v="474849"/>
    <n v="3"/>
    <s v="Paid"/>
    <s v="OK"/>
  </r>
  <r>
    <n v="8"/>
    <x v="22"/>
    <x v="70"/>
    <d v="2026-07-16T00:00:00"/>
    <n v="270144"/>
    <m/>
    <n v="270144"/>
    <n v="0"/>
    <n v="231"/>
    <s v="Unpaid"/>
    <s v="Review: Unpaid with payment date"/>
  </r>
  <r>
    <n v="9"/>
    <x v="22"/>
    <x v="19"/>
    <d v="2026-07-16T00:00:00"/>
    <n v="377208"/>
    <m/>
    <n v="377208"/>
    <n v="0"/>
    <n v="201"/>
    <s v="Unpaid"/>
    <s v="Review: Unpaid with payment date"/>
  </r>
  <r>
    <n v="10"/>
    <x v="22"/>
    <x v="71"/>
    <d v="2026-01-20T00:00:00"/>
    <n v="382897"/>
    <n v="382897"/>
    <n v="0"/>
    <n v="382897"/>
    <n v="-3"/>
    <s v="Paid"/>
    <s v="OK"/>
  </r>
  <r>
    <n v="11"/>
    <x v="22"/>
    <x v="72"/>
    <d v="2026-03-07T00:00:00"/>
    <n v="326553"/>
    <n v="326550"/>
    <n v="3"/>
    <n v="326550"/>
    <n v="0"/>
    <s v="Paid"/>
    <s v="OK"/>
  </r>
  <r>
    <n v="12"/>
    <x v="22"/>
    <x v="73"/>
    <d v="2026-03-21T00:00:00"/>
    <n v="186773"/>
    <n v="186769"/>
    <n v="4"/>
    <n v="186769"/>
    <n v="-1"/>
    <s v="Paid"/>
    <s v="OK"/>
  </r>
  <r>
    <n v="1"/>
    <x v="23"/>
    <x v="74"/>
    <d v="2025-04-19T00:00:00"/>
    <n v="480119"/>
    <n v="480120"/>
    <n v="-1"/>
    <n v="480120"/>
    <n v="1"/>
    <s v="Paid"/>
    <s v="OK"/>
  </r>
  <r>
    <n v="2"/>
    <x v="23"/>
    <x v="75"/>
    <d v="2025-05-23T00:00:00"/>
    <n v="900628"/>
    <n v="900628"/>
    <n v="0"/>
    <n v="900628"/>
    <n v="1"/>
    <s v="Paid"/>
    <s v="OK"/>
  </r>
  <r>
    <n v="3"/>
    <x v="23"/>
    <x v="76"/>
    <d v="2025-06-19T00:00:00"/>
    <n v="1495473"/>
    <n v="1495477"/>
    <n v="-4"/>
    <n v="1495477"/>
    <n v="0"/>
    <s v="Paid"/>
    <s v="OK"/>
  </r>
  <r>
    <n v="4"/>
    <x v="23"/>
    <x v="77"/>
    <d v="2025-07-27T00:00:00"/>
    <n v="2024234"/>
    <n v="2024230"/>
    <n v="4"/>
    <n v="2024230"/>
    <n v="3"/>
    <s v="Paid"/>
    <s v="OK"/>
  </r>
  <r>
    <n v="5"/>
    <x v="23"/>
    <x v="78"/>
    <d v="2025-08-27T00:00:00"/>
    <n v="1346900"/>
    <n v="1346905"/>
    <n v="-5"/>
    <n v="1346905"/>
    <n v="3"/>
    <s v="Paid"/>
    <s v="OK"/>
  </r>
  <r>
    <n v="6"/>
    <x v="23"/>
    <x v="79"/>
    <d v="2025-09-17T00:00:00"/>
    <n v="1211585"/>
    <n v="1211581"/>
    <n v="4"/>
    <n v="1211581"/>
    <n v="-1"/>
    <s v="Paid"/>
    <s v="OK"/>
  </r>
  <r>
    <n v="7"/>
    <x v="23"/>
    <x v="80"/>
    <d v="2025-11-04T00:00:00"/>
    <n v="524943"/>
    <n v="524938"/>
    <n v="5"/>
    <n v="524938"/>
    <n v="-2"/>
    <s v="Paid"/>
    <s v="OK"/>
  </r>
  <r>
    <n v="8"/>
    <x v="23"/>
    <x v="81"/>
    <d v="2025-11-23T00:00:00"/>
    <n v="391516"/>
    <n v="391516"/>
    <n v="0"/>
    <n v="391516"/>
    <n v="1"/>
    <s v="Paid"/>
    <s v="OK"/>
  </r>
  <r>
    <n v="9"/>
    <x v="23"/>
    <x v="44"/>
    <d v="2025-12-21T00:00:00"/>
    <n v="401580"/>
    <n v="401580"/>
    <n v="0"/>
    <n v="401580"/>
    <n v="-1"/>
    <s v="Paid"/>
    <s v="OK"/>
  </r>
  <r>
    <n v="10"/>
    <x v="23"/>
    <x v="82"/>
    <d v="2026-01-20T00:00:00"/>
    <n v="450407"/>
    <n v="450403"/>
    <n v="4"/>
    <n v="450403"/>
    <n v="2"/>
    <s v="Paid"/>
    <s v="OK"/>
  </r>
  <r>
    <n v="11"/>
    <x v="23"/>
    <x v="83"/>
    <d v="2026-03-03T00:00:00"/>
    <n v="354605"/>
    <n v="354607"/>
    <n v="-2"/>
    <n v="354607"/>
    <n v="1"/>
    <s v="Paid"/>
    <s v="OK"/>
  </r>
  <r>
    <n v="12"/>
    <x v="23"/>
    <x v="84"/>
    <d v="2026-03-18T00:00:00"/>
    <n v="371328"/>
    <n v="371333"/>
    <n v="-5"/>
    <n v="371333"/>
    <n v="1"/>
    <s v="Paid"/>
    <s v="OK"/>
  </r>
  <r>
    <n v="1"/>
    <x v="24"/>
    <x v="124"/>
    <d v="2025-04-21T00:00:00"/>
    <n v="5815856"/>
    <n v="5815856"/>
    <n v="0"/>
    <n v="5815856"/>
    <n v="1"/>
    <s v="Paid"/>
    <s v="OK"/>
  </r>
  <r>
    <n v="2"/>
    <x v="24"/>
    <x v="75"/>
    <d v="2025-05-24T00:00:00"/>
    <n v="8144335"/>
    <n v="8144334"/>
    <n v="1"/>
    <n v="8144334"/>
    <n v="2"/>
    <s v="Paid"/>
    <s v="OK"/>
  </r>
  <r>
    <n v="3"/>
    <x v="24"/>
    <x v="76"/>
    <d v="2025-06-16T00:00:00"/>
    <n v="14407567"/>
    <n v="14407566"/>
    <n v="1"/>
    <n v="14407566"/>
    <n v="-3"/>
    <s v="Paid"/>
    <s v="OK"/>
  </r>
  <r>
    <n v="4"/>
    <x v="24"/>
    <x v="77"/>
    <d v="2025-07-23T00:00:00"/>
    <n v="17501159"/>
    <n v="17501161"/>
    <n v="-2"/>
    <n v="17501161"/>
    <n v="-1"/>
    <s v="Paid"/>
    <s v="OK"/>
  </r>
  <r>
    <n v="5"/>
    <x v="24"/>
    <x v="78"/>
    <d v="2026-07-16T00:00:00"/>
    <n v="12572271"/>
    <m/>
    <n v="12572271"/>
    <n v="0"/>
    <n v="326"/>
    <s v="Unpaid"/>
    <s v="Review: Unpaid with payment date"/>
  </r>
  <r>
    <n v="6"/>
    <x v="24"/>
    <x v="125"/>
    <d v="2026-07-16T00:00:00"/>
    <n v="9591748"/>
    <m/>
    <n v="9591748"/>
    <n v="0"/>
    <n v="293"/>
    <s v="Unpaid"/>
    <s v="Review: Unpaid with payment date"/>
  </r>
  <r>
    <n v="7"/>
    <x v="24"/>
    <x v="63"/>
    <d v="2026-07-16T00:00:00"/>
    <n v="5638572"/>
    <m/>
    <n v="5638572"/>
    <n v="0"/>
    <n v="265"/>
    <s v="Unpaid"/>
    <s v="Review: Unpaid with payment date"/>
  </r>
  <r>
    <n v="8"/>
    <x v="24"/>
    <x v="81"/>
    <d v="2026-07-16T00:00:00"/>
    <n v="4247623"/>
    <m/>
    <n v="4247623"/>
    <n v="0"/>
    <n v="236"/>
    <s v="Unpaid"/>
    <s v="Review: Unpaid with payment date"/>
  </r>
  <r>
    <n v="9"/>
    <x v="24"/>
    <x v="126"/>
    <d v="2026-07-16T00:00:00"/>
    <n v="4405214"/>
    <m/>
    <n v="4405214"/>
    <n v="0"/>
    <n v="196"/>
    <s v="Unpaid"/>
    <s v="Review: Unpaid with payment date"/>
  </r>
  <r>
    <n v="10"/>
    <x v="24"/>
    <x v="45"/>
    <d v="2026-07-16T00:00:00"/>
    <n v="2815641"/>
    <m/>
    <n v="2815641"/>
    <n v="0"/>
    <n v="159"/>
    <s v="Unpaid"/>
    <s v="Review: Unpaid with payment date"/>
  </r>
  <r>
    <n v="11"/>
    <x v="24"/>
    <x v="127"/>
    <d v="2026-07-16T00:00:00"/>
    <n v="2486557"/>
    <m/>
    <n v="2486557"/>
    <n v="0"/>
    <n v="137"/>
    <s v="Unpaid"/>
    <s v="Review: Unpaid with payment date"/>
  </r>
  <r>
    <n v="12"/>
    <x v="24"/>
    <x v="90"/>
    <d v="2026-03-30T00:00:00"/>
    <n v="3443136"/>
    <n v="3443136"/>
    <n v="0"/>
    <n v="3443136"/>
    <n v="2"/>
    <s v="Paid"/>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81FDCD-8234-47A9-B7F9-4F7A9454116F}"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29" firstHeaderRow="0" firstDataRow="1" firstDataCol="1"/>
  <pivotFields count="12">
    <pivotField numFmtId="14" showAll="0">
      <items count="13">
        <item x="0"/>
        <item x="1"/>
        <item x="2"/>
        <item x="3"/>
        <item x="4"/>
        <item x="5"/>
        <item x="6"/>
        <item x="7"/>
        <item x="8"/>
        <item x="9"/>
        <item x="10"/>
        <item x="11"/>
        <item t="default"/>
      </items>
    </pivotField>
    <pivotField showAll="0"/>
    <pivotField showAll="0">
      <items count="2">
        <item x="0"/>
        <item t="default"/>
      </items>
    </pivotField>
    <pivotField axis="axisRow" showAll="0" sortType="descending">
      <items count="26">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dataField="1"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Total Generation (kWh)" fld="4" baseField="3" baseItem="0"/>
    <dataField name="Total Export (kWh)" fld="5" baseField="3" baseItem="0"/>
  </dataField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32D3EF-C7B4-4DF0-891B-73B1F9A56047}" name="PivotTable1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C15" firstHeaderRow="0" firstDataRow="1" firstDataCol="1"/>
  <pivotFields count="12">
    <pivotField numFmtId="14" showAll="0">
      <items count="13">
        <item x="0"/>
        <item x="1"/>
        <item x="2"/>
        <item x="3"/>
        <item x="4"/>
        <item x="5"/>
        <item x="6"/>
        <item x="7"/>
        <item x="8"/>
        <item x="9"/>
        <item x="10"/>
        <item x="11"/>
        <item t="default"/>
      </items>
    </pivotField>
    <pivotField showAll="0"/>
    <pivotField showAll="0">
      <items count="2">
        <item x="0"/>
        <item t="default"/>
      </items>
    </pivotField>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pivotField dataField="1" showAll="0"/>
    <pivotField showAll="0"/>
    <pivotField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Energy_Generated_kWh" fld="4" baseField="0" baseItem="0"/>
    <dataField name="Sum of Energy_Exported_kWh" fld="5"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0AB085-98E6-4FDD-B0DA-F3E621F680BB}"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3:P16" firstHeaderRow="1" firstDataRow="1" firstDataCol="1"/>
  <pivotFields count="17">
    <pivotField showAll="0"/>
    <pivotField numFmtId="14" showAll="0"/>
    <pivotField numFmtId="14" showAll="0">
      <items count="13">
        <item x="0"/>
        <item x="1"/>
        <item x="2"/>
        <item x="3"/>
        <item x="4"/>
        <item x="5"/>
        <item x="6"/>
        <item x="7"/>
        <item x="8"/>
        <item x="9"/>
        <item x="10"/>
        <item x="11"/>
        <item t="default"/>
      </items>
    </pivotField>
    <pivotField showAll="0"/>
    <pivotField showAll="0"/>
    <pivotField showAll="0"/>
    <pivotField showAll="0"/>
    <pivotField dataField="1" showAll="0"/>
    <pivotField showAll="0"/>
    <pivotField showAll="0"/>
    <pivotField numFmtId="14"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Invoice_Amount" fld="7"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2582B9-5E65-4D83-8B28-393C2F04A273}"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B36" firstHeaderRow="1" firstDataRow="1" firstDataCol="1"/>
  <pivotFields count="17">
    <pivotField showAll="0"/>
    <pivotField numFmtId="14" showAll="0"/>
    <pivotField numFmtId="14"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numFmtId="14" showAll="0"/>
    <pivotField axis="axisRow" dataField="1"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3">
    <i>
      <x/>
    </i>
    <i>
      <x v="1"/>
    </i>
    <i t="grand">
      <x/>
    </i>
  </rowItems>
  <colItems count="1">
    <i/>
  </colItems>
  <dataFields count="1">
    <dataField name="Count of Invoice_Status" fld="11"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2443C5-96A9-46D2-B506-5724B2D2B8B5}"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29" firstHeaderRow="0" firstDataRow="1" firstDataCol="1"/>
  <pivotFields count="17">
    <pivotField showAll="0"/>
    <pivotField numFmtId="14" showAll="0"/>
    <pivotField numFmtId="14" showAll="0">
      <items count="13">
        <item x="0"/>
        <item x="1"/>
        <item x="2"/>
        <item x="3"/>
        <item x="4"/>
        <item x="5"/>
        <item x="6"/>
        <item x="7"/>
        <item x="8"/>
        <item x="9"/>
        <item x="10"/>
        <item x="11"/>
        <item t="default"/>
      </items>
    </pivotField>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dataField="1" showAll="0"/>
    <pivotField showAll="0"/>
    <pivotField dataField="1" showAll="0"/>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Invoice_Amount" fld="7" baseField="0" baseItem="0"/>
    <dataField name="Sum of Amount_Receivable" fld="9" baseField="0"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76E25D-493D-4DF2-A981-126AE18B3333}"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B58" firstHeaderRow="1" firstDataRow="1" firstDataCol="1"/>
  <pivotFields count="14">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numFmtId="14" showAll="0">
      <items count="129">
        <item x="110"/>
        <item x="100"/>
        <item x="120"/>
        <item x="111"/>
        <item x="101"/>
        <item x="96"/>
        <item x="121"/>
        <item x="102"/>
        <item x="98"/>
        <item x="74"/>
        <item x="124"/>
        <item x="97"/>
        <item x="32"/>
        <item x="65"/>
        <item x="113"/>
        <item x="11"/>
        <item x="49"/>
        <item x="75"/>
        <item x="33"/>
        <item x="38"/>
        <item x="0"/>
        <item x="60"/>
        <item x="22"/>
        <item x="12"/>
        <item x="103"/>
        <item x="50"/>
        <item x="76"/>
        <item x="39"/>
        <item x="34"/>
        <item x="1"/>
        <item x="114"/>
        <item x="13"/>
        <item x="40"/>
        <item x="61"/>
        <item x="104"/>
        <item x="2"/>
        <item x="77"/>
        <item x="66"/>
        <item x="14"/>
        <item x="115"/>
        <item x="23"/>
        <item x="85"/>
        <item x="105"/>
        <item x="78"/>
        <item x="51"/>
        <item x="3"/>
        <item x="41"/>
        <item x="67"/>
        <item x="15"/>
        <item x="86"/>
        <item x="24"/>
        <item x="106"/>
        <item x="79"/>
        <item x="68"/>
        <item x="52"/>
        <item x="125"/>
        <item x="16"/>
        <item x="116"/>
        <item x="4"/>
        <item x="62"/>
        <item x="87"/>
        <item x="25"/>
        <item x="93"/>
        <item x="53"/>
        <item x="42"/>
        <item x="107"/>
        <item x="5"/>
        <item x="63"/>
        <item x="17"/>
        <item x="117"/>
        <item x="80"/>
        <item x="26"/>
        <item x="69"/>
        <item x="88"/>
        <item x="108"/>
        <item x="81"/>
        <item x="6"/>
        <item x="70"/>
        <item x="118"/>
        <item x="27"/>
        <item x="54"/>
        <item x="43"/>
        <item x="109"/>
        <item x="94"/>
        <item x="99"/>
        <item x="18"/>
        <item x="55"/>
        <item x="7"/>
        <item x="44"/>
        <item x="119"/>
        <item x="19"/>
        <item x="126"/>
        <item x="89"/>
        <item x="28"/>
        <item x="82"/>
        <item x="20"/>
        <item x="71"/>
        <item x="95"/>
        <item x="56"/>
        <item x="45"/>
        <item x="29"/>
        <item x="8"/>
        <item x="64"/>
        <item x="57"/>
        <item x="127"/>
        <item x="83"/>
        <item x="46"/>
        <item x="36"/>
        <item x="123"/>
        <item x="72"/>
        <item x="9"/>
        <item x="112"/>
        <item x="84"/>
        <item x="35"/>
        <item x="73"/>
        <item x="122"/>
        <item x="90"/>
        <item x="58"/>
        <item x="47"/>
        <item x="10"/>
        <item x="48"/>
        <item x="37"/>
        <item x="21"/>
        <item x="59"/>
        <item x="30"/>
        <item x="91"/>
        <item x="31"/>
        <item x="92"/>
        <item t="default"/>
      </items>
    </pivotField>
    <pivotField numFmtId="14"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Outstanding_Amount" fld="6"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96165D-F10C-47F2-97AE-5CF53DAF7B73}"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C28" firstHeaderRow="0" firstDataRow="1" firstDataCol="1"/>
  <pivotFields count="14">
    <pivotField showAll="0"/>
    <pivotField showAll="0"/>
    <pivotField axis="axisRow" numFmtId="14" showAll="0">
      <items count="129">
        <item x="110"/>
        <item x="100"/>
        <item x="120"/>
        <item x="111"/>
        <item x="101"/>
        <item x="96"/>
        <item x="121"/>
        <item x="102"/>
        <item x="98"/>
        <item x="74"/>
        <item x="124"/>
        <item x="97"/>
        <item x="32"/>
        <item x="65"/>
        <item x="113"/>
        <item x="11"/>
        <item x="49"/>
        <item x="75"/>
        <item x="33"/>
        <item x="38"/>
        <item x="0"/>
        <item x="60"/>
        <item x="22"/>
        <item x="12"/>
        <item x="103"/>
        <item x="50"/>
        <item x="76"/>
        <item x="39"/>
        <item x="34"/>
        <item x="1"/>
        <item x="114"/>
        <item x="13"/>
        <item x="40"/>
        <item x="61"/>
        <item x="104"/>
        <item x="2"/>
        <item x="77"/>
        <item x="66"/>
        <item x="14"/>
        <item x="115"/>
        <item x="23"/>
        <item x="85"/>
        <item x="105"/>
        <item x="78"/>
        <item x="51"/>
        <item x="3"/>
        <item x="41"/>
        <item x="67"/>
        <item x="15"/>
        <item x="86"/>
        <item x="24"/>
        <item x="106"/>
        <item x="79"/>
        <item x="68"/>
        <item x="52"/>
        <item x="125"/>
        <item x="16"/>
        <item x="116"/>
        <item x="4"/>
        <item x="62"/>
        <item x="87"/>
        <item x="25"/>
        <item x="93"/>
        <item x="53"/>
        <item x="42"/>
        <item x="107"/>
        <item x="5"/>
        <item x="63"/>
        <item x="17"/>
        <item x="117"/>
        <item x="80"/>
        <item x="26"/>
        <item x="69"/>
        <item x="88"/>
        <item x="108"/>
        <item x="81"/>
        <item x="6"/>
        <item x="70"/>
        <item x="118"/>
        <item x="27"/>
        <item x="54"/>
        <item x="43"/>
        <item x="109"/>
        <item x="94"/>
        <item x="99"/>
        <item x="18"/>
        <item x="55"/>
        <item x="7"/>
        <item x="44"/>
        <item x="119"/>
        <item x="19"/>
        <item x="126"/>
        <item x="89"/>
        <item x="28"/>
        <item x="82"/>
        <item x="20"/>
        <item x="71"/>
        <item x="95"/>
        <item x="56"/>
        <item x="45"/>
        <item x="29"/>
        <item x="8"/>
        <item x="64"/>
        <item x="57"/>
        <item x="127"/>
        <item x="83"/>
        <item x="46"/>
        <item x="36"/>
        <item x="123"/>
        <item x="72"/>
        <item x="9"/>
        <item x="112"/>
        <item x="84"/>
        <item x="35"/>
        <item x="73"/>
        <item x="122"/>
        <item x="90"/>
        <item x="58"/>
        <item x="47"/>
        <item x="10"/>
        <item x="48"/>
        <item x="37"/>
        <item x="21"/>
        <item x="59"/>
        <item x="30"/>
        <item x="91"/>
        <item x="31"/>
        <item x="92"/>
        <item t="default"/>
      </items>
    </pivotField>
    <pivotField numFmtId="14" showAll="0"/>
    <pivotField dataField="1"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x="0"/>
        <item x="1"/>
        <item x="2"/>
        <item x="3"/>
        <item x="4"/>
        <item x="5"/>
        <item t="default"/>
      </items>
    </pivotField>
    <pivotField axis="axisRow" showAll="0">
      <items count="5">
        <item x="0"/>
        <item x="1"/>
        <item x="2"/>
        <item x="3"/>
        <item t="default"/>
      </items>
    </pivotField>
  </pivotFields>
  <rowFields count="4">
    <field x="13"/>
    <field x="12"/>
    <field x="11"/>
    <field x="2"/>
  </rowFields>
  <rowItems count="26">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t="grand">
      <x/>
    </i>
  </rowItems>
  <colFields count="1">
    <field x="-2"/>
  </colFields>
  <colItems count="2">
    <i>
      <x/>
    </i>
    <i i="1">
      <x v="1"/>
    </i>
  </colItems>
  <dataFields count="2">
    <dataField name="Sum of Amount_Receivable" fld="4" baseField="0" baseItem="0"/>
    <dataField name="Sum of Amount_Received" fld="5"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B060DA-916A-4BFA-8C2D-FDB5504D5A3D}"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B58" firstHeaderRow="1" firstDataRow="1" firstDataCol="1"/>
  <pivotFields count="8">
    <pivotField numFmtId="14"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dataField="1" showAll="0"/>
    <pivotField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TL%" fld="6" subtotal="average" baseField="2" baseItem="0" numFmtId="10"/>
  </dataFields>
  <formats count="2">
    <format dxfId="5">
      <pivotArea outline="0" collapsedLevelsAreSubtotals="1" fieldPosition="0"/>
    </format>
    <format dxfId="4">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AEFC35-87ED-49EF-8DCE-AA9A3E0CA0B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9" firstHeaderRow="1" firstDataRow="1" firstDataCol="1"/>
  <pivotFields count="8">
    <pivotField numFmtId="14"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dataField="1" showAll="0"/>
    <pivotField showAll="0"/>
    <pivotField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L loss units" fld="5" baseField="0" baseItem="0"/>
  </dataFields>
  <chartFormats count="2">
    <chartFormat chart="2"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C1244D-DA4A-4D6B-9F4A-4D6ABB8BA694}"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29" firstHeaderRow="0" firstDataRow="1" firstDataCol="1"/>
  <pivotFields count="9">
    <pivotField numFmtId="14"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dataField="1" showAll="0"/>
    <pivotField dataField="1" showAll="0"/>
    <pivotField showAll="0"/>
    <pivotField showAll="0"/>
    <pivotField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RKVAH_Import" fld="4" baseField="0" baseItem="0" numFmtId="164"/>
    <dataField name="Average of RKVAH_Loss_Percentage" fld="5" subtotal="average" baseField="2" baseItem="0" numFmtId="10"/>
  </dataFields>
  <formats count="4">
    <format dxfId="3">
      <pivotArea outline="0" collapsedLevelsAreSubtotals="1" fieldPosition="0"/>
    </format>
    <format dxfId="2">
      <pivotArea dataOnly="0" labelOnly="1" outline="0" axis="axisValues" fieldPosition="0"/>
    </format>
    <format dxfId="1">
      <pivotArea outline="0" collapsedLevelsAreSubtotals="1" fieldPosition="0">
        <references count="1">
          <reference field="4294967294" count="1" selected="0">
            <x v="0"/>
          </reference>
        </references>
      </pivotArea>
    </format>
    <format dxfId="0">
      <pivotArea dataOnly="0" labelOnly="1" outline="0" fieldPosition="0">
        <references count="1">
          <reference field="4294967294" count="1">
            <x v="0"/>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0807926E-ACBC-4EE7-BEFB-695C3EB1F186}" autoFormatId="16" applyNumberFormats="0" applyBorderFormats="0" applyFontFormats="0" applyPatternFormats="0" applyAlignmentFormats="0" applyWidthHeightFormats="0">
  <queryTableRefresh nextId="9">
    <queryTableFields count="8">
      <queryTableField id="1" name="Plant_ID" tableColumnId="1"/>
      <queryTableField id="2" name="Capacity_MW" tableColumnId="2"/>
      <queryTableField id="3" name="No_of_WTGs" tableColumnId="3"/>
      <queryTableField id="4" name="WTG_Capacity_MW" tableColumnId="4"/>
      <queryTableField id="5" name="Plant_Name" tableColumnId="5"/>
      <queryTableField id="6" name="State" tableColumnId="6"/>
      <queryTableField id="7" name="Customer_Name" tableColumnId="7"/>
      <queryTableField id="8" name="Commission_Date"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64C38AB2-7B4A-4A35-A811-C5DB23B04527}" autoFormatId="16" applyNumberFormats="0" applyBorderFormats="0" applyFontFormats="0" applyPatternFormats="0" applyAlignmentFormats="0" applyWidthHeightFormats="0">
  <queryTableRefresh nextId="9">
    <queryTableFields count="8">
      <queryTableField id="1" name="Plant_ID" tableColumnId="1"/>
      <queryTableField id="2" name="Capacity_MW" tableColumnId="2"/>
      <queryTableField id="3" name="No_of_WTGs" tableColumnId="3"/>
      <queryTableField id="4" name="WTG_Capacity_MW" tableColumnId="4"/>
      <queryTableField id="5" name="Plant_Name" tableColumnId="5"/>
      <queryTableField id="6" name="State" tableColumnId="6"/>
      <queryTableField id="7" name="Customer_Name" tableColumnId="7"/>
      <queryTableField id="8" name="Commission_Date"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C30F0700-2FDE-4E53-8092-8DE05EF15DEE}" autoFormatId="16" applyNumberFormats="0" applyBorderFormats="0" applyFontFormats="0" applyPatternFormats="0" applyAlignmentFormats="0" applyWidthHeightFormats="0">
  <queryTableRefresh nextId="9">
    <queryTableFields count="7">
      <queryTableField id="1" name="Month" tableColumnId="1"/>
      <queryTableField id="2" name="Day_in_months" tableColumnId="2"/>
      <queryTableField id="3" name="Financial_Year" tableColumnId="3"/>
      <queryTableField id="4" name="Plant_ID" tableColumnId="4"/>
      <queryTableField id="5" name="Energy_Generated_kWh" tableColumnId="5"/>
      <queryTableField id="6" name="Energy_Exported_kWh" tableColumnId="6"/>
      <queryTableField id="7" name="Import_Unit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98951C03-3326-4546-B596-F2BE413155CF}" autoFormatId="16" applyNumberFormats="0" applyBorderFormats="0" applyFontFormats="0" applyPatternFormats="0" applyAlignmentFormats="0" applyWidthHeightFormats="0">
  <queryTableRefresh nextId="10" unboundColumnsRight="2">
    <queryTableFields count="9">
      <queryTableField id="1" name="Month" tableColumnId="1"/>
      <queryTableField id="2" name="Day_in_months" tableColumnId="2"/>
      <queryTableField id="3" name="Financial_Year" tableColumnId="3"/>
      <queryTableField id="4" name="Plant_ID" tableColumnId="4"/>
      <queryTableField id="5" name="Energy_Generated_kWh" tableColumnId="5"/>
      <queryTableField id="6" name="Energy_Exported_kWh" tableColumnId="6"/>
      <queryTableField id="7" name="Import_Units" tableColumnId="7"/>
      <queryTableField id="8" dataBound="0" tableColumnId="8"/>
      <queryTableField id="9" dataBound="0"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584D6A46-23BA-4B8C-93AB-308770D40539}" autoFormatId="16" applyNumberFormats="0" applyBorderFormats="0" applyFontFormats="0" applyPatternFormats="0" applyAlignmentFormats="0" applyWidthHeightFormats="0">
  <queryTableRefresh nextId="16">
    <queryTableFields count="15">
      <queryTableField id="1" name="Invoice_No" tableColumnId="1"/>
      <queryTableField id="2" name="Invoice_Date" tableColumnId="2"/>
      <queryTableField id="3" name="Billing_Month" tableColumnId="3"/>
      <queryTableField id="4" name="Financial_Year" tableColumnId="4"/>
      <queryTableField id="5" name="Plant_ID" tableColumnId="5"/>
      <queryTableField id="6" name="Energy_Exported_kWh" tableColumnId="6"/>
      <queryTableField id="7" name="Tariff_Per_Unit" tableColumnId="7"/>
      <queryTableField id="8" name="Invoice_Amount" tableColumnId="8"/>
      <queryTableField id="9" name="TDS" tableColumnId="9"/>
      <queryTableField id="10" name="Amount_Receivable" tableColumnId="10"/>
      <queryTableField id="11" name="Due_Date" tableColumnId="11"/>
      <queryTableField id="12" name="Invoice_Status" tableColumnId="12"/>
      <queryTableField id="13" name="Column1" tableColumnId="13"/>
      <queryTableField id="14" name="_1" tableColumnId="14"/>
      <queryTableField id="15" name="_2" tableColumnId="1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 xr16:uid="{8C36EAB9-D27B-49F6-A435-CFA7EF70F188}" autoFormatId="16" applyNumberFormats="0" applyBorderFormats="0" applyFontFormats="0" applyPatternFormats="0" applyAlignmentFormats="0" applyWidthHeightFormats="0">
  <queryTableRefresh nextId="18" unboundColumnsRight="2">
    <queryTableFields count="14">
      <queryTableField id="1" name="Invoice_No" tableColumnId="1"/>
      <queryTableField id="2" name="Invoice_Date" tableColumnId="2"/>
      <queryTableField id="3" name="Billing_Month" tableColumnId="3"/>
      <queryTableField id="4" name="Financial_Year" tableColumnId="4"/>
      <queryTableField id="5" name="Plant_ID" tableColumnId="5"/>
      <queryTableField id="6" name="Energy_Exported_kWh" tableColumnId="6"/>
      <queryTableField id="7" name="Tariff_Per_Unit" tableColumnId="7"/>
      <queryTableField id="8" name="Invoice_Amount" tableColumnId="8"/>
      <queryTableField id="9" name="TDS" tableColumnId="9"/>
      <queryTableField id="10" name="Amount_Receivable" tableColumnId="10"/>
      <queryTableField id="11" name="Due_Date" tableColumnId="11"/>
      <queryTableField id="12" name="Invoice_Status" tableColumnId="12"/>
      <queryTableField id="16" dataBound="0" tableColumnId="13"/>
      <queryTableField id="17" dataBound="0" tableColumnId="14"/>
    </queryTableFields>
    <queryTableDeletedFields count="3">
      <deletedField name="Column1"/>
      <deletedField name="_1"/>
      <deletedField name="_2"/>
    </queryTableDeleted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20D4836E-BC69-4C1F-83FE-29440F1B98FC}" autoFormatId="16" applyNumberFormats="0" applyBorderFormats="0" applyFontFormats="0" applyPatternFormats="0" applyAlignmentFormats="0" applyWidthHeightFormats="0">
  <queryTableRefresh nextId="11">
    <queryTableFields count="10">
      <queryTableField id="1" name="Invoice_No" tableColumnId="1"/>
      <queryTableField id="2" name="Plant_ID" tableColumnId="2"/>
      <queryTableField id="3" name="Due_Date" tableColumnId="3"/>
      <queryTableField id="4" name="Payment_Date" tableColumnId="4"/>
      <queryTableField id="5" name="Amount_Receivable" tableColumnId="5"/>
      <queryTableField id="6" name="Amount_Received" tableColumnId="6"/>
      <queryTableField id="7" name="Outstanding_Amount" tableColumnId="7"/>
      <queryTableField id="8" name="Collection" tableColumnId="8"/>
      <queryTableField id="9" name="Delay_Days" tableColumnId="9"/>
      <queryTableField id="10" name="Invoice_Status"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9" xr16:uid="{015AB0D3-43AF-404D-8E2A-CE68905E269C}" autoFormatId="16" applyNumberFormats="0" applyBorderFormats="0" applyFontFormats="0" applyPatternFormats="0" applyAlignmentFormats="0" applyWidthHeightFormats="0">
  <queryTableRefresh nextId="12" unboundColumnsRight="1">
    <queryTableFields count="11">
      <queryTableField id="1" name="Invoice_No" tableColumnId="1"/>
      <queryTableField id="2" name="Plant_ID" tableColumnId="2"/>
      <queryTableField id="3" name="Due_Date" tableColumnId="3"/>
      <queryTableField id="4" name="Payment_Date" tableColumnId="4"/>
      <queryTableField id="5" name="Amount_Receivable" tableColumnId="5"/>
      <queryTableField id="6" name="Amount_Received" tableColumnId="6"/>
      <queryTableField id="7" name="Outstanding_Amount" tableColumnId="7"/>
      <queryTableField id="8" name="Collection" tableColumnId="8"/>
      <queryTableField id="9" name="Delay_Days" tableColumnId="9"/>
      <queryTableField id="10" name="Invoice_Status" tableColumnId="10"/>
      <queryTableField id="11" dataBound="0" tableColumnId="1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2" xr16:uid="{B72F51FA-BD81-4F56-8BD3-E8664A82F8E3}" autoFormatId="16" applyNumberFormats="0" applyBorderFormats="0" applyFontFormats="0" applyPatternFormats="0" applyAlignmentFormats="0" applyWidthHeightFormats="0">
  <queryTableRefresh nextId="8">
    <queryTableFields count="7">
      <queryTableField id="1" name="Billing_Month" tableColumnId="1"/>
      <queryTableField id="2" name="Financial_Year" tableColumnId="2"/>
      <queryTableField id="3" name="Plant_ID" tableColumnId="3"/>
      <queryTableField id="4" name="Energy_Generated_kWh" tableColumnId="4"/>
      <queryTableField id="5" name="Energy_Exported_kWh" tableColumnId="5"/>
      <queryTableField id="6" name="TL loss units" tableColumnId="6"/>
      <queryTableField id="7" name="TL%"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3" xr16:uid="{712FDBEE-BC80-4BE6-A275-849FF4F94FA4}" autoFormatId="16" applyNumberFormats="0" applyBorderFormats="0" applyFontFormats="0" applyPatternFormats="0" applyAlignmentFormats="0" applyWidthHeightFormats="0">
  <queryTableRefresh nextId="9" unboundColumnsRight="1">
    <queryTableFields count="8">
      <queryTableField id="1" name="Billing_Month" tableColumnId="1"/>
      <queryTableField id="2" name="Financial_Year" tableColumnId="2"/>
      <queryTableField id="3" name="Plant_ID" tableColumnId="3"/>
      <queryTableField id="4" name="Energy_Generated_kWh" tableColumnId="4"/>
      <queryTableField id="5" name="Energy_Exported_kWh" tableColumnId="5"/>
      <queryTableField id="6" name="TL loss units" tableColumnId="6"/>
      <queryTableField id="7" name="TL%" tableColumnId="7"/>
      <queryTableField id="8" dataBound="0"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0" xr16:uid="{92D1EAE2-95AD-4038-9949-3AAF8F4243E5}" autoFormatId="16" applyNumberFormats="0" applyBorderFormats="0" applyFontFormats="0" applyPatternFormats="0" applyAlignmentFormats="0" applyWidthHeightFormats="0">
  <queryTableRefresh nextId="9">
    <queryTableFields count="8">
      <queryTableField id="1" name="Billing_Month" tableColumnId="1"/>
      <queryTableField id="2" name="Financial_Year" tableColumnId="2"/>
      <queryTableField id="3" name="Plant_ID" tableColumnId="3"/>
      <queryTableField id="4" name="Energy_Exported_kWh" tableColumnId="4"/>
      <queryTableField id="5" name="RKVAH_Import" tableColumnId="5"/>
      <queryTableField id="6" name="RKVAH_Loss_Percentage" tableColumnId="6"/>
      <queryTableField id="7" name="Permissible_Limit" tableColumnId="7"/>
      <queryTableField id="8" name="Status" tableColumn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1" xr16:uid="{C51101C4-CE9D-493B-8FAE-A233ED410C1A}" autoFormatId="16" applyNumberFormats="0" applyBorderFormats="0" applyFontFormats="0" applyPatternFormats="0" applyAlignmentFormats="0" applyWidthHeightFormats="0">
  <queryTableRefresh nextId="10" unboundColumnsRight="1">
    <queryTableFields count="9">
      <queryTableField id="1" name="Billing_Month" tableColumnId="1"/>
      <queryTableField id="2" name="Financial_Year" tableColumnId="2"/>
      <queryTableField id="3" name="Plant_ID" tableColumnId="3"/>
      <queryTableField id="4" name="Energy_Exported_kWh" tableColumnId="4"/>
      <queryTableField id="5" name="RKVAH_Import" tableColumnId="5"/>
      <queryTableField id="6" name="RKVAH_Loss_Percentage" tableColumnId="6"/>
      <queryTableField id="7" name="Permissible_Limit" tableColumnId="7"/>
      <queryTableField id="8" name="Status"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AC8222E-9B27-408D-B466-193F62BE5A06}" sourceName="Month">
  <pivotTables>
    <pivotTable tabId="25" name="PivotTable10"/>
    <pivotTable tabId="20" name="PivotTable1"/>
  </pivotTables>
  <data>
    <tabular pivotCacheId="943486364">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_ID" xr10:uid="{D8D38A0B-367A-4C26-A768-8A3A5ABB4A25}" sourceName="Plant_ID">
  <pivotTables>
    <pivotTable tabId="25" name="PivotTable10"/>
    <pivotTable tabId="20" name="PivotTable1"/>
  </pivotTables>
  <data>
    <tabular pivotCacheId="943486364">
      <items count="25">
        <i x="0" s="1"/>
        <i x="1" s="1"/>
        <i x="2" s="1"/>
        <i x="3" s="1"/>
        <i x="4" s="1"/>
        <i x="5" s="1"/>
        <i x="6" s="1"/>
        <i x="7" s="1"/>
        <i x="8" s="1"/>
        <i x="9" s="1"/>
        <i x="10" s="1"/>
        <i x="11" s="1"/>
        <i x="12" s="1"/>
        <i x="13" s="1"/>
        <i x="14" s="1"/>
        <i x="15" s="1"/>
        <i x="16" s="1"/>
        <i x="17" s="1"/>
        <i x="18" s="1"/>
        <i x="19" s="1"/>
        <i x="20" s="1"/>
        <i x="21" s="1"/>
        <i x="22" s="1"/>
        <i x="23" s="1"/>
        <i x="2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1F77684F-E164-4B3B-A9D4-092BA4553EC1}" sourceName="Financial_Year">
  <pivotTables>
    <pivotTable tabId="25" name="PivotTable10"/>
    <pivotTable tabId="20" name="PivotTable1"/>
  </pivotTables>
  <data>
    <tabular pivotCacheId="943486364">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1DE27E0-CDB2-444A-A25F-B983166620E4}" cache="Slicer_Month" caption="Month" rowHeight="247650"/>
  <slicer name="Plant_ID 1" xr10:uid="{FF838CC2-B14E-4E6B-8321-E4D7CFE7B83D}" cache="Slicer_Plant_ID" caption="Plant_ID" rowHeight="247650"/>
  <slicer name="Financial_Year 1" xr10:uid="{C9FFB44C-29B0-44EB-AB0D-5FDAF212DDF2}" cache="Slicer_Financial_Year" caption="Financial_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D350051-76B4-4485-9849-6053A1AE837A}" cache="Slicer_Month" caption="Month" rowHeight="247650"/>
  <slicer name="Plant_ID" xr10:uid="{392B8073-B6BE-40C2-A696-7D1BF59DAF02}" cache="Slicer_Plant_ID" caption="Plant_ID" rowHeight="247650"/>
  <slicer name="Financial_Year" xr10:uid="{66ACB4E4-4E22-42EE-A597-29DDF2BBAE32}" cache="Slicer_Financial_Year" caption="Financial_Yea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67855A-E531-41DC-80E6-9245D861065C}" name="Plant_Master" displayName="Plant_Master" ref="A1:H26" tableType="queryTable" totalsRowShown="0">
  <autoFilter ref="A1:H26" xr:uid="{7B67855A-E531-41DC-80E6-9245D861065C}"/>
  <tableColumns count="8">
    <tableColumn id="1" xr3:uid="{207F6B37-5890-4190-AFB0-0ABFBB0B6445}" uniqueName="1" name="Plant_ID" queryTableFieldId="1"/>
    <tableColumn id="2" xr3:uid="{11ED7814-DDA3-4B90-B94D-B59C96B83C68}" uniqueName="2" name="Capacity_MW" queryTableFieldId="2"/>
    <tableColumn id="3" xr3:uid="{36A810CE-3B85-420C-BFBD-856D7CD57910}" uniqueName="3" name="No_of_WTGs" queryTableFieldId="3"/>
    <tableColumn id="4" xr3:uid="{F0AE6DF2-C159-4199-86E9-A721696DE12F}" uniqueName="4" name="WTG_Capacity_MW" queryTableFieldId="4"/>
    <tableColumn id="5" xr3:uid="{377E4AE2-F705-4F2E-947F-9E9CB529D53D}" uniqueName="5" name="Plant_Name" queryTableFieldId="5" dataDxfId="53"/>
    <tableColumn id="6" xr3:uid="{F626FC36-0083-48DA-B725-C3386CF0AE49}" uniqueName="6" name="State" queryTableFieldId="6" dataDxfId="52"/>
    <tableColumn id="7" xr3:uid="{41B916E7-E167-4F1F-970D-C50D2FC5AAC5}" uniqueName="7" name="Customer_Name" queryTableFieldId="7" dataDxfId="51"/>
    <tableColumn id="8" xr3:uid="{2209FEDA-B242-49E5-97A6-0D66184FD3DE}" uniqueName="8" name="Commission_Date" queryTableFieldId="8" dataDxfId="5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B4AC99-8F95-4FCA-9156-61E20BA7436E}" name="Plant_Master8" displayName="Plant_Master8" ref="A1:H26" tableType="queryTable" totalsRowShown="0">
  <autoFilter ref="A1:H26" xr:uid="{7B67855A-E531-41DC-80E6-9245D861065C}"/>
  <tableColumns count="8">
    <tableColumn id="1" xr3:uid="{D3588FD7-2ACA-4B36-B17B-0E17A63C846D}" uniqueName="1" name="Plant_ID" queryTableFieldId="1"/>
    <tableColumn id="2" xr3:uid="{E1235D9A-B30C-4A91-8E93-0329B7259D22}" uniqueName="2" name="Capacity_MW" queryTableFieldId="2"/>
    <tableColumn id="3" xr3:uid="{CE93C746-2AF9-4A0A-9BEE-86DD4B9B52C2}" uniqueName="3" name="No_of_WTGs" queryTableFieldId="3"/>
    <tableColumn id="4" xr3:uid="{9ABFB8F5-28EF-4142-8DB4-F328908B0D82}" uniqueName="4" name="WTG_Capacity_MW" queryTableFieldId="4"/>
    <tableColumn id="5" xr3:uid="{2B2B7641-4655-4362-AC36-D8ED068CA911}" uniqueName="5" name="Plant_Name" queryTableFieldId="5" dataDxfId="49"/>
    <tableColumn id="6" xr3:uid="{215919BE-A807-4446-A942-4296485CC348}" uniqueName="6" name="State" queryTableFieldId="6" dataDxfId="48"/>
    <tableColumn id="7" xr3:uid="{FBFA6402-6829-4DE1-9D37-D063DACE625C}" uniqueName="7" name="Customer_Name" queryTableFieldId="7" dataDxfId="47"/>
    <tableColumn id="8" xr3:uid="{27AA2D92-7EC5-4980-994A-8E2DA4BE07D9}" uniqueName="8" name="Commission_Date" queryTableFieldId="8" dataDxfId="4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6DE639-74EF-47FD-9F8B-311ED8581597}" name="Montly_Generation" displayName="Montly_Generation" ref="A1:G301" tableType="queryTable" totalsRowShown="0">
  <autoFilter ref="A1:G301" xr:uid="{556DE639-74EF-47FD-9F8B-311ED8581597}"/>
  <tableColumns count="7">
    <tableColumn id="1" xr3:uid="{7904FE8B-4244-4C14-B493-2B995EE3FE14}" uniqueName="1" name="Month" queryTableFieldId="1" dataDxfId="45"/>
    <tableColumn id="2" xr3:uid="{85BD04B3-A84B-4990-A558-92FCD35536C6}" uniqueName="2" name="Day_in_months" queryTableFieldId="2"/>
    <tableColumn id="3" xr3:uid="{FADE57CD-AFB1-42AF-910A-66EE4ECDCCAC}" uniqueName="3" name="Financial_Year" queryTableFieldId="3" dataDxfId="44"/>
    <tableColumn id="4" xr3:uid="{233A9200-53C9-48F6-B7E8-20BE529A9A3C}" uniqueName="4" name="Plant_ID" queryTableFieldId="4"/>
    <tableColumn id="5" xr3:uid="{F61E7B80-34AD-4EDD-A218-BEFDB37CA3B7}" uniqueName="5" name="Energy_Generated_kWh" queryTableFieldId="5"/>
    <tableColumn id="6" xr3:uid="{70868666-2764-4D16-9E23-C325225E2C5C}" uniqueName="6" name="Energy_Exported_kWh" queryTableFieldId="6"/>
    <tableColumn id="7" xr3:uid="{BED0CAC4-08A8-4EAC-8715-3CBF2FF5DC8D}" uniqueName="7" name="Import_Units" queryTableField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5E9652-A622-41D0-A9E5-53DE5FBED2A6}" name="Montly_Generation9" displayName="Montly_Generation9" ref="A1:I301" tableType="queryTable" totalsRowShown="0">
  <autoFilter ref="A1:I301" xr:uid="{556DE639-74EF-47FD-9F8B-311ED8581597}"/>
  <tableColumns count="9">
    <tableColumn id="1" xr3:uid="{9D797B0F-F807-4EAE-8569-EDB25CE765C6}" uniqueName="1" name="Month" queryTableFieldId="1" dataDxfId="43"/>
    <tableColumn id="2" xr3:uid="{FCFF2BA5-CBEE-4B94-9625-B8F7F8BD88F0}" uniqueName="2" name="Day_in_months" queryTableFieldId="2"/>
    <tableColumn id="3" xr3:uid="{EE0B52CC-6FC8-4FC2-94E7-F5A251F9E855}" uniqueName="3" name="Financial_Year" queryTableFieldId="3" dataDxfId="42"/>
    <tableColumn id="4" xr3:uid="{B7FE66CE-5B6F-447F-B99B-E44B8480BDE9}" uniqueName="4" name="Plant_ID" queryTableFieldId="4"/>
    <tableColumn id="5" xr3:uid="{CA002739-B8D0-4629-BB38-8A4FE8296C2B}" uniqueName="5" name="Energy_Generated_kWh" queryTableFieldId="5"/>
    <tableColumn id="6" xr3:uid="{B81B9F4C-92CE-4ADD-96B3-DF7CB3E53D0D}" uniqueName="6" name="Energy_Exported_kWh" queryTableFieldId="6"/>
    <tableColumn id="7" xr3:uid="{68C00410-C44A-4A1A-A690-7D035721268D}" uniqueName="7" name="Import_Units" queryTableFieldId="7"/>
    <tableColumn id="8" xr3:uid="{F1D1D539-9EB9-49F9-ACD5-96168AE8E604}" uniqueName="8" name="Duplicate_Check" queryTableFieldId="8" dataDxfId="41">
      <calculatedColumnFormula>IF(COUNTIFS($D$2:$D$301,D3,$A$2:$A$301,A3)&gt;1,"Duplicate","Unique")</calculatedColumnFormula>
    </tableColumn>
    <tableColumn id="9" xr3:uid="{98C5EFD0-997C-4500-A936-3FB81ABB521E}" uniqueName="9" name="Export_Efficiency_%" queryTableFieldId="9" dataDxfId="40">
      <calculatedColumnFormula>F2/E2*100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4F66A4-CBCB-4B85-9C6C-169758865C9C}" name="Billing" displayName="Billing" ref="A1:O301" tableType="queryTable" totalsRowShown="0">
  <autoFilter ref="A1:O301" xr:uid="{F04F66A4-CBCB-4B85-9C6C-169758865C9C}"/>
  <tableColumns count="15">
    <tableColumn id="1" xr3:uid="{6FC5A6B4-7D89-4A44-A75B-A9E5F42DBA81}" uniqueName="1" name="Invoice_No" queryTableFieldId="1"/>
    <tableColumn id="2" xr3:uid="{9D3D2E57-1723-43FF-A82D-96A8840F22B9}" uniqueName="2" name="Invoice_Date" queryTableFieldId="2" dataDxfId="39"/>
    <tableColumn id="3" xr3:uid="{3844367C-96D4-4F39-8D85-2B2CEA357493}" uniqueName="3" name="Billing_Month" queryTableFieldId="3" dataDxfId="38"/>
    <tableColumn id="4" xr3:uid="{C60E45D0-7417-482A-AC24-863F41DF9F9E}" uniqueName="4" name="Financial_Year" queryTableFieldId="4" dataDxfId="37"/>
    <tableColumn id="5" xr3:uid="{344B8431-DE7F-45BE-9C42-397A951CCF09}" uniqueName="5" name="Plant_ID" queryTableFieldId="5"/>
    <tableColumn id="6" xr3:uid="{65C4472C-7706-416F-BCDA-9D06C8ED04E5}" uniqueName="6" name="Energy_Exported_kWh" queryTableFieldId="6"/>
    <tableColumn id="7" xr3:uid="{4AADD163-A096-4717-BDDE-5B5C7208A3A4}" uniqueName="7" name="Tariff_Per_Unit" queryTableFieldId="7"/>
    <tableColumn id="8" xr3:uid="{6CA128AC-AE87-48A7-9ACA-F322802F4DA6}" uniqueName="8" name="Invoice_Amount" queryTableFieldId="8"/>
    <tableColumn id="9" xr3:uid="{51C5BE8F-56F6-49F0-B14D-0DAE38908857}" uniqueName="9" name="TDS" queryTableFieldId="9"/>
    <tableColumn id="10" xr3:uid="{E1D3296E-A8D3-4855-9147-FD762E1AFAF5}" uniqueName="10" name="Amount_Receivable" queryTableFieldId="10"/>
    <tableColumn id="11" xr3:uid="{476E7087-CC1D-45E3-8F4D-64CD5BFB452B}" uniqueName="11" name="Due_Date" queryTableFieldId="11" dataDxfId="36"/>
    <tableColumn id="12" xr3:uid="{04102F1C-4469-4AE5-B8B5-D59F2A13B753}" uniqueName="12" name="Invoice_Status" queryTableFieldId="12" dataDxfId="35"/>
    <tableColumn id="13" xr3:uid="{F867CFF0-A1B9-4566-A290-EF26FD471B3E}" uniqueName="13" name="Column1" queryTableFieldId="13" dataDxfId="34"/>
    <tableColumn id="14" xr3:uid="{3C505731-4B66-42E0-8EF2-63DBA8473A1B}" uniqueName="14" name="_1" queryTableFieldId="14" dataDxfId="33"/>
    <tableColumn id="15" xr3:uid="{DEDC65DB-24E6-4B91-AFB6-4F24B1A1A718}" uniqueName="15" name="_2" queryTableFieldId="15" dataDxfId="3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4D0DB2D-B200-4D42-BA83-03E64C684626}" name="Billing10" displayName="Billing10" ref="A1:N301" tableType="queryTable" totalsRowShown="0">
  <autoFilter ref="A1:N301" xr:uid="{F04F66A4-CBCB-4B85-9C6C-169758865C9C}"/>
  <tableColumns count="14">
    <tableColumn id="1" xr3:uid="{A1A34D21-17A3-4F50-8F9C-C6FD15A042A0}" uniqueName="1" name="Invoice_No" queryTableFieldId="1"/>
    <tableColumn id="2" xr3:uid="{E7DF4099-38AF-4D69-9901-89EA4EF8A398}" uniqueName="2" name="Invoice_Date" queryTableFieldId="2" dataDxfId="31"/>
    <tableColumn id="3" xr3:uid="{F9B22B85-0930-4F8A-9E55-5F1A19683D24}" uniqueName="3" name="Billing_Month" queryTableFieldId="3" dataDxfId="30"/>
    <tableColumn id="4" xr3:uid="{72055922-2F76-4B34-907E-2284F36B3B98}" uniqueName="4" name="Financial_Year" queryTableFieldId="4" dataDxfId="29"/>
    <tableColumn id="5" xr3:uid="{7AD95A3E-7DD5-4045-91F4-1696BDCD54AB}" uniqueName="5" name="Plant_ID" queryTableFieldId="5"/>
    <tableColumn id="6" xr3:uid="{24A8633E-3812-4278-9157-8C105F7C7E85}" uniqueName="6" name="Energy_Exported_kWh" queryTableFieldId="6"/>
    <tableColumn id="7" xr3:uid="{216ED322-48DC-426E-A401-835EC4338656}" uniqueName="7" name="Tariff_Per_Unit" queryTableFieldId="7"/>
    <tableColumn id="8" xr3:uid="{6A3CD02E-9BB3-402E-BB20-F639431E5AE9}" uniqueName="8" name="Invoice_Amount" queryTableFieldId="8"/>
    <tableColumn id="9" xr3:uid="{282E19A3-5273-456E-81D1-89F5C744250D}" uniqueName="9" name="TDS" queryTableFieldId="9"/>
    <tableColumn id="10" xr3:uid="{4D5C342F-2AA7-4E53-8D14-634EAA494516}" uniqueName="10" name="Amount_Receivable" queryTableFieldId="10"/>
    <tableColumn id="11" xr3:uid="{F410A71C-1665-400D-A9EE-2D3CC1283189}" uniqueName="11" name="Due_Date" queryTableFieldId="11" dataDxfId="28"/>
    <tableColumn id="12" xr3:uid="{3B648263-5168-4E51-96D6-F07336179995}" uniqueName="12" name="Invoice_Status" queryTableFieldId="12" dataDxfId="27"/>
    <tableColumn id="13" xr3:uid="{D791E17E-5ECB-4A8A-8F85-EDE21D808F9A}" uniqueName="13" name="Billing_Check" queryTableFieldId="16" dataDxfId="26">
      <calculatedColumnFormula>IF(ROUND(H2-I2,0)=ROUND(J2,0),"OK","Review")</calculatedColumnFormula>
    </tableColumn>
    <tableColumn id="14" xr3:uid="{53F49E45-33D2-4432-A2CC-83832760E8E9}" uniqueName="14" name="Billing_Difference" queryTableFieldId="17" dataDxfId="25">
      <calculatedColumnFormula>ROUND(H2-I2-J2,2)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79B21F-A307-46BC-9CE8-0BBFDA23D6DE}" name="Receivable" displayName="Receivable" ref="A1:J301" tableType="queryTable" totalsRowShown="0">
  <autoFilter ref="A1:J301" xr:uid="{0079B21F-A307-46BC-9CE8-0BBFDA23D6DE}"/>
  <tableColumns count="10">
    <tableColumn id="1" xr3:uid="{5C4C92AA-C45D-4EFE-BACD-F931E5933EFE}" uniqueName="1" name="Invoice_No" queryTableFieldId="1"/>
    <tableColumn id="2" xr3:uid="{09BF013D-6EFE-49AC-8903-10D06C2FE37F}" uniqueName="2" name="Plant_ID" queryTableFieldId="2"/>
    <tableColumn id="3" xr3:uid="{0781043D-1893-4344-8C30-8080CE94F4C0}" uniqueName="3" name="Due_Date" queryTableFieldId="3" dataDxfId="24"/>
    <tableColumn id="4" xr3:uid="{47ED65B2-51C6-4BB4-9CF1-B891A6B373BE}" uniqueName="4" name="Payment_Date" queryTableFieldId="4" dataDxfId="23"/>
    <tableColumn id="5" xr3:uid="{BDD615C9-BF6A-42EB-A488-91E27F28B56A}" uniqueName="5" name="Amount_Receivable" queryTableFieldId="5"/>
    <tableColumn id="6" xr3:uid="{09B6C233-97A4-4C61-946D-1506C578BA36}" uniqueName="6" name="Amount_Received" queryTableFieldId="6"/>
    <tableColumn id="7" xr3:uid="{640E734C-EAB0-40F8-8DD6-3BEC6962991E}" uniqueName="7" name="Outstanding_Amount" queryTableFieldId="7"/>
    <tableColumn id="8" xr3:uid="{494DC45D-E0EB-4740-8623-66FE48D77FAC}" uniqueName="8" name="Collection" queryTableFieldId="8"/>
    <tableColumn id="9" xr3:uid="{6F1027DC-E19B-448A-B559-13B4F9ED7584}" uniqueName="9" name="Delay_Days" queryTableFieldId="9"/>
    <tableColumn id="10" xr3:uid="{66D75101-6E6E-4EE2-B243-0D142CF684CC}" uniqueName="10" name="Invoice_Status" queryTableFieldId="10" dataDxfId="2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3CF1B32-0B04-4D39-BC53-A50A6D6D3B08}" name="Receivable11" displayName="Receivable11" ref="A1:K301" tableType="queryTable" totalsRowShown="0">
  <autoFilter ref="A1:K301" xr:uid="{0079B21F-A307-46BC-9CE8-0BBFDA23D6DE}"/>
  <tableColumns count="11">
    <tableColumn id="1" xr3:uid="{73F8F62F-808E-4D97-AD0F-97FD6451B562}" uniqueName="1" name="Invoice_No" queryTableFieldId="1"/>
    <tableColumn id="2" xr3:uid="{3BC88DE2-F519-4F2F-ABC5-5AA41E656752}" uniqueName="2" name="Plant_ID" queryTableFieldId="2"/>
    <tableColumn id="3" xr3:uid="{9A4A2148-0D44-4544-9315-C5FF9A6EBEA6}" uniqueName="3" name="Due_Date" queryTableFieldId="3" dataDxfId="21"/>
    <tableColumn id="4" xr3:uid="{051F4324-8D95-499F-9433-92001A58FAC5}" uniqueName="4" name="Payment_Date" queryTableFieldId="4" dataDxfId="20"/>
    <tableColumn id="5" xr3:uid="{5D96779C-9D57-47B8-B10B-C56EFF8CAA4B}" uniqueName="5" name="Amount_Receivable" queryTableFieldId="5"/>
    <tableColumn id="6" xr3:uid="{126C5980-8024-49B8-8B4E-5FF608458AD0}" uniqueName="6" name="Amount_Received" queryTableFieldId="6"/>
    <tableColumn id="7" xr3:uid="{EB39440C-3910-426C-BAD9-149641CDD515}" uniqueName="7" name="Outstanding_Amount" queryTableFieldId="7"/>
    <tableColumn id="8" xr3:uid="{4A6CF68A-5337-428C-A6A2-631FE6B619E6}" uniqueName="8" name="Collection" queryTableFieldId="8"/>
    <tableColumn id="9" xr3:uid="{FDD2A492-CDEB-4A74-AF84-300974166F1A}" uniqueName="9" name="Delay_Days" queryTableFieldId="9"/>
    <tableColumn id="10" xr3:uid="{EDE346D9-8EB1-45C8-97F4-BE5FDF462861}" uniqueName="10" name="Invoice_Status" queryTableFieldId="10" dataDxfId="19"/>
    <tableColumn id="11" xr3:uid="{C1D01E20-19B1-4DC8-AC96-EC493EED7511}" uniqueName="11" name="Payment_Status_Check" queryTableFieldId="11" dataDxfId="18">
      <calculatedColumnFormula>IF(AND(J2="Unpaid",D2&lt;&gt;""),"Review: Unpaid with payment date",IF(AND(J2="Paid",D2=""),"Review: Paid without payment date","OK"))</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C09021-BFC1-4664-93D3-76E4A36A9724}" name="TL" displayName="TL" ref="A1:G301" tableType="queryTable" totalsRowShown="0">
  <autoFilter ref="A1:G301" xr:uid="{8AC09021-BFC1-4664-93D3-76E4A36A9724}"/>
  <tableColumns count="7">
    <tableColumn id="1" xr3:uid="{77D19C6C-B20F-4778-90C0-F1A8FF7E2A72}" uniqueName="1" name="Billing_Month" queryTableFieldId="1" dataDxfId="17"/>
    <tableColumn id="2" xr3:uid="{7A1C458B-43B2-4FD4-8B8C-24FE2B7E91D1}" uniqueName="2" name="Financial_Year" queryTableFieldId="2" dataDxfId="16"/>
    <tableColumn id="3" xr3:uid="{F5245BCA-0102-49A7-BC16-4E13B7917835}" uniqueName="3" name="Plant_ID" queryTableFieldId="3"/>
    <tableColumn id="4" xr3:uid="{A17ED03B-380D-4733-940E-607B3A9D5962}" uniqueName="4" name="Energy_Generated_kWh" queryTableFieldId="4"/>
    <tableColumn id="5" xr3:uid="{8477F6BC-55E6-4626-AFB0-87D2EBAEF002}" uniqueName="5" name="Energy_Exported_kWh" queryTableFieldId="5"/>
    <tableColumn id="6" xr3:uid="{C170B34C-7217-4DD1-8A21-76438E2DDED7}" uniqueName="6" name="TL loss units" queryTableFieldId="6"/>
    <tableColumn id="7" xr3:uid="{EB7A1199-9492-41BD-9154-7F64AC2B0252}" uniqueName="7" name="TL%" queryTableFieldId="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6DEE174-0A8F-4485-9A50-75FBD05523AE}" name="TL_12" displayName="TL_12" ref="A1:H301" tableType="queryTable" totalsRowShown="0">
  <autoFilter ref="A1:H301" xr:uid="{8AC09021-BFC1-4664-93D3-76E4A36A9724}">
    <filterColumn colId="2">
      <filters>
        <filter val="4"/>
      </filters>
    </filterColumn>
  </autoFilter>
  <tableColumns count="8">
    <tableColumn id="1" xr3:uid="{4077477A-27DE-4568-ADC9-A2FC395B6F8F}" uniqueName="1" name="Billing_Month" queryTableFieldId="1" dataDxfId="15"/>
    <tableColumn id="2" xr3:uid="{C84CE140-BC3E-4DE3-B859-BAEEC0496313}" uniqueName="2" name="Financial_Year" queryTableFieldId="2" dataDxfId="14"/>
    <tableColumn id="3" xr3:uid="{4CE8491E-0C31-4F7B-8054-8B7CD5DBC799}" uniqueName="3" name="Plant_ID" queryTableFieldId="3"/>
    <tableColumn id="4" xr3:uid="{65DAD7F6-AB92-4EC3-AE62-772B1ECC268F}" uniqueName="4" name="Energy_Generated_kWh" queryTableFieldId="4"/>
    <tableColumn id="5" xr3:uid="{177D9BFB-3CEC-4013-8A00-BEA73EE16FC6}" uniqueName="5" name="Energy_Exported_kWh" queryTableFieldId="5"/>
    <tableColumn id="6" xr3:uid="{331E234F-B646-43A5-88CF-AE1D6772EE08}" uniqueName="6" name="TL loss units" queryTableFieldId="6"/>
    <tableColumn id="7" xr3:uid="{A8BEB641-24A6-45CD-BCD9-592D45570179}" uniqueName="7" name="TL%" queryTableFieldId="7"/>
    <tableColumn id="8" xr3:uid="{4041CA65-FFEF-4DAA-9E66-0FA5B05DDBA8}" uniqueName="8" name="TL_Check" queryTableFieldId="8" dataDxfId="13">
      <calculatedColumnFormula>IF(ROUND(F1/D1,4)=ROUND(G1,4),"OK","Review")</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83B82EC-BF86-4E34-92BB-AC841DF47249}" name="RKVAH" displayName="RKVAH" ref="A1:H301" tableType="queryTable" totalsRowShown="0">
  <autoFilter ref="A1:H301" xr:uid="{883B82EC-BF86-4E34-92BB-AC841DF47249}"/>
  <tableColumns count="8">
    <tableColumn id="1" xr3:uid="{47DC56CA-8E29-41DD-B0F4-6ACEDB902CFA}" uniqueName="1" name="Billing_Month" queryTableFieldId="1" dataDxfId="12"/>
    <tableColumn id="2" xr3:uid="{530FDECA-B4F0-4AF8-B475-B1CB0E4BAC2E}" uniqueName="2" name="Financial_Year" queryTableFieldId="2" dataDxfId="11"/>
    <tableColumn id="3" xr3:uid="{348A03F5-7A5B-4E56-AED8-992E349C038D}" uniqueName="3" name="Plant_ID" queryTableFieldId="3"/>
    <tableColumn id="4" xr3:uid="{AB630AA9-ACB6-4AE2-B0C5-1CE23B422B6E}" uniqueName="4" name="Energy_Exported_kWh" queryTableFieldId="4"/>
    <tableColumn id="5" xr3:uid="{9C2FC6F6-47DC-41B1-B0C9-07782B13024C}" uniqueName="5" name="RKVAH_Import" queryTableFieldId="5"/>
    <tableColumn id="6" xr3:uid="{0D427D4A-F6AB-4B1A-B01E-8C9485F42162}" uniqueName="6" name="RKVAH_Loss_Percentage" queryTableFieldId="6"/>
    <tableColumn id="7" xr3:uid="{C4A0900B-02DB-47F1-8865-A6B0C7D9DF29}" uniqueName="7" name="Permissible_Limit" queryTableFieldId="7"/>
    <tableColumn id="8" xr3:uid="{DD0A3130-3102-4119-980D-5811F6DDE590}" uniqueName="8" name="Status" queryTableFieldId="8" dataDxfId="1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06CEA93-81A6-4160-AE62-35A68FD8E475}" name="RKVAH13" displayName="RKVAH13" ref="A1:I301" tableType="queryTable" totalsRowShown="0">
  <autoFilter ref="A1:I301" xr:uid="{883B82EC-BF86-4E34-92BB-AC841DF47249}">
    <filterColumn colId="8">
      <filters>
        <filter val="Review"/>
      </filters>
    </filterColumn>
  </autoFilter>
  <tableColumns count="9">
    <tableColumn id="1" xr3:uid="{7075C425-AE10-400F-8DF1-5DF28BE4828A}" uniqueName="1" name="Billing_Month" queryTableFieldId="1" dataDxfId="9"/>
    <tableColumn id="2" xr3:uid="{DAEA1629-8882-44CF-ADC2-8BBE068B5149}" uniqueName="2" name="Financial_Year" queryTableFieldId="2" dataDxfId="8"/>
    <tableColumn id="3" xr3:uid="{81201380-51FB-4FCC-B716-7D4CB3BFDA5C}" uniqueName="3" name="Plant_ID" queryTableFieldId="3"/>
    <tableColumn id="4" xr3:uid="{13672469-ACBB-4C47-9B67-C63B12F9B470}" uniqueName="4" name="Energy_Exported_kWh" queryTableFieldId="4"/>
    <tableColumn id="5" xr3:uid="{1A53BC86-DC47-4A41-90BF-7670F0FA1283}" uniqueName="5" name="RKVAH_Import" queryTableFieldId="5"/>
    <tableColumn id="6" xr3:uid="{F09C032B-AEF3-4E2A-9A1F-28BB53130A1D}" uniqueName="6" name="RKVAH_Loss_Percentage" queryTableFieldId="6"/>
    <tableColumn id="7" xr3:uid="{50F2666A-8AAA-4A5A-8172-EC7BB5CA8DD5}" uniqueName="7" name="Permissible_Limit" queryTableFieldId="7"/>
    <tableColumn id="8" xr3:uid="{DA89F39E-D097-42B6-9C1D-6023CA4B0D15}" uniqueName="8" name="Status" queryTableFieldId="8" dataDxfId="7"/>
    <tableColumn id="9" xr3:uid="{CE57C7B3-0448-4198-9910-39F16140FE6C}" uniqueName="9" name="Status_Check" queryTableFieldId="9" dataDxfId="6">
      <calculatedColumnFormula>IF(ABS(F2)&gt;G2,"Review","OK")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181FE-0960-480B-B5CA-3C8984F4EB04}">
  <dimension ref="A1:H26"/>
  <sheetViews>
    <sheetView workbookViewId="0">
      <selection activeCell="C26" sqref="C26"/>
    </sheetView>
  </sheetViews>
  <sheetFormatPr defaultRowHeight="14.4" x14ac:dyDescent="0.3"/>
  <cols>
    <col min="1" max="1" width="10.109375" bestFit="1" customWidth="1"/>
    <col min="2" max="2" width="14.5546875" bestFit="1" customWidth="1"/>
    <col min="3" max="3" width="13.44140625" bestFit="1" customWidth="1"/>
    <col min="4" max="4" width="19.44140625" bestFit="1" customWidth="1"/>
    <col min="5" max="5" width="15.77734375" bestFit="1" customWidth="1"/>
    <col min="6" max="6" width="11.21875" bestFit="1" customWidth="1"/>
    <col min="7" max="7" width="25.44140625" bestFit="1" customWidth="1"/>
    <col min="8" max="8" width="18.44140625" bestFit="1" customWidth="1"/>
  </cols>
  <sheetData>
    <row r="1" spans="1:8" x14ac:dyDescent="0.3">
      <c r="A1" t="s">
        <v>0</v>
      </c>
      <c r="B1" t="s">
        <v>1</v>
      </c>
      <c r="C1" t="s">
        <v>2</v>
      </c>
      <c r="D1" t="s">
        <v>3</v>
      </c>
      <c r="E1" t="s">
        <v>4</v>
      </c>
      <c r="F1" t="s">
        <v>5</v>
      </c>
      <c r="G1" t="s">
        <v>6</v>
      </c>
      <c r="H1" t="s">
        <v>7</v>
      </c>
    </row>
    <row r="2" spans="1:8" x14ac:dyDescent="0.3">
      <c r="A2">
        <v>1</v>
      </c>
      <c r="B2">
        <v>3</v>
      </c>
      <c r="C2">
        <v>4</v>
      </c>
      <c r="D2">
        <v>0.75</v>
      </c>
      <c r="E2" t="s">
        <v>8</v>
      </c>
      <c r="F2" t="s">
        <v>9</v>
      </c>
      <c r="G2" t="s">
        <v>10</v>
      </c>
      <c r="H2" s="1">
        <v>36615</v>
      </c>
    </row>
    <row r="3" spans="1:8" x14ac:dyDescent="0.3">
      <c r="A3">
        <v>2</v>
      </c>
      <c r="B3">
        <v>0.75</v>
      </c>
      <c r="C3">
        <v>1</v>
      </c>
      <c r="D3">
        <v>0.75</v>
      </c>
      <c r="E3" t="s">
        <v>11</v>
      </c>
      <c r="F3" t="s">
        <v>12</v>
      </c>
      <c r="G3" t="s">
        <v>13</v>
      </c>
      <c r="H3" s="1">
        <v>37411</v>
      </c>
    </row>
    <row r="4" spans="1:8" x14ac:dyDescent="0.3">
      <c r="A4">
        <v>3</v>
      </c>
      <c r="B4">
        <v>3.8</v>
      </c>
      <c r="C4">
        <v>4</v>
      </c>
      <c r="D4">
        <v>0.95</v>
      </c>
      <c r="E4" t="s">
        <v>14</v>
      </c>
      <c r="F4" t="s">
        <v>12</v>
      </c>
      <c r="G4" t="s">
        <v>13</v>
      </c>
      <c r="H4" s="1">
        <v>37803</v>
      </c>
    </row>
    <row r="5" spans="1:8" x14ac:dyDescent="0.3">
      <c r="A5">
        <v>4</v>
      </c>
      <c r="B5">
        <v>3</v>
      </c>
      <c r="C5">
        <v>4</v>
      </c>
      <c r="D5">
        <v>0.75</v>
      </c>
      <c r="E5" t="s">
        <v>15</v>
      </c>
      <c r="F5" t="s">
        <v>16</v>
      </c>
      <c r="G5" t="s">
        <v>17</v>
      </c>
      <c r="H5" s="1">
        <v>38575</v>
      </c>
    </row>
    <row r="6" spans="1:8" x14ac:dyDescent="0.3">
      <c r="A6">
        <v>5</v>
      </c>
      <c r="B6">
        <v>1.9</v>
      </c>
      <c r="C6">
        <v>2</v>
      </c>
      <c r="D6">
        <v>0.95</v>
      </c>
      <c r="E6" t="s">
        <v>18</v>
      </c>
      <c r="F6" t="s">
        <v>12</v>
      </c>
      <c r="G6" t="s">
        <v>19</v>
      </c>
      <c r="H6" s="1">
        <v>38512</v>
      </c>
    </row>
    <row r="7" spans="1:8" x14ac:dyDescent="0.3">
      <c r="A7">
        <v>6</v>
      </c>
      <c r="B7">
        <v>2.5</v>
      </c>
      <c r="C7">
        <v>2</v>
      </c>
      <c r="D7">
        <v>1.25</v>
      </c>
      <c r="E7" t="s">
        <v>20</v>
      </c>
      <c r="F7" t="s">
        <v>9</v>
      </c>
      <c r="G7" t="s">
        <v>21</v>
      </c>
      <c r="H7" s="1">
        <v>38620</v>
      </c>
    </row>
    <row r="8" spans="1:8" x14ac:dyDescent="0.3">
      <c r="A8">
        <v>7</v>
      </c>
      <c r="B8">
        <v>2.5</v>
      </c>
      <c r="C8">
        <v>2</v>
      </c>
      <c r="D8">
        <v>1.25</v>
      </c>
      <c r="E8" t="s">
        <v>22</v>
      </c>
      <c r="F8" t="s">
        <v>9</v>
      </c>
      <c r="G8" t="s">
        <v>21</v>
      </c>
      <c r="H8" s="1">
        <v>38898</v>
      </c>
    </row>
    <row r="9" spans="1:8" x14ac:dyDescent="0.3">
      <c r="A9">
        <v>8</v>
      </c>
      <c r="B9">
        <v>4.95</v>
      </c>
      <c r="C9">
        <v>3</v>
      </c>
      <c r="D9">
        <v>1.65</v>
      </c>
      <c r="E9" t="s">
        <v>23</v>
      </c>
      <c r="F9" t="s">
        <v>9</v>
      </c>
      <c r="G9" t="s">
        <v>21</v>
      </c>
      <c r="H9" s="1">
        <v>39232</v>
      </c>
    </row>
    <row r="10" spans="1:8" x14ac:dyDescent="0.3">
      <c r="A10">
        <v>9</v>
      </c>
      <c r="B10">
        <v>3.75</v>
      </c>
      <c r="C10">
        <v>3</v>
      </c>
      <c r="D10">
        <v>1.25</v>
      </c>
      <c r="E10" t="s">
        <v>24</v>
      </c>
      <c r="F10" t="s">
        <v>12</v>
      </c>
      <c r="G10" t="s">
        <v>25</v>
      </c>
      <c r="H10" s="1">
        <v>39600</v>
      </c>
    </row>
    <row r="11" spans="1:8" x14ac:dyDescent="0.3">
      <c r="A11">
        <v>10</v>
      </c>
      <c r="B11">
        <v>1.6</v>
      </c>
      <c r="C11">
        <v>2</v>
      </c>
      <c r="D11">
        <v>0.8</v>
      </c>
      <c r="E11" t="s">
        <v>26</v>
      </c>
      <c r="F11" t="s">
        <v>9</v>
      </c>
      <c r="G11" t="s">
        <v>10</v>
      </c>
      <c r="H11" s="1">
        <v>39535</v>
      </c>
    </row>
    <row r="12" spans="1:8" x14ac:dyDescent="0.3">
      <c r="A12">
        <v>11</v>
      </c>
      <c r="B12">
        <v>0.8</v>
      </c>
      <c r="C12">
        <v>1</v>
      </c>
      <c r="D12">
        <v>0.8</v>
      </c>
      <c r="E12" t="s">
        <v>27</v>
      </c>
      <c r="F12" t="s">
        <v>9</v>
      </c>
      <c r="G12" t="s">
        <v>10</v>
      </c>
      <c r="H12" s="1">
        <v>39892</v>
      </c>
    </row>
    <row r="13" spans="1:8" x14ac:dyDescent="0.3">
      <c r="A13">
        <v>12</v>
      </c>
      <c r="B13">
        <v>1.5</v>
      </c>
      <c r="C13">
        <v>1</v>
      </c>
      <c r="D13">
        <v>1.5</v>
      </c>
      <c r="E13" t="s">
        <v>24</v>
      </c>
      <c r="F13" t="s">
        <v>12</v>
      </c>
      <c r="G13" t="s">
        <v>25</v>
      </c>
      <c r="H13" s="1">
        <v>39720</v>
      </c>
    </row>
    <row r="14" spans="1:8" x14ac:dyDescent="0.3">
      <c r="A14">
        <v>13</v>
      </c>
      <c r="B14">
        <v>1.5</v>
      </c>
      <c r="C14">
        <v>1</v>
      </c>
      <c r="D14">
        <v>1.5</v>
      </c>
      <c r="E14" t="s">
        <v>24</v>
      </c>
      <c r="F14" t="s">
        <v>12</v>
      </c>
      <c r="G14" t="s">
        <v>25</v>
      </c>
      <c r="H14" s="1">
        <v>39720</v>
      </c>
    </row>
    <row r="15" spans="1:8" x14ac:dyDescent="0.3">
      <c r="A15">
        <v>14</v>
      </c>
      <c r="B15">
        <v>1.5</v>
      </c>
      <c r="C15">
        <v>1</v>
      </c>
      <c r="D15">
        <v>1.5</v>
      </c>
      <c r="E15" t="s">
        <v>24</v>
      </c>
      <c r="F15" t="s">
        <v>12</v>
      </c>
      <c r="G15" t="s">
        <v>25</v>
      </c>
      <c r="H15" s="1">
        <v>39720</v>
      </c>
    </row>
    <row r="16" spans="1:8" x14ac:dyDescent="0.3">
      <c r="A16">
        <v>15</v>
      </c>
      <c r="B16">
        <v>0.8</v>
      </c>
      <c r="C16">
        <v>1</v>
      </c>
      <c r="D16">
        <v>0.8</v>
      </c>
      <c r="E16" t="s">
        <v>27</v>
      </c>
      <c r="F16" t="s">
        <v>9</v>
      </c>
      <c r="G16" t="s">
        <v>10</v>
      </c>
      <c r="H16" s="1">
        <v>39904</v>
      </c>
    </row>
    <row r="17" spans="1:8" x14ac:dyDescent="0.3">
      <c r="A17">
        <v>16</v>
      </c>
      <c r="B17">
        <v>3.75</v>
      </c>
      <c r="C17">
        <v>3</v>
      </c>
      <c r="D17">
        <v>1.25</v>
      </c>
      <c r="E17" t="s">
        <v>28</v>
      </c>
      <c r="F17" t="s">
        <v>9</v>
      </c>
      <c r="G17" t="s">
        <v>10</v>
      </c>
      <c r="H17" s="1">
        <v>40267</v>
      </c>
    </row>
    <row r="18" spans="1:8" x14ac:dyDescent="0.3">
      <c r="A18">
        <v>17</v>
      </c>
      <c r="B18">
        <v>4.5</v>
      </c>
      <c r="C18">
        <v>3</v>
      </c>
      <c r="D18">
        <v>1.5</v>
      </c>
      <c r="E18" t="s">
        <v>29</v>
      </c>
      <c r="F18" t="s">
        <v>16</v>
      </c>
      <c r="G18" t="s">
        <v>17</v>
      </c>
      <c r="H18" s="1">
        <v>40287</v>
      </c>
    </row>
    <row r="19" spans="1:8" x14ac:dyDescent="0.3">
      <c r="A19">
        <v>18</v>
      </c>
      <c r="B19">
        <v>1.25</v>
      </c>
      <c r="C19">
        <v>1</v>
      </c>
      <c r="D19">
        <v>1.25</v>
      </c>
      <c r="E19" t="s">
        <v>30</v>
      </c>
      <c r="F19" t="s">
        <v>16</v>
      </c>
      <c r="G19" t="s">
        <v>17</v>
      </c>
      <c r="H19" s="1">
        <v>40816</v>
      </c>
    </row>
    <row r="20" spans="1:8" x14ac:dyDescent="0.3">
      <c r="A20">
        <v>19</v>
      </c>
      <c r="B20">
        <v>1.25</v>
      </c>
      <c r="C20">
        <v>1</v>
      </c>
      <c r="D20">
        <v>1.25</v>
      </c>
      <c r="E20" t="s">
        <v>30</v>
      </c>
      <c r="F20" t="s">
        <v>16</v>
      </c>
      <c r="G20" t="s">
        <v>17</v>
      </c>
      <c r="H20" s="1">
        <v>40817</v>
      </c>
    </row>
    <row r="21" spans="1:8" x14ac:dyDescent="0.3">
      <c r="A21">
        <v>20</v>
      </c>
      <c r="B21">
        <v>1.25</v>
      </c>
      <c r="C21">
        <v>1</v>
      </c>
      <c r="D21">
        <v>1.25</v>
      </c>
      <c r="E21" t="s">
        <v>31</v>
      </c>
      <c r="F21" t="s">
        <v>16</v>
      </c>
      <c r="G21" t="s">
        <v>17</v>
      </c>
      <c r="H21" s="1">
        <v>40697</v>
      </c>
    </row>
    <row r="22" spans="1:8" x14ac:dyDescent="0.3">
      <c r="A22">
        <v>21</v>
      </c>
      <c r="B22">
        <v>1.25</v>
      </c>
      <c r="C22">
        <v>1</v>
      </c>
      <c r="D22">
        <v>1.25</v>
      </c>
      <c r="E22" t="s">
        <v>31</v>
      </c>
      <c r="F22" t="s">
        <v>16</v>
      </c>
      <c r="G22" t="s">
        <v>17</v>
      </c>
      <c r="H22" s="1">
        <v>40698</v>
      </c>
    </row>
    <row r="23" spans="1:8" x14ac:dyDescent="0.3">
      <c r="A23">
        <v>22</v>
      </c>
      <c r="B23">
        <v>1.5</v>
      </c>
      <c r="C23">
        <v>1</v>
      </c>
      <c r="D23">
        <v>1.5</v>
      </c>
      <c r="E23" t="s">
        <v>32</v>
      </c>
      <c r="F23" t="s">
        <v>9</v>
      </c>
      <c r="G23" t="s">
        <v>33</v>
      </c>
      <c r="H23" s="1">
        <v>41472</v>
      </c>
    </row>
    <row r="24" spans="1:8" x14ac:dyDescent="0.3">
      <c r="A24">
        <v>23</v>
      </c>
      <c r="B24">
        <v>1.5</v>
      </c>
      <c r="C24">
        <v>1</v>
      </c>
      <c r="D24">
        <v>1.5</v>
      </c>
      <c r="E24" t="s">
        <v>32</v>
      </c>
      <c r="F24" t="s">
        <v>9</v>
      </c>
      <c r="G24" t="s">
        <v>33</v>
      </c>
      <c r="H24" s="1">
        <v>41472</v>
      </c>
    </row>
    <row r="25" spans="1:8" x14ac:dyDescent="0.3">
      <c r="A25">
        <v>24</v>
      </c>
      <c r="B25">
        <v>1.5</v>
      </c>
      <c r="C25">
        <v>1</v>
      </c>
      <c r="D25">
        <v>1.5</v>
      </c>
      <c r="E25" t="s">
        <v>32</v>
      </c>
      <c r="F25" t="s">
        <v>9</v>
      </c>
      <c r="G25" t="s">
        <v>33</v>
      </c>
      <c r="H25" s="1">
        <v>41472</v>
      </c>
    </row>
    <row r="26" spans="1:8" x14ac:dyDescent="0.3">
      <c r="A26">
        <v>25</v>
      </c>
      <c r="B26">
        <v>1.5</v>
      </c>
      <c r="C26">
        <v>1</v>
      </c>
      <c r="D26">
        <v>1.5</v>
      </c>
      <c r="E26" t="s">
        <v>32</v>
      </c>
      <c r="F26" t="s">
        <v>9</v>
      </c>
      <c r="G26" t="s">
        <v>33</v>
      </c>
      <c r="H26" s="1">
        <v>41472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82F14-F6AC-41DB-8AC8-D68E4D18850D}">
  <dimension ref="A1:Q38"/>
  <sheetViews>
    <sheetView tabSelected="1" zoomScale="60" zoomScaleNormal="60" workbookViewId="0">
      <selection activeCell="W15" sqref="W15"/>
    </sheetView>
  </sheetViews>
  <sheetFormatPr defaultRowHeight="14.4" x14ac:dyDescent="0.3"/>
  <sheetData>
    <row r="1" spans="1:17" ht="60.6" customHeight="1" x14ac:dyDescent="0.3">
      <c r="A1" s="13" t="s">
        <v>122</v>
      </c>
      <c r="B1" s="12"/>
      <c r="C1" s="12"/>
      <c r="D1" s="12"/>
      <c r="E1" s="12"/>
      <c r="F1" s="12"/>
      <c r="G1" s="12"/>
      <c r="H1" s="12"/>
      <c r="I1" s="12"/>
      <c r="J1" s="12"/>
      <c r="K1" s="12"/>
      <c r="L1" s="12"/>
      <c r="M1" s="12"/>
      <c r="N1" s="12"/>
      <c r="O1" s="12"/>
      <c r="P1" s="12"/>
      <c r="Q1" s="12"/>
    </row>
    <row r="2" spans="1:17" x14ac:dyDescent="0.3">
      <c r="A2" s="14"/>
      <c r="B2" s="14"/>
      <c r="C2" s="14"/>
      <c r="D2" s="14"/>
      <c r="E2" s="14"/>
      <c r="F2" s="14"/>
      <c r="G2" s="14"/>
      <c r="H2" s="14"/>
      <c r="I2" s="14"/>
      <c r="J2" s="14"/>
      <c r="K2" s="14"/>
      <c r="L2" s="14"/>
      <c r="M2" s="14"/>
      <c r="N2" s="14"/>
      <c r="O2" s="14"/>
      <c r="P2" s="14"/>
      <c r="Q2" s="15"/>
    </row>
    <row r="3" spans="1:17" x14ac:dyDescent="0.3">
      <c r="A3" s="14"/>
      <c r="B3" s="14"/>
      <c r="C3" s="14"/>
      <c r="D3" s="14"/>
      <c r="E3" s="14"/>
      <c r="F3" s="14"/>
      <c r="G3" s="14"/>
      <c r="H3" s="14"/>
      <c r="I3" s="14"/>
      <c r="J3" s="14"/>
      <c r="K3" s="14"/>
      <c r="L3" s="14"/>
      <c r="M3" s="14"/>
      <c r="N3" s="14"/>
      <c r="O3" s="14"/>
      <c r="P3" s="14"/>
      <c r="Q3" s="15"/>
    </row>
    <row r="4" spans="1:17" x14ac:dyDescent="0.3">
      <c r="A4" s="14"/>
      <c r="B4" s="14"/>
      <c r="C4" s="14"/>
      <c r="D4" s="14"/>
      <c r="E4" s="14"/>
      <c r="F4" s="14"/>
      <c r="G4" s="14"/>
      <c r="H4" s="14"/>
      <c r="I4" s="14"/>
      <c r="J4" s="14"/>
      <c r="K4" s="14"/>
      <c r="L4" s="14"/>
      <c r="M4" s="14"/>
      <c r="N4" s="14"/>
      <c r="O4" s="14"/>
      <c r="P4" s="14"/>
      <c r="Q4" s="15"/>
    </row>
    <row r="5" spans="1:17" x14ac:dyDescent="0.3">
      <c r="A5" s="14"/>
      <c r="B5" s="14"/>
      <c r="C5" s="14"/>
      <c r="D5" s="14"/>
      <c r="E5" s="14"/>
      <c r="F5" s="14"/>
      <c r="G5" s="14"/>
      <c r="H5" s="14"/>
      <c r="I5" s="14"/>
      <c r="J5" s="14"/>
      <c r="K5" s="14"/>
      <c r="L5" s="14"/>
      <c r="M5" s="14"/>
      <c r="N5" s="14"/>
      <c r="O5" s="14"/>
      <c r="P5" s="14"/>
      <c r="Q5" s="15"/>
    </row>
    <row r="6" spans="1:17" x14ac:dyDescent="0.3">
      <c r="A6" s="14"/>
      <c r="B6" s="14"/>
      <c r="C6" s="14"/>
      <c r="D6" s="14"/>
      <c r="E6" s="14"/>
      <c r="F6" s="14"/>
      <c r="G6" s="14"/>
      <c r="H6" s="14"/>
      <c r="I6" s="14"/>
      <c r="J6" s="14"/>
      <c r="K6" s="14"/>
      <c r="L6" s="14"/>
      <c r="M6" s="14"/>
      <c r="N6" s="14"/>
      <c r="O6" s="14"/>
      <c r="P6" s="14"/>
      <c r="Q6" s="15"/>
    </row>
    <row r="7" spans="1:17" x14ac:dyDescent="0.3">
      <c r="A7" s="14"/>
      <c r="B7" s="14"/>
      <c r="C7" s="14"/>
      <c r="D7" s="14"/>
      <c r="E7" s="14"/>
      <c r="F7" s="14"/>
      <c r="G7" s="14"/>
      <c r="H7" s="14"/>
      <c r="I7" s="14"/>
      <c r="J7" s="14"/>
      <c r="K7" s="14"/>
      <c r="L7" s="14"/>
      <c r="M7" s="14"/>
      <c r="N7" s="14"/>
      <c r="O7" s="14"/>
      <c r="P7" s="14"/>
      <c r="Q7" s="15"/>
    </row>
    <row r="8" spans="1:17" ht="15" thickBot="1" x14ac:dyDescent="0.35">
      <c r="A8" s="14"/>
      <c r="B8" s="14"/>
      <c r="C8" s="14"/>
      <c r="D8" s="14"/>
      <c r="E8" s="14"/>
      <c r="F8" s="14"/>
      <c r="G8" s="14"/>
      <c r="H8" s="14"/>
      <c r="I8" s="14"/>
      <c r="J8" s="14"/>
      <c r="K8" s="14"/>
      <c r="L8" s="14"/>
      <c r="M8" s="14"/>
      <c r="N8" s="14"/>
      <c r="O8" s="14"/>
      <c r="P8" s="14"/>
      <c r="Q8" s="15"/>
    </row>
    <row r="9" spans="1:17" ht="14.4" customHeight="1" x14ac:dyDescent="0.3">
      <c r="A9" s="14"/>
      <c r="B9" s="16" t="s">
        <v>123</v>
      </c>
      <c r="C9" s="17"/>
      <c r="D9" s="18"/>
      <c r="E9" s="14"/>
      <c r="F9" s="16" t="s">
        <v>124</v>
      </c>
      <c r="G9" s="17"/>
      <c r="H9" s="18"/>
      <c r="I9" s="14"/>
      <c r="J9" s="16" t="s">
        <v>125</v>
      </c>
      <c r="K9" s="17"/>
      <c r="L9" s="18"/>
      <c r="M9" s="14"/>
      <c r="N9" s="16" t="s">
        <v>126</v>
      </c>
      <c r="O9" s="17"/>
      <c r="P9" s="18"/>
      <c r="Q9" s="15"/>
    </row>
    <row r="10" spans="1:17" ht="15" customHeight="1" thickBot="1" x14ac:dyDescent="0.35">
      <c r="A10" s="14"/>
      <c r="B10" s="19"/>
      <c r="C10" s="20"/>
      <c r="D10" s="21"/>
      <c r="E10" s="14"/>
      <c r="F10" s="19"/>
      <c r="G10" s="20"/>
      <c r="H10" s="21"/>
      <c r="I10" s="14"/>
      <c r="J10" s="19"/>
      <c r="K10" s="20"/>
      <c r="L10" s="21"/>
      <c r="M10" s="14"/>
      <c r="N10" s="19"/>
      <c r="O10" s="20"/>
      <c r="P10" s="21"/>
      <c r="Q10" s="15"/>
    </row>
    <row r="11" spans="1:17" ht="14.4" customHeight="1" x14ac:dyDescent="0.3">
      <c r="A11" s="14"/>
      <c r="B11" s="22">
        <f>GETPIVOTDATA("Sum of Energy_Generated_kWh",Montly_Generation_Analysis!$A$2)</f>
        <v>96521045</v>
      </c>
      <c r="C11" s="23"/>
      <c r="D11" s="24"/>
      <c r="E11" s="14"/>
      <c r="F11" s="22">
        <f>GETPIVOTDATA("Sum of Energy_Exported_kWh",Montly_Generation_Analysis!$A$2)</f>
        <v>96312882</v>
      </c>
      <c r="G11" s="23"/>
      <c r="H11" s="24"/>
      <c r="I11" s="14"/>
      <c r="J11" s="28">
        <f>Billing_Analysis!$B$29</f>
        <v>340593332</v>
      </c>
      <c r="K11" s="29"/>
      <c r="L11" s="30"/>
      <c r="M11" s="14"/>
      <c r="N11" s="28">
        <f>GETPIVOTDATA("Outstanding_Amount",Receivable_Analysis!$A$32)</f>
        <v>88296694</v>
      </c>
      <c r="O11" s="29"/>
      <c r="P11" s="30"/>
      <c r="Q11" s="15"/>
    </row>
    <row r="12" spans="1:17" ht="14.4" customHeight="1" x14ac:dyDescent="0.3">
      <c r="A12" s="14"/>
      <c r="B12" s="22"/>
      <c r="C12" s="23"/>
      <c r="D12" s="24"/>
      <c r="E12" s="14"/>
      <c r="F12" s="22"/>
      <c r="G12" s="23"/>
      <c r="H12" s="24"/>
      <c r="I12" s="14"/>
      <c r="J12" s="28"/>
      <c r="K12" s="29"/>
      <c r="L12" s="30"/>
      <c r="M12" s="14"/>
      <c r="N12" s="28"/>
      <c r="O12" s="29"/>
      <c r="P12" s="30"/>
      <c r="Q12" s="15"/>
    </row>
    <row r="13" spans="1:17" ht="15" customHeight="1" thickBot="1" x14ac:dyDescent="0.35">
      <c r="A13" s="14"/>
      <c r="B13" s="25"/>
      <c r="C13" s="26"/>
      <c r="D13" s="27"/>
      <c r="E13" s="14"/>
      <c r="F13" s="25"/>
      <c r="G13" s="26"/>
      <c r="H13" s="27"/>
      <c r="I13" s="14"/>
      <c r="J13" s="31"/>
      <c r="K13" s="32"/>
      <c r="L13" s="33"/>
      <c r="M13" s="14"/>
      <c r="N13" s="31"/>
      <c r="O13" s="32"/>
      <c r="P13" s="33"/>
      <c r="Q13" s="15"/>
    </row>
    <row r="14" spans="1:17" x14ac:dyDescent="0.3">
      <c r="A14" s="15"/>
      <c r="B14" s="15"/>
      <c r="C14" s="15"/>
      <c r="D14" s="15"/>
      <c r="E14" s="15"/>
      <c r="F14" s="15"/>
      <c r="G14" s="15"/>
      <c r="H14" s="15"/>
      <c r="I14" s="15"/>
      <c r="J14" s="15"/>
      <c r="K14" s="15"/>
      <c r="L14" s="15"/>
      <c r="M14" s="15"/>
      <c r="N14" s="15"/>
      <c r="O14" s="15"/>
      <c r="P14" s="15"/>
      <c r="Q14" s="15"/>
    </row>
    <row r="15" spans="1:17" x14ac:dyDescent="0.3">
      <c r="A15" s="11"/>
      <c r="B15" s="11"/>
      <c r="C15" s="11"/>
      <c r="D15" s="11"/>
      <c r="E15" s="11"/>
      <c r="F15" s="11"/>
      <c r="G15" s="11"/>
      <c r="H15" s="11"/>
      <c r="I15" s="11"/>
      <c r="J15" s="11"/>
      <c r="K15" s="11"/>
      <c r="L15" s="11"/>
      <c r="M15" s="11"/>
      <c r="N15" s="11"/>
      <c r="O15" s="11"/>
      <c r="P15" s="11"/>
      <c r="Q15" s="11"/>
    </row>
    <row r="16" spans="1:17" x14ac:dyDescent="0.3">
      <c r="A16" s="11"/>
      <c r="B16" s="11"/>
      <c r="C16" s="11"/>
      <c r="D16" s="11"/>
      <c r="E16" s="11"/>
      <c r="F16" s="11"/>
      <c r="G16" s="11"/>
      <c r="H16" s="11"/>
      <c r="I16" s="11"/>
      <c r="J16" s="11"/>
      <c r="K16" s="11"/>
      <c r="L16" s="11"/>
      <c r="M16" s="11"/>
      <c r="N16" s="11"/>
      <c r="O16" s="11"/>
      <c r="P16" s="11"/>
      <c r="Q16" s="11"/>
    </row>
    <row r="17" spans="1:17" x14ac:dyDescent="0.3">
      <c r="A17" s="11"/>
      <c r="B17" s="11"/>
      <c r="C17" s="11"/>
      <c r="D17" s="11"/>
      <c r="E17" s="11"/>
      <c r="F17" s="11"/>
      <c r="G17" s="11"/>
      <c r="H17" s="11"/>
      <c r="I17" s="11"/>
      <c r="J17" s="11"/>
      <c r="K17" s="11"/>
      <c r="L17" s="11"/>
      <c r="M17" s="11"/>
      <c r="N17" s="11"/>
      <c r="O17" s="11"/>
      <c r="P17" s="11"/>
      <c r="Q17" s="11"/>
    </row>
    <row r="18" spans="1:17" x14ac:dyDescent="0.3">
      <c r="A18" s="11"/>
      <c r="B18" s="11"/>
      <c r="C18" s="11"/>
      <c r="D18" s="11"/>
      <c r="E18" s="11"/>
      <c r="F18" s="11"/>
      <c r="G18" s="11"/>
      <c r="H18" s="11"/>
      <c r="I18" s="11"/>
      <c r="J18" s="11"/>
      <c r="K18" s="11"/>
      <c r="L18" s="11"/>
      <c r="M18" s="11"/>
      <c r="N18" s="11"/>
      <c r="O18" s="11"/>
      <c r="P18" s="11"/>
      <c r="Q18" s="11"/>
    </row>
    <row r="19" spans="1:17" x14ac:dyDescent="0.3">
      <c r="A19" s="11"/>
      <c r="B19" s="11"/>
      <c r="C19" s="11"/>
      <c r="D19" s="11"/>
      <c r="E19" s="11"/>
      <c r="F19" s="11"/>
      <c r="G19" s="11"/>
      <c r="H19" s="11"/>
      <c r="I19" s="11"/>
      <c r="J19" s="11"/>
      <c r="K19" s="11"/>
      <c r="L19" s="11"/>
      <c r="M19" s="11"/>
      <c r="N19" s="11"/>
      <c r="O19" s="11"/>
      <c r="P19" s="11"/>
      <c r="Q19" s="11"/>
    </row>
    <row r="20" spans="1:17" x14ac:dyDescent="0.3">
      <c r="A20" s="11"/>
      <c r="B20" s="11"/>
      <c r="C20" s="11"/>
      <c r="D20" s="11"/>
      <c r="E20" s="11"/>
      <c r="F20" s="11"/>
      <c r="G20" s="11"/>
      <c r="H20" s="11"/>
      <c r="I20" s="11"/>
      <c r="J20" s="11"/>
      <c r="K20" s="11"/>
      <c r="L20" s="11"/>
      <c r="M20" s="11"/>
      <c r="N20" s="11"/>
      <c r="O20" s="11"/>
      <c r="P20" s="11"/>
      <c r="Q20" s="11"/>
    </row>
    <row r="21" spans="1:17" x14ac:dyDescent="0.3">
      <c r="A21" s="11"/>
      <c r="B21" s="11"/>
      <c r="C21" s="11"/>
      <c r="D21" s="11"/>
      <c r="E21" s="11"/>
      <c r="F21" s="11"/>
      <c r="G21" s="11"/>
      <c r="H21" s="11"/>
      <c r="I21" s="11"/>
      <c r="J21" s="11"/>
      <c r="K21" s="11"/>
      <c r="L21" s="11"/>
      <c r="M21" s="11"/>
      <c r="N21" s="11"/>
      <c r="O21" s="11"/>
      <c r="P21" s="11"/>
      <c r="Q21" s="11"/>
    </row>
    <row r="22" spans="1:17" x14ac:dyDescent="0.3">
      <c r="A22" s="11"/>
      <c r="B22" s="11"/>
      <c r="C22" s="11"/>
      <c r="D22" s="11"/>
      <c r="E22" s="11"/>
      <c r="F22" s="11"/>
      <c r="G22" s="11"/>
      <c r="H22" s="11"/>
      <c r="I22" s="11"/>
      <c r="J22" s="11"/>
      <c r="K22" s="11"/>
      <c r="L22" s="11"/>
      <c r="M22" s="11"/>
      <c r="N22" s="11"/>
      <c r="O22" s="11"/>
      <c r="P22" s="11"/>
      <c r="Q22" s="11"/>
    </row>
    <row r="23" spans="1:17" x14ac:dyDescent="0.3">
      <c r="A23" s="11"/>
      <c r="B23" s="11"/>
      <c r="C23" s="11"/>
      <c r="D23" s="11"/>
      <c r="E23" s="11"/>
      <c r="F23" s="11"/>
      <c r="G23" s="11"/>
      <c r="H23" s="11"/>
      <c r="I23" s="11"/>
      <c r="J23" s="11"/>
      <c r="K23" s="11"/>
      <c r="L23" s="11"/>
      <c r="M23" s="11"/>
      <c r="N23" s="11"/>
      <c r="O23" s="11"/>
      <c r="P23" s="11"/>
      <c r="Q23" s="11"/>
    </row>
    <row r="24" spans="1:17" x14ac:dyDescent="0.3">
      <c r="A24" s="11"/>
      <c r="B24" s="11"/>
      <c r="C24" s="11"/>
      <c r="D24" s="11"/>
      <c r="E24" s="11"/>
      <c r="F24" s="11"/>
      <c r="G24" s="11"/>
      <c r="H24" s="11"/>
      <c r="I24" s="11"/>
      <c r="J24" s="11"/>
      <c r="K24" s="11"/>
      <c r="L24" s="11"/>
      <c r="M24" s="11"/>
      <c r="N24" s="11"/>
      <c r="O24" s="11"/>
      <c r="P24" s="11"/>
      <c r="Q24" s="11"/>
    </row>
    <row r="25" spans="1:17" x14ac:dyDescent="0.3">
      <c r="A25" s="11"/>
      <c r="B25" s="11"/>
      <c r="C25" s="11"/>
      <c r="D25" s="11"/>
      <c r="E25" s="11"/>
      <c r="F25" s="11"/>
      <c r="G25" s="11"/>
      <c r="H25" s="11"/>
      <c r="I25" s="11"/>
      <c r="J25" s="11"/>
      <c r="K25" s="11"/>
      <c r="L25" s="11"/>
      <c r="M25" s="11"/>
      <c r="N25" s="11"/>
      <c r="O25" s="11"/>
      <c r="P25" s="11"/>
      <c r="Q25" s="11"/>
    </row>
    <row r="26" spans="1:17" x14ac:dyDescent="0.3">
      <c r="A26" s="11"/>
      <c r="B26" s="11"/>
      <c r="C26" s="11"/>
      <c r="D26" s="11"/>
      <c r="E26" s="11"/>
      <c r="F26" s="11"/>
      <c r="G26" s="11"/>
      <c r="H26" s="11"/>
      <c r="I26" s="11"/>
      <c r="J26" s="11"/>
      <c r="K26" s="11"/>
      <c r="L26" s="11"/>
      <c r="M26" s="11"/>
      <c r="N26" s="11"/>
      <c r="O26" s="11"/>
      <c r="P26" s="11"/>
      <c r="Q26" s="11"/>
    </row>
    <row r="27" spans="1:17" x14ac:dyDescent="0.3">
      <c r="A27" s="11"/>
      <c r="B27" s="11"/>
      <c r="C27" s="11"/>
      <c r="D27" s="11"/>
      <c r="E27" s="11"/>
      <c r="F27" s="11"/>
      <c r="G27" s="11"/>
      <c r="H27" s="11"/>
      <c r="I27" s="11"/>
      <c r="J27" s="11"/>
      <c r="K27" s="11"/>
      <c r="L27" s="11"/>
      <c r="M27" s="11"/>
      <c r="N27" s="11"/>
      <c r="O27" s="11"/>
      <c r="P27" s="11"/>
      <c r="Q27" s="11"/>
    </row>
    <row r="28" spans="1:17" x14ac:dyDescent="0.3">
      <c r="A28" s="11"/>
      <c r="B28" s="11"/>
      <c r="C28" s="11"/>
      <c r="D28" s="11"/>
      <c r="E28" s="11"/>
      <c r="F28" s="11"/>
      <c r="G28" s="11"/>
      <c r="H28" s="11"/>
      <c r="I28" s="11"/>
      <c r="J28" s="11"/>
      <c r="K28" s="11"/>
      <c r="L28" s="11"/>
      <c r="M28" s="11"/>
      <c r="N28" s="11"/>
      <c r="O28" s="11"/>
      <c r="P28" s="11"/>
      <c r="Q28" s="11"/>
    </row>
    <row r="29" spans="1:17" x14ac:dyDescent="0.3">
      <c r="A29" s="11"/>
      <c r="B29" s="11"/>
      <c r="C29" s="11"/>
      <c r="D29" s="11"/>
      <c r="E29" s="11"/>
      <c r="F29" s="11"/>
      <c r="G29" s="11"/>
      <c r="H29" s="11"/>
      <c r="I29" s="11"/>
      <c r="J29" s="11"/>
      <c r="K29" s="11"/>
      <c r="L29" s="11"/>
      <c r="M29" s="11"/>
      <c r="N29" s="11"/>
      <c r="O29" s="11"/>
      <c r="P29" s="11"/>
      <c r="Q29" s="11"/>
    </row>
    <row r="30" spans="1:17" x14ac:dyDescent="0.3">
      <c r="A30" s="11"/>
      <c r="B30" s="11"/>
      <c r="C30" s="11"/>
      <c r="D30" s="11"/>
      <c r="E30" s="11"/>
      <c r="F30" s="11"/>
      <c r="G30" s="11"/>
      <c r="H30" s="11"/>
      <c r="I30" s="11"/>
      <c r="J30" s="11"/>
      <c r="K30" s="11"/>
      <c r="L30" s="11"/>
      <c r="M30" s="11"/>
      <c r="N30" s="11"/>
      <c r="O30" s="11"/>
      <c r="P30" s="11"/>
      <c r="Q30" s="11"/>
    </row>
    <row r="31" spans="1:17" x14ac:dyDescent="0.3">
      <c r="A31" s="11"/>
      <c r="B31" s="11"/>
      <c r="C31" s="11"/>
      <c r="D31" s="11"/>
      <c r="E31" s="11"/>
      <c r="F31" s="11"/>
      <c r="G31" s="11"/>
      <c r="H31" s="11"/>
      <c r="I31" s="11"/>
      <c r="J31" s="11"/>
      <c r="K31" s="11"/>
      <c r="L31" s="11"/>
      <c r="M31" s="11"/>
      <c r="N31" s="11"/>
      <c r="O31" s="11"/>
      <c r="P31" s="11"/>
      <c r="Q31" s="11"/>
    </row>
    <row r="32" spans="1:17" x14ac:dyDescent="0.3">
      <c r="A32" s="11"/>
      <c r="B32" s="11"/>
      <c r="C32" s="11"/>
      <c r="D32" s="11"/>
      <c r="E32" s="11"/>
      <c r="F32" s="11"/>
      <c r="G32" s="11"/>
      <c r="H32" s="11"/>
      <c r="I32" s="11"/>
      <c r="J32" s="11"/>
      <c r="K32" s="11"/>
      <c r="L32" s="11"/>
      <c r="M32" s="11"/>
      <c r="N32" s="11"/>
      <c r="O32" s="11"/>
      <c r="P32" s="11"/>
      <c r="Q32" s="11"/>
    </row>
    <row r="33" spans="1:17" x14ac:dyDescent="0.3">
      <c r="A33" s="11"/>
      <c r="B33" s="11"/>
      <c r="C33" s="11"/>
      <c r="D33" s="11"/>
      <c r="E33" s="11"/>
      <c r="F33" s="11"/>
      <c r="G33" s="11"/>
      <c r="H33" s="11"/>
      <c r="I33" s="11"/>
      <c r="J33" s="11"/>
      <c r="K33" s="11"/>
      <c r="L33" s="11"/>
      <c r="M33" s="11"/>
      <c r="N33" s="11"/>
      <c r="O33" s="11"/>
      <c r="P33" s="11"/>
      <c r="Q33" s="11"/>
    </row>
    <row r="34" spans="1:17" x14ac:dyDescent="0.3">
      <c r="A34" s="11"/>
      <c r="B34" s="11"/>
      <c r="C34" s="11"/>
      <c r="D34" s="11"/>
      <c r="E34" s="11"/>
      <c r="F34" s="11"/>
      <c r="G34" s="11"/>
      <c r="H34" s="11"/>
      <c r="I34" s="11"/>
      <c r="J34" s="11"/>
      <c r="K34" s="11"/>
      <c r="L34" s="11"/>
      <c r="M34" s="11"/>
      <c r="N34" s="11"/>
      <c r="O34" s="11"/>
      <c r="P34" s="11"/>
      <c r="Q34" s="11"/>
    </row>
    <row r="35" spans="1:17" x14ac:dyDescent="0.3">
      <c r="A35" s="11"/>
      <c r="B35" s="11"/>
      <c r="C35" s="11"/>
      <c r="D35" s="11"/>
      <c r="E35" s="11"/>
      <c r="F35" s="11"/>
      <c r="G35" s="11"/>
      <c r="H35" s="11"/>
      <c r="I35" s="11"/>
      <c r="J35" s="11"/>
      <c r="K35" s="11"/>
      <c r="L35" s="11"/>
      <c r="M35" s="11"/>
      <c r="N35" s="11"/>
      <c r="O35" s="11"/>
      <c r="P35" s="11"/>
      <c r="Q35" s="11"/>
    </row>
    <row r="36" spans="1:17" x14ac:dyDescent="0.3">
      <c r="A36" s="11"/>
      <c r="B36" s="11"/>
      <c r="C36" s="11"/>
      <c r="D36" s="11"/>
      <c r="E36" s="11"/>
      <c r="F36" s="11"/>
      <c r="G36" s="11"/>
      <c r="H36" s="11"/>
      <c r="I36" s="11"/>
      <c r="J36" s="11"/>
      <c r="K36" s="11"/>
      <c r="L36" s="11"/>
      <c r="M36" s="11"/>
      <c r="N36" s="11"/>
      <c r="O36" s="11"/>
      <c r="P36" s="11"/>
      <c r="Q36" s="11"/>
    </row>
    <row r="37" spans="1:17" x14ac:dyDescent="0.3">
      <c r="A37" s="11"/>
      <c r="B37" s="11"/>
      <c r="C37" s="11"/>
      <c r="D37" s="11"/>
      <c r="E37" s="11"/>
      <c r="F37" s="11"/>
      <c r="G37" s="11"/>
      <c r="H37" s="11"/>
      <c r="I37" s="11"/>
      <c r="J37" s="11"/>
      <c r="K37" s="11"/>
      <c r="L37" s="11"/>
      <c r="M37" s="11"/>
      <c r="N37" s="11"/>
      <c r="O37" s="11"/>
      <c r="P37" s="11"/>
      <c r="Q37" s="11"/>
    </row>
    <row r="38" spans="1:17" x14ac:dyDescent="0.3">
      <c r="A38" s="11"/>
      <c r="B38" s="11"/>
      <c r="C38" s="11"/>
      <c r="D38" s="11"/>
      <c r="E38" s="11"/>
      <c r="F38" s="11"/>
      <c r="G38" s="11"/>
      <c r="H38" s="11"/>
      <c r="I38" s="11"/>
      <c r="J38" s="11"/>
      <c r="K38" s="11"/>
      <c r="L38" s="11"/>
      <c r="M38" s="11"/>
      <c r="N38" s="11"/>
      <c r="O38" s="11"/>
      <c r="P38" s="11"/>
      <c r="Q38" s="11"/>
    </row>
  </sheetData>
  <mergeCells count="9">
    <mergeCell ref="F11:H13"/>
    <mergeCell ref="J9:L10"/>
    <mergeCell ref="J11:L13"/>
    <mergeCell ref="N9:P10"/>
    <mergeCell ref="N11:P13"/>
    <mergeCell ref="A1:Q1"/>
    <mergeCell ref="B11:D13"/>
    <mergeCell ref="B9:D10"/>
    <mergeCell ref="F9:H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FFAA9-FA15-4684-892C-16BCC18900E4}">
  <dimension ref="A1:H26"/>
  <sheetViews>
    <sheetView workbookViewId="0">
      <selection activeCell="A2" sqref="A2:H26"/>
    </sheetView>
  </sheetViews>
  <sheetFormatPr defaultRowHeight="14.4" x14ac:dyDescent="0.3"/>
  <cols>
    <col min="1" max="1" width="10.109375" bestFit="1" customWidth="1"/>
    <col min="2" max="2" width="14.5546875" bestFit="1" customWidth="1"/>
    <col min="3" max="3" width="13.44140625" bestFit="1" customWidth="1"/>
    <col min="4" max="4" width="19.44140625" bestFit="1" customWidth="1"/>
    <col min="5" max="5" width="15.77734375" bestFit="1" customWidth="1"/>
    <col min="6" max="6" width="11.21875" bestFit="1" customWidth="1"/>
    <col min="7" max="7" width="25.44140625" bestFit="1" customWidth="1"/>
    <col min="8" max="8" width="18.44140625" bestFit="1" customWidth="1"/>
  </cols>
  <sheetData>
    <row r="1" spans="1:8" x14ac:dyDescent="0.3">
      <c r="A1" t="s">
        <v>0</v>
      </c>
      <c r="B1" t="s">
        <v>1</v>
      </c>
      <c r="C1" t="s">
        <v>2</v>
      </c>
      <c r="D1" t="s">
        <v>3</v>
      </c>
      <c r="E1" t="s">
        <v>4</v>
      </c>
      <c r="F1" t="s">
        <v>5</v>
      </c>
      <c r="G1" t="s">
        <v>6</v>
      </c>
      <c r="H1" t="s">
        <v>7</v>
      </c>
    </row>
    <row r="2" spans="1:8" x14ac:dyDescent="0.3">
      <c r="A2">
        <v>1</v>
      </c>
      <c r="B2">
        <v>3</v>
      </c>
      <c r="C2">
        <v>4</v>
      </c>
      <c r="D2">
        <v>0.75</v>
      </c>
      <c r="E2" t="s">
        <v>8</v>
      </c>
      <c r="F2" t="s">
        <v>9</v>
      </c>
      <c r="G2" t="s">
        <v>10</v>
      </c>
      <c r="H2" s="1">
        <v>36615</v>
      </c>
    </row>
    <row r="3" spans="1:8" x14ac:dyDescent="0.3">
      <c r="A3">
        <v>2</v>
      </c>
      <c r="B3">
        <v>0.75</v>
      </c>
      <c r="C3">
        <v>1</v>
      </c>
      <c r="D3">
        <v>0.75</v>
      </c>
      <c r="E3" t="s">
        <v>11</v>
      </c>
      <c r="F3" t="s">
        <v>12</v>
      </c>
      <c r="G3" t="s">
        <v>13</v>
      </c>
      <c r="H3" s="1">
        <v>37411</v>
      </c>
    </row>
    <row r="4" spans="1:8" x14ac:dyDescent="0.3">
      <c r="A4">
        <v>3</v>
      </c>
      <c r="B4">
        <v>3.8</v>
      </c>
      <c r="C4">
        <v>4</v>
      </c>
      <c r="D4">
        <v>0.95</v>
      </c>
      <c r="E4" t="s">
        <v>14</v>
      </c>
      <c r="F4" t="s">
        <v>12</v>
      </c>
      <c r="G4" t="s">
        <v>13</v>
      </c>
      <c r="H4" s="1">
        <v>37803</v>
      </c>
    </row>
    <row r="5" spans="1:8" x14ac:dyDescent="0.3">
      <c r="A5">
        <v>4</v>
      </c>
      <c r="B5">
        <v>3</v>
      </c>
      <c r="C5">
        <v>4</v>
      </c>
      <c r="D5">
        <v>0.75</v>
      </c>
      <c r="E5" t="s">
        <v>15</v>
      </c>
      <c r="F5" t="s">
        <v>16</v>
      </c>
      <c r="G5" t="s">
        <v>17</v>
      </c>
      <c r="H5" s="1">
        <v>38575</v>
      </c>
    </row>
    <row r="6" spans="1:8" x14ac:dyDescent="0.3">
      <c r="A6">
        <v>5</v>
      </c>
      <c r="B6">
        <v>1.9</v>
      </c>
      <c r="C6">
        <v>2</v>
      </c>
      <c r="D6">
        <v>0.95</v>
      </c>
      <c r="E6" t="s">
        <v>18</v>
      </c>
      <c r="F6" t="s">
        <v>12</v>
      </c>
      <c r="G6" t="s">
        <v>19</v>
      </c>
      <c r="H6" s="1">
        <v>38512</v>
      </c>
    </row>
    <row r="7" spans="1:8" x14ac:dyDescent="0.3">
      <c r="A7">
        <v>6</v>
      </c>
      <c r="B7">
        <v>2.5</v>
      </c>
      <c r="C7">
        <v>2</v>
      </c>
      <c r="D7">
        <v>1.25</v>
      </c>
      <c r="E7" t="s">
        <v>20</v>
      </c>
      <c r="F7" t="s">
        <v>9</v>
      </c>
      <c r="G7" t="s">
        <v>21</v>
      </c>
      <c r="H7" s="1">
        <v>38620</v>
      </c>
    </row>
    <row r="8" spans="1:8" x14ac:dyDescent="0.3">
      <c r="A8">
        <v>7</v>
      </c>
      <c r="B8">
        <v>2.5</v>
      </c>
      <c r="C8">
        <v>2</v>
      </c>
      <c r="D8">
        <v>1.25</v>
      </c>
      <c r="E8" t="s">
        <v>22</v>
      </c>
      <c r="F8" t="s">
        <v>9</v>
      </c>
      <c r="G8" t="s">
        <v>21</v>
      </c>
      <c r="H8" s="1">
        <v>38898</v>
      </c>
    </row>
    <row r="9" spans="1:8" x14ac:dyDescent="0.3">
      <c r="A9">
        <v>8</v>
      </c>
      <c r="B9">
        <v>4.95</v>
      </c>
      <c r="C9">
        <v>3</v>
      </c>
      <c r="D9">
        <v>1.65</v>
      </c>
      <c r="E9" t="s">
        <v>23</v>
      </c>
      <c r="F9" t="s">
        <v>9</v>
      </c>
      <c r="G9" t="s">
        <v>21</v>
      </c>
      <c r="H9" s="1">
        <v>39232</v>
      </c>
    </row>
    <row r="10" spans="1:8" x14ac:dyDescent="0.3">
      <c r="A10">
        <v>9</v>
      </c>
      <c r="B10">
        <v>3.75</v>
      </c>
      <c r="C10">
        <v>3</v>
      </c>
      <c r="D10">
        <v>1.25</v>
      </c>
      <c r="E10" t="s">
        <v>24</v>
      </c>
      <c r="F10" t="s">
        <v>12</v>
      </c>
      <c r="G10" t="s">
        <v>25</v>
      </c>
      <c r="H10" s="1">
        <v>39600</v>
      </c>
    </row>
    <row r="11" spans="1:8" x14ac:dyDescent="0.3">
      <c r="A11">
        <v>10</v>
      </c>
      <c r="B11">
        <v>1.6</v>
      </c>
      <c r="C11">
        <v>2</v>
      </c>
      <c r="D11">
        <v>0.8</v>
      </c>
      <c r="E11" t="s">
        <v>26</v>
      </c>
      <c r="F11" t="s">
        <v>9</v>
      </c>
      <c r="G11" t="s">
        <v>10</v>
      </c>
      <c r="H11" s="1">
        <v>39535</v>
      </c>
    </row>
    <row r="12" spans="1:8" x14ac:dyDescent="0.3">
      <c r="A12">
        <v>11</v>
      </c>
      <c r="B12">
        <v>0.8</v>
      </c>
      <c r="C12">
        <v>1</v>
      </c>
      <c r="D12">
        <v>0.8</v>
      </c>
      <c r="E12" t="s">
        <v>27</v>
      </c>
      <c r="F12" t="s">
        <v>9</v>
      </c>
      <c r="G12" t="s">
        <v>10</v>
      </c>
      <c r="H12" s="1">
        <v>39892</v>
      </c>
    </row>
    <row r="13" spans="1:8" x14ac:dyDescent="0.3">
      <c r="A13">
        <v>12</v>
      </c>
      <c r="B13">
        <v>1.5</v>
      </c>
      <c r="C13">
        <v>1</v>
      </c>
      <c r="D13">
        <v>1.5</v>
      </c>
      <c r="E13" t="s">
        <v>24</v>
      </c>
      <c r="F13" t="s">
        <v>12</v>
      </c>
      <c r="G13" t="s">
        <v>25</v>
      </c>
      <c r="H13" s="1">
        <v>39720</v>
      </c>
    </row>
    <row r="14" spans="1:8" x14ac:dyDescent="0.3">
      <c r="A14">
        <v>13</v>
      </c>
      <c r="B14">
        <v>1.5</v>
      </c>
      <c r="C14">
        <v>1</v>
      </c>
      <c r="D14">
        <v>1.5</v>
      </c>
      <c r="E14" t="s">
        <v>24</v>
      </c>
      <c r="F14" t="s">
        <v>12</v>
      </c>
      <c r="G14" t="s">
        <v>25</v>
      </c>
      <c r="H14" s="1">
        <v>39720</v>
      </c>
    </row>
    <row r="15" spans="1:8" x14ac:dyDescent="0.3">
      <c r="A15">
        <v>14</v>
      </c>
      <c r="B15">
        <v>1.5</v>
      </c>
      <c r="C15">
        <v>1</v>
      </c>
      <c r="D15">
        <v>1.5</v>
      </c>
      <c r="E15" t="s">
        <v>24</v>
      </c>
      <c r="F15" t="s">
        <v>12</v>
      </c>
      <c r="G15" t="s">
        <v>25</v>
      </c>
      <c r="H15" s="1">
        <v>39720</v>
      </c>
    </row>
    <row r="16" spans="1:8" x14ac:dyDescent="0.3">
      <c r="A16">
        <v>15</v>
      </c>
      <c r="B16">
        <v>0.8</v>
      </c>
      <c r="C16">
        <v>1</v>
      </c>
      <c r="D16">
        <v>0.8</v>
      </c>
      <c r="E16" t="s">
        <v>27</v>
      </c>
      <c r="F16" t="s">
        <v>9</v>
      </c>
      <c r="G16" t="s">
        <v>10</v>
      </c>
      <c r="H16" s="1">
        <v>39904</v>
      </c>
    </row>
    <row r="17" spans="1:8" x14ac:dyDescent="0.3">
      <c r="A17">
        <v>16</v>
      </c>
      <c r="B17">
        <v>3.75</v>
      </c>
      <c r="C17">
        <v>3</v>
      </c>
      <c r="D17">
        <v>1.25</v>
      </c>
      <c r="E17" t="s">
        <v>28</v>
      </c>
      <c r="F17" t="s">
        <v>9</v>
      </c>
      <c r="G17" t="s">
        <v>10</v>
      </c>
      <c r="H17" s="1">
        <v>40267</v>
      </c>
    </row>
    <row r="18" spans="1:8" x14ac:dyDescent="0.3">
      <c r="A18">
        <v>17</v>
      </c>
      <c r="B18">
        <v>4.5</v>
      </c>
      <c r="C18">
        <v>3</v>
      </c>
      <c r="D18">
        <v>1.5</v>
      </c>
      <c r="E18" t="s">
        <v>29</v>
      </c>
      <c r="F18" t="s">
        <v>16</v>
      </c>
      <c r="G18" t="s">
        <v>17</v>
      </c>
      <c r="H18" s="1">
        <v>40287</v>
      </c>
    </row>
    <row r="19" spans="1:8" x14ac:dyDescent="0.3">
      <c r="A19">
        <v>18</v>
      </c>
      <c r="B19">
        <v>1.25</v>
      </c>
      <c r="C19">
        <v>1</v>
      </c>
      <c r="D19">
        <v>1.25</v>
      </c>
      <c r="E19" t="s">
        <v>30</v>
      </c>
      <c r="F19" t="s">
        <v>16</v>
      </c>
      <c r="G19" t="s">
        <v>17</v>
      </c>
      <c r="H19" s="1">
        <v>40816</v>
      </c>
    </row>
    <row r="20" spans="1:8" x14ac:dyDescent="0.3">
      <c r="A20">
        <v>19</v>
      </c>
      <c r="B20">
        <v>1.25</v>
      </c>
      <c r="C20">
        <v>1</v>
      </c>
      <c r="D20">
        <v>1.25</v>
      </c>
      <c r="E20" t="s">
        <v>30</v>
      </c>
      <c r="F20" t="s">
        <v>16</v>
      </c>
      <c r="G20" t="s">
        <v>17</v>
      </c>
      <c r="H20" s="1">
        <v>40817</v>
      </c>
    </row>
    <row r="21" spans="1:8" x14ac:dyDescent="0.3">
      <c r="A21">
        <v>20</v>
      </c>
      <c r="B21">
        <v>1.25</v>
      </c>
      <c r="C21">
        <v>1</v>
      </c>
      <c r="D21">
        <v>1.25</v>
      </c>
      <c r="E21" t="s">
        <v>31</v>
      </c>
      <c r="F21" t="s">
        <v>16</v>
      </c>
      <c r="G21" t="s">
        <v>17</v>
      </c>
      <c r="H21" s="1">
        <v>40697</v>
      </c>
    </row>
    <row r="22" spans="1:8" x14ac:dyDescent="0.3">
      <c r="A22">
        <v>21</v>
      </c>
      <c r="B22">
        <v>1.25</v>
      </c>
      <c r="C22">
        <v>1</v>
      </c>
      <c r="D22">
        <v>1.25</v>
      </c>
      <c r="E22" t="s">
        <v>31</v>
      </c>
      <c r="F22" t="s">
        <v>16</v>
      </c>
      <c r="G22" t="s">
        <v>17</v>
      </c>
      <c r="H22" s="1">
        <v>40698</v>
      </c>
    </row>
    <row r="23" spans="1:8" x14ac:dyDescent="0.3">
      <c r="A23">
        <v>22</v>
      </c>
      <c r="B23">
        <v>1.5</v>
      </c>
      <c r="C23">
        <v>1</v>
      </c>
      <c r="D23">
        <v>1.5</v>
      </c>
      <c r="E23" t="s">
        <v>32</v>
      </c>
      <c r="F23" t="s">
        <v>9</v>
      </c>
      <c r="G23" t="s">
        <v>33</v>
      </c>
      <c r="H23" s="1">
        <v>41472</v>
      </c>
    </row>
    <row r="24" spans="1:8" x14ac:dyDescent="0.3">
      <c r="A24">
        <v>23</v>
      </c>
      <c r="B24">
        <v>1.5</v>
      </c>
      <c r="C24">
        <v>1</v>
      </c>
      <c r="D24">
        <v>1.5</v>
      </c>
      <c r="E24" t="s">
        <v>32</v>
      </c>
      <c r="F24" t="s">
        <v>9</v>
      </c>
      <c r="G24" t="s">
        <v>33</v>
      </c>
      <c r="H24" s="1">
        <v>41472</v>
      </c>
    </row>
    <row r="25" spans="1:8" x14ac:dyDescent="0.3">
      <c r="A25">
        <v>24</v>
      </c>
      <c r="B25">
        <v>1.5</v>
      </c>
      <c r="C25">
        <v>1</v>
      </c>
      <c r="D25">
        <v>1.5</v>
      </c>
      <c r="E25" t="s">
        <v>32</v>
      </c>
      <c r="F25" t="s">
        <v>9</v>
      </c>
      <c r="G25" t="s">
        <v>33</v>
      </c>
      <c r="H25" s="1">
        <v>41472</v>
      </c>
    </row>
    <row r="26" spans="1:8" x14ac:dyDescent="0.3">
      <c r="A26">
        <v>25</v>
      </c>
      <c r="B26">
        <v>1.5</v>
      </c>
      <c r="C26">
        <v>1</v>
      </c>
      <c r="D26">
        <v>1.5</v>
      </c>
      <c r="E26" t="s">
        <v>32</v>
      </c>
      <c r="F26" t="s">
        <v>9</v>
      </c>
      <c r="G26" t="s">
        <v>33</v>
      </c>
      <c r="H26" s="1">
        <v>41472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CB57F-6F3C-43D8-805F-C101F385697F}">
  <dimension ref="A1:G301"/>
  <sheetViews>
    <sheetView workbookViewId="0">
      <selection activeCell="C26" sqref="C26"/>
    </sheetView>
  </sheetViews>
  <sheetFormatPr defaultRowHeight="14.4" x14ac:dyDescent="0.3"/>
  <cols>
    <col min="1" max="1" width="10.33203125" bestFit="1" customWidth="1"/>
    <col min="2" max="2" width="15.77734375" bestFit="1" customWidth="1"/>
    <col min="3" max="3" width="15.44140625" bestFit="1" customWidth="1"/>
    <col min="4" max="4" width="10.109375" bestFit="1" customWidth="1"/>
    <col min="5" max="5" width="22.88671875" bestFit="1" customWidth="1"/>
    <col min="6" max="6" width="21.5546875" bestFit="1" customWidth="1"/>
    <col min="7" max="7" width="14" bestFit="1" customWidth="1"/>
  </cols>
  <sheetData>
    <row r="1" spans="1:7" x14ac:dyDescent="0.3">
      <c r="A1" t="s">
        <v>34</v>
      </c>
      <c r="B1" t="s">
        <v>35</v>
      </c>
      <c r="C1" t="s">
        <v>36</v>
      </c>
      <c r="D1" t="s">
        <v>0</v>
      </c>
      <c r="E1" t="s">
        <v>37</v>
      </c>
      <c r="F1" t="s">
        <v>38</v>
      </c>
      <c r="G1" t="s">
        <v>39</v>
      </c>
    </row>
    <row r="2" spans="1:7" x14ac:dyDescent="0.3">
      <c r="A2" s="1">
        <v>45748</v>
      </c>
      <c r="B2">
        <v>30</v>
      </c>
      <c r="C2" t="s">
        <v>40</v>
      </c>
      <c r="D2">
        <v>1</v>
      </c>
      <c r="E2">
        <v>217947</v>
      </c>
      <c r="F2">
        <v>209819</v>
      </c>
      <c r="G2">
        <v>0</v>
      </c>
    </row>
    <row r="3" spans="1:7" x14ac:dyDescent="0.3">
      <c r="A3" s="1">
        <v>45778</v>
      </c>
      <c r="B3">
        <v>31</v>
      </c>
      <c r="C3" t="s">
        <v>40</v>
      </c>
      <c r="D3">
        <v>1</v>
      </c>
      <c r="E3">
        <v>254619</v>
      </c>
      <c r="F3">
        <v>274677</v>
      </c>
      <c r="G3">
        <v>0</v>
      </c>
    </row>
    <row r="4" spans="1:7" x14ac:dyDescent="0.3">
      <c r="A4" s="1">
        <v>45809</v>
      </c>
      <c r="B4">
        <v>30</v>
      </c>
      <c r="C4" t="s">
        <v>40</v>
      </c>
      <c r="D4">
        <v>1</v>
      </c>
      <c r="E4">
        <v>605946</v>
      </c>
      <c r="F4">
        <v>611235</v>
      </c>
      <c r="G4">
        <v>0</v>
      </c>
    </row>
    <row r="5" spans="1:7" x14ac:dyDescent="0.3">
      <c r="A5" s="1">
        <v>45839</v>
      </c>
      <c r="B5">
        <v>31</v>
      </c>
      <c r="C5" t="s">
        <v>40</v>
      </c>
      <c r="D5">
        <v>1</v>
      </c>
      <c r="E5">
        <v>916873</v>
      </c>
      <c r="F5">
        <v>897647</v>
      </c>
      <c r="G5">
        <v>0</v>
      </c>
    </row>
    <row r="6" spans="1:7" x14ac:dyDescent="0.3">
      <c r="A6" s="1">
        <v>45870</v>
      </c>
      <c r="B6">
        <v>31</v>
      </c>
      <c r="C6" t="s">
        <v>40</v>
      </c>
      <c r="D6">
        <v>1</v>
      </c>
      <c r="E6">
        <v>456470</v>
      </c>
      <c r="F6">
        <v>448823</v>
      </c>
      <c r="G6">
        <v>0</v>
      </c>
    </row>
    <row r="7" spans="1:7" x14ac:dyDescent="0.3">
      <c r="A7" s="1">
        <v>45901</v>
      </c>
      <c r="B7">
        <v>30</v>
      </c>
      <c r="C7" t="s">
        <v>40</v>
      </c>
      <c r="D7">
        <v>1</v>
      </c>
      <c r="E7">
        <v>212766</v>
      </c>
      <c r="F7">
        <v>217455</v>
      </c>
      <c r="G7">
        <v>0</v>
      </c>
    </row>
    <row r="8" spans="1:7" x14ac:dyDescent="0.3">
      <c r="A8" s="1">
        <v>45931</v>
      </c>
      <c r="B8">
        <v>31</v>
      </c>
      <c r="C8" t="s">
        <v>40</v>
      </c>
      <c r="D8">
        <v>1</v>
      </c>
      <c r="E8">
        <v>158041</v>
      </c>
      <c r="F8">
        <v>152769</v>
      </c>
      <c r="G8">
        <v>0</v>
      </c>
    </row>
    <row r="9" spans="1:7" x14ac:dyDescent="0.3">
      <c r="A9" s="1">
        <v>45962</v>
      </c>
      <c r="B9">
        <v>30</v>
      </c>
      <c r="C9" t="s">
        <v>40</v>
      </c>
      <c r="D9">
        <v>1</v>
      </c>
      <c r="E9">
        <v>228812</v>
      </c>
      <c r="F9">
        <v>216193</v>
      </c>
      <c r="G9">
        <v>0</v>
      </c>
    </row>
    <row r="10" spans="1:7" x14ac:dyDescent="0.3">
      <c r="A10" s="1">
        <v>45992</v>
      </c>
      <c r="B10">
        <v>31</v>
      </c>
      <c r="C10" t="s">
        <v>40</v>
      </c>
      <c r="D10">
        <v>1</v>
      </c>
      <c r="E10">
        <v>355409</v>
      </c>
      <c r="F10">
        <v>355304</v>
      </c>
      <c r="G10">
        <v>0</v>
      </c>
    </row>
    <row r="11" spans="1:7" x14ac:dyDescent="0.3">
      <c r="A11" s="1">
        <v>46023</v>
      </c>
      <c r="B11">
        <v>31</v>
      </c>
      <c r="C11" t="s">
        <v>40</v>
      </c>
      <c r="D11">
        <v>1</v>
      </c>
      <c r="E11">
        <v>88129</v>
      </c>
      <c r="F11">
        <v>83708</v>
      </c>
      <c r="G11">
        <v>0</v>
      </c>
    </row>
    <row r="12" spans="1:7" x14ac:dyDescent="0.3">
      <c r="A12" s="1">
        <v>46054</v>
      </c>
      <c r="B12">
        <v>28</v>
      </c>
      <c r="C12" t="s">
        <v>40</v>
      </c>
      <c r="D12">
        <v>1</v>
      </c>
      <c r="E12">
        <v>104770</v>
      </c>
      <c r="F12">
        <v>101267</v>
      </c>
      <c r="G12">
        <v>0</v>
      </c>
    </row>
    <row r="13" spans="1:7" x14ac:dyDescent="0.3">
      <c r="A13" s="1">
        <v>46082</v>
      </c>
      <c r="B13">
        <v>31</v>
      </c>
      <c r="C13" t="s">
        <v>40</v>
      </c>
      <c r="D13">
        <v>1</v>
      </c>
      <c r="E13">
        <v>101593</v>
      </c>
      <c r="F13">
        <v>95418</v>
      </c>
      <c r="G13">
        <v>0</v>
      </c>
    </row>
    <row r="14" spans="1:7" x14ac:dyDescent="0.3">
      <c r="A14" s="1">
        <v>45748</v>
      </c>
      <c r="B14">
        <v>30</v>
      </c>
      <c r="C14" t="s">
        <v>40</v>
      </c>
      <c r="D14">
        <v>2</v>
      </c>
      <c r="E14">
        <v>61241</v>
      </c>
      <c r="F14">
        <v>59664</v>
      </c>
      <c r="G14">
        <v>1404</v>
      </c>
    </row>
    <row r="15" spans="1:7" x14ac:dyDescent="0.3">
      <c r="A15" s="1">
        <v>45778</v>
      </c>
      <c r="B15">
        <v>31</v>
      </c>
      <c r="C15" t="s">
        <v>40</v>
      </c>
      <c r="D15">
        <v>2</v>
      </c>
      <c r="E15">
        <v>144532</v>
      </c>
      <c r="F15">
        <v>142434</v>
      </c>
      <c r="G15">
        <v>672</v>
      </c>
    </row>
    <row r="16" spans="1:7" x14ac:dyDescent="0.3">
      <c r="A16" s="1">
        <v>45809</v>
      </c>
      <c r="B16">
        <v>30</v>
      </c>
      <c r="C16" t="s">
        <v>40</v>
      </c>
      <c r="D16">
        <v>2</v>
      </c>
      <c r="E16">
        <v>212401</v>
      </c>
      <c r="F16">
        <v>209574</v>
      </c>
      <c r="G16">
        <v>66</v>
      </c>
    </row>
    <row r="17" spans="1:7" x14ac:dyDescent="0.3">
      <c r="A17" s="1">
        <v>45839</v>
      </c>
      <c r="B17">
        <v>31</v>
      </c>
      <c r="C17" t="s">
        <v>40</v>
      </c>
      <c r="D17">
        <v>2</v>
      </c>
      <c r="E17">
        <v>251795</v>
      </c>
      <c r="F17">
        <v>247152</v>
      </c>
      <c r="G17">
        <v>72</v>
      </c>
    </row>
    <row r="18" spans="1:7" x14ac:dyDescent="0.3">
      <c r="A18" s="1">
        <v>45870</v>
      </c>
      <c r="B18">
        <v>31</v>
      </c>
      <c r="C18" t="s">
        <v>40</v>
      </c>
      <c r="D18">
        <v>2</v>
      </c>
      <c r="E18">
        <v>173052</v>
      </c>
      <c r="F18">
        <v>170958</v>
      </c>
      <c r="G18">
        <v>216</v>
      </c>
    </row>
    <row r="19" spans="1:7" x14ac:dyDescent="0.3">
      <c r="A19" s="1">
        <v>45901</v>
      </c>
      <c r="B19">
        <v>30</v>
      </c>
      <c r="C19" t="s">
        <v>40</v>
      </c>
      <c r="D19">
        <v>2</v>
      </c>
      <c r="E19">
        <v>152977</v>
      </c>
      <c r="F19">
        <v>151764</v>
      </c>
      <c r="G19">
        <v>102</v>
      </c>
    </row>
    <row r="20" spans="1:7" x14ac:dyDescent="0.3">
      <c r="A20" s="1">
        <v>45931</v>
      </c>
      <c r="B20">
        <v>31</v>
      </c>
      <c r="C20" t="s">
        <v>40</v>
      </c>
      <c r="D20">
        <v>2</v>
      </c>
      <c r="E20">
        <v>65827</v>
      </c>
      <c r="F20">
        <v>64434</v>
      </c>
      <c r="G20">
        <v>870</v>
      </c>
    </row>
    <row r="21" spans="1:7" x14ac:dyDescent="0.3">
      <c r="A21" s="1">
        <v>45962</v>
      </c>
      <c r="B21">
        <v>30</v>
      </c>
      <c r="C21" t="s">
        <v>40</v>
      </c>
      <c r="D21">
        <v>2</v>
      </c>
      <c r="E21">
        <v>36192</v>
      </c>
      <c r="F21">
        <v>36330</v>
      </c>
      <c r="G21">
        <v>840</v>
      </c>
    </row>
    <row r="22" spans="1:7" x14ac:dyDescent="0.3">
      <c r="A22" s="1">
        <v>45992</v>
      </c>
      <c r="B22">
        <v>31</v>
      </c>
      <c r="C22" t="s">
        <v>40</v>
      </c>
      <c r="D22">
        <v>2</v>
      </c>
      <c r="E22">
        <v>26592</v>
      </c>
      <c r="F22">
        <v>26292</v>
      </c>
      <c r="G22">
        <v>966</v>
      </c>
    </row>
    <row r="23" spans="1:7" x14ac:dyDescent="0.3">
      <c r="A23" s="1">
        <v>46023</v>
      </c>
      <c r="B23">
        <v>31</v>
      </c>
      <c r="C23" t="s">
        <v>40</v>
      </c>
      <c r="D23">
        <v>2</v>
      </c>
      <c r="E23">
        <v>28477</v>
      </c>
      <c r="F23">
        <v>28206</v>
      </c>
      <c r="G23">
        <v>954</v>
      </c>
    </row>
    <row r="24" spans="1:7" x14ac:dyDescent="0.3">
      <c r="A24" s="1">
        <v>46054</v>
      </c>
      <c r="B24">
        <v>28</v>
      </c>
      <c r="C24" t="s">
        <v>40</v>
      </c>
      <c r="D24">
        <v>2</v>
      </c>
      <c r="E24">
        <v>24663</v>
      </c>
      <c r="F24">
        <v>24264</v>
      </c>
      <c r="G24">
        <v>858</v>
      </c>
    </row>
    <row r="25" spans="1:7" x14ac:dyDescent="0.3">
      <c r="A25" s="1">
        <v>46082</v>
      </c>
      <c r="B25">
        <v>31</v>
      </c>
      <c r="C25" t="s">
        <v>40</v>
      </c>
      <c r="D25">
        <v>2</v>
      </c>
      <c r="E25">
        <v>35997</v>
      </c>
      <c r="F25">
        <v>36072</v>
      </c>
      <c r="G25">
        <v>978</v>
      </c>
    </row>
    <row r="26" spans="1:7" x14ac:dyDescent="0.3">
      <c r="A26" s="1">
        <v>45748</v>
      </c>
      <c r="B26">
        <v>30</v>
      </c>
      <c r="C26" t="s">
        <v>40</v>
      </c>
      <c r="D26">
        <v>3</v>
      </c>
      <c r="E26">
        <v>272213</v>
      </c>
      <c r="F26">
        <v>261840</v>
      </c>
      <c r="G26">
        <v>9240</v>
      </c>
    </row>
    <row r="27" spans="1:7" x14ac:dyDescent="0.3">
      <c r="A27" s="1">
        <v>45778</v>
      </c>
      <c r="B27">
        <v>31</v>
      </c>
      <c r="C27" t="s">
        <v>40</v>
      </c>
      <c r="D27">
        <v>3</v>
      </c>
      <c r="E27">
        <v>589198</v>
      </c>
      <c r="F27">
        <v>579600</v>
      </c>
      <c r="G27">
        <v>4050</v>
      </c>
    </row>
    <row r="28" spans="1:7" x14ac:dyDescent="0.3">
      <c r="A28" s="1">
        <v>45809</v>
      </c>
      <c r="B28">
        <v>30</v>
      </c>
      <c r="C28" t="s">
        <v>40</v>
      </c>
      <c r="D28">
        <v>3</v>
      </c>
      <c r="E28">
        <v>899206</v>
      </c>
      <c r="F28">
        <v>887940</v>
      </c>
      <c r="G28">
        <v>240</v>
      </c>
    </row>
    <row r="29" spans="1:7" x14ac:dyDescent="0.3">
      <c r="A29" s="1">
        <v>45839</v>
      </c>
      <c r="B29">
        <v>31</v>
      </c>
      <c r="C29" t="s">
        <v>40</v>
      </c>
      <c r="D29">
        <v>3</v>
      </c>
      <c r="E29">
        <v>1233923</v>
      </c>
      <c r="F29">
        <v>1208880</v>
      </c>
      <c r="G29">
        <v>30</v>
      </c>
    </row>
    <row r="30" spans="1:7" x14ac:dyDescent="0.3">
      <c r="A30" s="1">
        <v>45870</v>
      </c>
      <c r="B30">
        <v>31</v>
      </c>
      <c r="C30" t="s">
        <v>40</v>
      </c>
      <c r="D30">
        <v>3</v>
      </c>
      <c r="E30">
        <v>848303</v>
      </c>
      <c r="F30">
        <v>834270</v>
      </c>
      <c r="G30">
        <v>600</v>
      </c>
    </row>
    <row r="31" spans="1:7" x14ac:dyDescent="0.3">
      <c r="A31" s="1">
        <v>45901</v>
      </c>
      <c r="B31">
        <v>30</v>
      </c>
      <c r="C31" t="s">
        <v>40</v>
      </c>
      <c r="D31">
        <v>3</v>
      </c>
      <c r="E31">
        <v>606468</v>
      </c>
      <c r="F31">
        <v>597360</v>
      </c>
      <c r="G31">
        <v>150</v>
      </c>
    </row>
    <row r="32" spans="1:7" x14ac:dyDescent="0.3">
      <c r="A32" s="1">
        <v>45931</v>
      </c>
      <c r="B32">
        <v>31</v>
      </c>
      <c r="C32" t="s">
        <v>40</v>
      </c>
      <c r="D32">
        <v>3</v>
      </c>
      <c r="E32">
        <v>235504</v>
      </c>
      <c r="F32">
        <v>237390</v>
      </c>
      <c r="G32">
        <v>5100</v>
      </c>
    </row>
    <row r="33" spans="1:7" x14ac:dyDescent="0.3">
      <c r="A33" s="1">
        <v>45962</v>
      </c>
      <c r="B33">
        <v>30</v>
      </c>
      <c r="C33" t="s">
        <v>40</v>
      </c>
      <c r="D33">
        <v>3</v>
      </c>
      <c r="E33">
        <v>151607</v>
      </c>
      <c r="F33">
        <v>150810</v>
      </c>
      <c r="G33">
        <v>4080</v>
      </c>
    </row>
    <row r="34" spans="1:7" x14ac:dyDescent="0.3">
      <c r="A34" s="1">
        <v>45992</v>
      </c>
      <c r="B34">
        <v>31</v>
      </c>
      <c r="C34" t="s">
        <v>40</v>
      </c>
      <c r="D34">
        <v>3</v>
      </c>
      <c r="E34">
        <v>181737</v>
      </c>
      <c r="F34">
        <v>175080</v>
      </c>
      <c r="G34">
        <v>2580</v>
      </c>
    </row>
    <row r="35" spans="1:7" x14ac:dyDescent="0.3">
      <c r="A35" s="1">
        <v>46023</v>
      </c>
      <c r="B35">
        <v>31</v>
      </c>
      <c r="C35" t="s">
        <v>40</v>
      </c>
      <c r="D35">
        <v>3</v>
      </c>
      <c r="E35">
        <v>200483</v>
      </c>
      <c r="F35">
        <v>200040</v>
      </c>
      <c r="G35">
        <v>2640</v>
      </c>
    </row>
    <row r="36" spans="1:7" x14ac:dyDescent="0.3">
      <c r="A36" s="1">
        <v>46054</v>
      </c>
      <c r="B36">
        <v>28</v>
      </c>
      <c r="C36" t="s">
        <v>40</v>
      </c>
      <c r="D36">
        <v>3</v>
      </c>
      <c r="E36">
        <v>157615</v>
      </c>
      <c r="F36">
        <v>155580</v>
      </c>
      <c r="G36">
        <v>3630</v>
      </c>
    </row>
    <row r="37" spans="1:7" x14ac:dyDescent="0.3">
      <c r="A37" s="1">
        <v>46082</v>
      </c>
      <c r="B37">
        <v>31</v>
      </c>
      <c r="C37" t="s">
        <v>40</v>
      </c>
      <c r="D37">
        <v>3</v>
      </c>
      <c r="E37">
        <v>160831</v>
      </c>
      <c r="F37">
        <v>160590</v>
      </c>
      <c r="G37">
        <v>8430</v>
      </c>
    </row>
    <row r="38" spans="1:7" x14ac:dyDescent="0.3">
      <c r="A38" s="1">
        <v>45748</v>
      </c>
      <c r="B38">
        <v>30</v>
      </c>
      <c r="C38" t="s">
        <v>40</v>
      </c>
      <c r="D38">
        <v>4</v>
      </c>
      <c r="E38">
        <v>163814</v>
      </c>
      <c r="F38">
        <v>261840</v>
      </c>
      <c r="G38">
        <v>4912</v>
      </c>
    </row>
    <row r="39" spans="1:7" x14ac:dyDescent="0.3">
      <c r="A39" s="1">
        <v>45778</v>
      </c>
      <c r="B39">
        <v>31</v>
      </c>
      <c r="C39" t="s">
        <v>40</v>
      </c>
      <c r="D39">
        <v>4</v>
      </c>
      <c r="E39">
        <v>458888</v>
      </c>
      <c r="F39">
        <v>579600</v>
      </c>
      <c r="G39">
        <v>1690</v>
      </c>
    </row>
    <row r="40" spans="1:7" x14ac:dyDescent="0.3">
      <c r="A40" s="1">
        <v>45809</v>
      </c>
      <c r="B40">
        <v>30</v>
      </c>
      <c r="C40" t="s">
        <v>40</v>
      </c>
      <c r="D40">
        <v>4</v>
      </c>
      <c r="E40">
        <v>667791</v>
      </c>
      <c r="F40">
        <v>887940</v>
      </c>
      <c r="G40">
        <v>370</v>
      </c>
    </row>
    <row r="41" spans="1:7" x14ac:dyDescent="0.3">
      <c r="A41" s="1">
        <v>45839</v>
      </c>
      <c r="B41">
        <v>31</v>
      </c>
      <c r="C41" t="s">
        <v>40</v>
      </c>
      <c r="D41">
        <v>4</v>
      </c>
      <c r="E41">
        <v>779685</v>
      </c>
      <c r="F41">
        <v>1208880</v>
      </c>
      <c r="G41">
        <v>478</v>
      </c>
    </row>
    <row r="42" spans="1:7" x14ac:dyDescent="0.3">
      <c r="A42" s="1">
        <v>45870</v>
      </c>
      <c r="B42">
        <v>31</v>
      </c>
      <c r="C42" t="s">
        <v>40</v>
      </c>
      <c r="D42">
        <v>4</v>
      </c>
      <c r="E42">
        <v>581677</v>
      </c>
      <c r="F42">
        <v>834270</v>
      </c>
      <c r="G42">
        <v>2720</v>
      </c>
    </row>
    <row r="43" spans="1:7" x14ac:dyDescent="0.3">
      <c r="A43" s="1">
        <v>45901</v>
      </c>
      <c r="B43">
        <v>30</v>
      </c>
      <c r="C43" t="s">
        <v>40</v>
      </c>
      <c r="D43">
        <v>4</v>
      </c>
      <c r="E43">
        <v>587854</v>
      </c>
      <c r="F43">
        <v>597360</v>
      </c>
      <c r="G43">
        <v>700</v>
      </c>
    </row>
    <row r="44" spans="1:7" x14ac:dyDescent="0.3">
      <c r="A44" s="1">
        <v>45931</v>
      </c>
      <c r="B44">
        <v>31</v>
      </c>
      <c r="C44" t="s">
        <v>40</v>
      </c>
      <c r="D44">
        <v>4</v>
      </c>
      <c r="E44">
        <v>188431</v>
      </c>
      <c r="F44">
        <v>237390</v>
      </c>
      <c r="G44">
        <v>5009</v>
      </c>
    </row>
    <row r="45" spans="1:7" x14ac:dyDescent="0.3">
      <c r="A45" s="1">
        <v>45962</v>
      </c>
      <c r="B45">
        <v>30</v>
      </c>
      <c r="C45" t="s">
        <v>40</v>
      </c>
      <c r="D45">
        <v>4</v>
      </c>
      <c r="E45">
        <v>100086</v>
      </c>
      <c r="F45">
        <v>150810</v>
      </c>
      <c r="G45">
        <v>5618</v>
      </c>
    </row>
    <row r="46" spans="1:7" x14ac:dyDescent="0.3">
      <c r="A46" s="1">
        <v>45992</v>
      </c>
      <c r="B46">
        <v>31</v>
      </c>
      <c r="C46" t="s">
        <v>40</v>
      </c>
      <c r="D46">
        <v>4</v>
      </c>
      <c r="E46">
        <v>70010</v>
      </c>
      <c r="F46">
        <v>175080</v>
      </c>
      <c r="G46">
        <v>5392</v>
      </c>
    </row>
    <row r="47" spans="1:7" x14ac:dyDescent="0.3">
      <c r="A47" s="1">
        <v>46023</v>
      </c>
      <c r="B47">
        <v>31</v>
      </c>
      <c r="C47" t="s">
        <v>40</v>
      </c>
      <c r="D47">
        <v>4</v>
      </c>
      <c r="E47">
        <v>88593</v>
      </c>
      <c r="F47">
        <v>200040</v>
      </c>
      <c r="G47">
        <v>4395</v>
      </c>
    </row>
    <row r="48" spans="1:7" x14ac:dyDescent="0.3">
      <c r="A48" s="1">
        <v>46054</v>
      </c>
      <c r="B48">
        <v>28</v>
      </c>
      <c r="C48" t="s">
        <v>40</v>
      </c>
      <c r="D48">
        <v>4</v>
      </c>
      <c r="E48">
        <v>86588</v>
      </c>
      <c r="F48">
        <v>155580</v>
      </c>
      <c r="G48">
        <v>4384</v>
      </c>
    </row>
    <row r="49" spans="1:7" x14ac:dyDescent="0.3">
      <c r="A49" s="1">
        <v>46082</v>
      </c>
      <c r="B49">
        <v>31</v>
      </c>
      <c r="C49" t="s">
        <v>40</v>
      </c>
      <c r="D49">
        <v>4</v>
      </c>
      <c r="E49">
        <v>71840</v>
      </c>
      <c r="F49">
        <v>160590</v>
      </c>
      <c r="G49">
        <v>6278</v>
      </c>
    </row>
    <row r="50" spans="1:7" x14ac:dyDescent="0.3">
      <c r="A50" s="1">
        <v>45748</v>
      </c>
      <c r="B50">
        <v>30</v>
      </c>
      <c r="C50" t="s">
        <v>40</v>
      </c>
      <c r="D50">
        <v>5</v>
      </c>
      <c r="E50">
        <v>109526</v>
      </c>
      <c r="F50">
        <v>110052</v>
      </c>
      <c r="G50">
        <v>2544</v>
      </c>
    </row>
    <row r="51" spans="1:7" x14ac:dyDescent="0.3">
      <c r="A51" s="1">
        <v>45778</v>
      </c>
      <c r="B51">
        <v>31</v>
      </c>
      <c r="C51" t="s">
        <v>40</v>
      </c>
      <c r="D51">
        <v>5</v>
      </c>
      <c r="E51">
        <v>230066</v>
      </c>
      <c r="F51">
        <v>224220</v>
      </c>
      <c r="G51">
        <v>1536</v>
      </c>
    </row>
    <row r="52" spans="1:7" x14ac:dyDescent="0.3">
      <c r="A52" s="1">
        <v>45809</v>
      </c>
      <c r="B52">
        <v>30</v>
      </c>
      <c r="C52" t="s">
        <v>40</v>
      </c>
      <c r="D52">
        <v>5</v>
      </c>
      <c r="E52">
        <v>315371</v>
      </c>
      <c r="F52">
        <v>309600</v>
      </c>
      <c r="G52">
        <v>12</v>
      </c>
    </row>
    <row r="53" spans="1:7" x14ac:dyDescent="0.3">
      <c r="A53" s="1">
        <v>45839</v>
      </c>
      <c r="B53">
        <v>31</v>
      </c>
      <c r="C53" t="s">
        <v>40</v>
      </c>
      <c r="D53">
        <v>5</v>
      </c>
      <c r="E53">
        <v>489014</v>
      </c>
      <c r="F53">
        <v>484140</v>
      </c>
      <c r="G53">
        <v>48</v>
      </c>
    </row>
    <row r="54" spans="1:7" x14ac:dyDescent="0.3">
      <c r="A54" s="1">
        <v>45870</v>
      </c>
      <c r="B54">
        <v>31</v>
      </c>
      <c r="C54" t="s">
        <v>40</v>
      </c>
      <c r="D54">
        <v>5</v>
      </c>
      <c r="E54">
        <v>356587</v>
      </c>
      <c r="F54">
        <v>358464</v>
      </c>
      <c r="G54">
        <v>96</v>
      </c>
    </row>
    <row r="55" spans="1:7" x14ac:dyDescent="0.3">
      <c r="A55" s="1">
        <v>45901</v>
      </c>
      <c r="B55">
        <v>30</v>
      </c>
      <c r="C55" t="s">
        <v>40</v>
      </c>
      <c r="D55">
        <v>5</v>
      </c>
      <c r="E55">
        <v>310040</v>
      </c>
      <c r="F55">
        <v>304452</v>
      </c>
      <c r="G55">
        <v>408</v>
      </c>
    </row>
    <row r="56" spans="1:7" x14ac:dyDescent="0.3">
      <c r="A56" s="1">
        <v>45931</v>
      </c>
      <c r="B56">
        <v>31</v>
      </c>
      <c r="C56" t="s">
        <v>40</v>
      </c>
      <c r="D56">
        <v>5</v>
      </c>
      <c r="E56">
        <v>137425</v>
      </c>
      <c r="F56">
        <v>130080</v>
      </c>
      <c r="G56">
        <v>264</v>
      </c>
    </row>
    <row r="57" spans="1:7" x14ac:dyDescent="0.3">
      <c r="A57" s="1">
        <v>45962</v>
      </c>
      <c r="B57">
        <v>30</v>
      </c>
      <c r="C57" t="s">
        <v>40</v>
      </c>
      <c r="D57">
        <v>5</v>
      </c>
      <c r="E57">
        <v>113870</v>
      </c>
      <c r="F57">
        <v>109752</v>
      </c>
      <c r="G57">
        <v>2148</v>
      </c>
    </row>
    <row r="58" spans="1:7" x14ac:dyDescent="0.3">
      <c r="A58" s="1">
        <v>45992</v>
      </c>
      <c r="B58">
        <v>31</v>
      </c>
      <c r="C58" t="s">
        <v>40</v>
      </c>
      <c r="D58">
        <v>5</v>
      </c>
      <c r="E58">
        <v>120513</v>
      </c>
      <c r="F58">
        <v>119412</v>
      </c>
      <c r="G58">
        <v>1608</v>
      </c>
    </row>
    <row r="59" spans="1:7" x14ac:dyDescent="0.3">
      <c r="A59" s="1">
        <v>46023</v>
      </c>
      <c r="B59">
        <v>31</v>
      </c>
      <c r="C59" t="s">
        <v>40</v>
      </c>
      <c r="D59">
        <v>5</v>
      </c>
      <c r="E59">
        <v>138253</v>
      </c>
      <c r="F59">
        <v>137700</v>
      </c>
      <c r="G59">
        <v>1380</v>
      </c>
    </row>
    <row r="60" spans="1:7" x14ac:dyDescent="0.3">
      <c r="A60" s="1">
        <v>46054</v>
      </c>
      <c r="B60">
        <v>28</v>
      </c>
      <c r="C60" t="s">
        <v>40</v>
      </c>
      <c r="D60">
        <v>5</v>
      </c>
      <c r="E60">
        <v>90650</v>
      </c>
      <c r="F60">
        <v>89196</v>
      </c>
      <c r="G60">
        <v>1296</v>
      </c>
    </row>
    <row r="61" spans="1:7" x14ac:dyDescent="0.3">
      <c r="A61" s="1">
        <v>46082</v>
      </c>
      <c r="B61">
        <v>31</v>
      </c>
      <c r="C61" t="s">
        <v>40</v>
      </c>
      <c r="D61">
        <v>5</v>
      </c>
      <c r="E61">
        <v>78798</v>
      </c>
      <c r="F61">
        <v>79152</v>
      </c>
      <c r="G61">
        <v>3936</v>
      </c>
    </row>
    <row r="62" spans="1:7" x14ac:dyDescent="0.3">
      <c r="A62" s="1">
        <v>45748</v>
      </c>
      <c r="B62">
        <v>30</v>
      </c>
      <c r="C62" t="s">
        <v>40</v>
      </c>
      <c r="D62">
        <v>6</v>
      </c>
      <c r="E62">
        <v>331644</v>
      </c>
      <c r="F62">
        <v>323682</v>
      </c>
      <c r="G62">
        <v>4912</v>
      </c>
    </row>
    <row r="63" spans="1:7" x14ac:dyDescent="0.3">
      <c r="A63" s="1">
        <v>45778</v>
      </c>
      <c r="B63">
        <v>31</v>
      </c>
      <c r="C63" t="s">
        <v>40</v>
      </c>
      <c r="D63">
        <v>6</v>
      </c>
      <c r="E63">
        <v>264323</v>
      </c>
      <c r="F63">
        <v>255734</v>
      </c>
      <c r="G63">
        <v>1690</v>
      </c>
    </row>
    <row r="64" spans="1:7" x14ac:dyDescent="0.3">
      <c r="A64" s="1">
        <v>45809</v>
      </c>
      <c r="B64">
        <v>30</v>
      </c>
      <c r="C64" t="s">
        <v>40</v>
      </c>
      <c r="D64">
        <v>6</v>
      </c>
      <c r="E64">
        <v>529853</v>
      </c>
      <c r="F64">
        <v>517407</v>
      </c>
      <c r="G64">
        <v>1380</v>
      </c>
    </row>
    <row r="65" spans="1:7" x14ac:dyDescent="0.3">
      <c r="A65" s="1">
        <v>45839</v>
      </c>
      <c r="B65">
        <v>31</v>
      </c>
      <c r="C65" t="s">
        <v>40</v>
      </c>
      <c r="D65">
        <v>6</v>
      </c>
      <c r="E65">
        <v>492003</v>
      </c>
      <c r="F65">
        <v>480028</v>
      </c>
      <c r="G65">
        <v>1296</v>
      </c>
    </row>
    <row r="66" spans="1:7" x14ac:dyDescent="0.3">
      <c r="A66" s="1">
        <v>45870</v>
      </c>
      <c r="B66">
        <v>31</v>
      </c>
      <c r="C66" t="s">
        <v>40</v>
      </c>
      <c r="D66">
        <v>6</v>
      </c>
      <c r="E66">
        <v>384444</v>
      </c>
      <c r="F66">
        <v>373756</v>
      </c>
      <c r="G66">
        <v>96</v>
      </c>
    </row>
    <row r="67" spans="1:7" x14ac:dyDescent="0.3">
      <c r="A67" s="1">
        <v>45901</v>
      </c>
      <c r="B67">
        <v>30</v>
      </c>
      <c r="C67" t="s">
        <v>40</v>
      </c>
      <c r="D67">
        <v>6</v>
      </c>
      <c r="E67">
        <v>285516</v>
      </c>
      <c r="F67">
        <v>276438</v>
      </c>
      <c r="G67">
        <v>498</v>
      </c>
    </row>
    <row r="68" spans="1:7" x14ac:dyDescent="0.3">
      <c r="A68" s="1">
        <v>45931</v>
      </c>
      <c r="B68">
        <v>31</v>
      </c>
      <c r="C68" t="s">
        <v>40</v>
      </c>
      <c r="D68">
        <v>6</v>
      </c>
      <c r="E68">
        <v>95973</v>
      </c>
      <c r="F68">
        <v>88630</v>
      </c>
      <c r="G68">
        <v>264</v>
      </c>
    </row>
    <row r="69" spans="1:7" x14ac:dyDescent="0.3">
      <c r="A69" s="1">
        <v>45962</v>
      </c>
      <c r="B69">
        <v>30</v>
      </c>
      <c r="C69" t="s">
        <v>40</v>
      </c>
      <c r="D69">
        <v>6</v>
      </c>
      <c r="E69">
        <v>78835</v>
      </c>
      <c r="F69">
        <v>73745</v>
      </c>
      <c r="G69">
        <v>408</v>
      </c>
    </row>
    <row r="70" spans="1:7" x14ac:dyDescent="0.3">
      <c r="A70" s="1">
        <v>45992</v>
      </c>
      <c r="B70">
        <v>31</v>
      </c>
      <c r="C70" t="s">
        <v>40</v>
      </c>
      <c r="D70">
        <v>6</v>
      </c>
      <c r="E70">
        <v>88592</v>
      </c>
      <c r="F70">
        <v>82779</v>
      </c>
      <c r="G70">
        <v>264</v>
      </c>
    </row>
    <row r="71" spans="1:7" x14ac:dyDescent="0.3">
      <c r="A71" s="1">
        <v>46023</v>
      </c>
      <c r="B71">
        <v>31</v>
      </c>
      <c r="C71" t="s">
        <v>40</v>
      </c>
      <c r="D71">
        <v>6</v>
      </c>
      <c r="E71">
        <v>73156</v>
      </c>
      <c r="F71">
        <v>68041</v>
      </c>
      <c r="G71">
        <v>2580</v>
      </c>
    </row>
    <row r="72" spans="1:7" x14ac:dyDescent="0.3">
      <c r="A72" s="1">
        <v>46054</v>
      </c>
      <c r="B72">
        <v>28</v>
      </c>
      <c r="C72" t="s">
        <v>40</v>
      </c>
      <c r="D72">
        <v>6</v>
      </c>
      <c r="E72">
        <v>63235</v>
      </c>
      <c r="F72">
        <v>58988</v>
      </c>
      <c r="G72">
        <v>2640</v>
      </c>
    </row>
    <row r="73" spans="1:7" x14ac:dyDescent="0.3">
      <c r="A73" s="1">
        <v>46082</v>
      </c>
      <c r="B73">
        <v>31</v>
      </c>
      <c r="C73" t="s">
        <v>40</v>
      </c>
      <c r="D73">
        <v>6</v>
      </c>
      <c r="E73">
        <v>151526</v>
      </c>
      <c r="F73">
        <v>145516</v>
      </c>
      <c r="G73">
        <v>936</v>
      </c>
    </row>
    <row r="74" spans="1:7" x14ac:dyDescent="0.3">
      <c r="A74" s="1">
        <v>45748</v>
      </c>
      <c r="B74">
        <v>30</v>
      </c>
      <c r="C74" t="s">
        <v>40</v>
      </c>
      <c r="D74">
        <v>7</v>
      </c>
      <c r="E74">
        <v>219282</v>
      </c>
      <c r="F74">
        <v>207898</v>
      </c>
      <c r="G74">
        <v>0</v>
      </c>
    </row>
    <row r="75" spans="1:7" x14ac:dyDescent="0.3">
      <c r="A75" s="1">
        <v>45778</v>
      </c>
      <c r="B75">
        <v>31</v>
      </c>
      <c r="C75" t="s">
        <v>40</v>
      </c>
      <c r="D75">
        <v>7</v>
      </c>
      <c r="E75">
        <v>300591</v>
      </c>
      <c r="F75">
        <v>286144</v>
      </c>
      <c r="G75">
        <v>0</v>
      </c>
    </row>
    <row r="76" spans="1:7" x14ac:dyDescent="0.3">
      <c r="A76" s="1">
        <v>45809</v>
      </c>
      <c r="B76">
        <v>30</v>
      </c>
      <c r="C76" t="s">
        <v>40</v>
      </c>
      <c r="D76">
        <v>7</v>
      </c>
      <c r="E76">
        <v>728153</v>
      </c>
      <c r="F76">
        <v>694213</v>
      </c>
      <c r="G76">
        <v>0</v>
      </c>
    </row>
    <row r="77" spans="1:7" x14ac:dyDescent="0.3">
      <c r="A77" s="1">
        <v>45839</v>
      </c>
      <c r="B77">
        <v>31</v>
      </c>
      <c r="C77" t="s">
        <v>40</v>
      </c>
      <c r="D77">
        <v>7</v>
      </c>
      <c r="E77">
        <v>906149</v>
      </c>
      <c r="F77">
        <v>864747</v>
      </c>
      <c r="G77">
        <v>0</v>
      </c>
    </row>
    <row r="78" spans="1:7" x14ac:dyDescent="0.3">
      <c r="A78" s="1">
        <v>45870</v>
      </c>
      <c r="B78">
        <v>31</v>
      </c>
      <c r="C78" t="s">
        <v>40</v>
      </c>
      <c r="D78">
        <v>7</v>
      </c>
      <c r="E78">
        <v>563218</v>
      </c>
      <c r="F78">
        <v>537907</v>
      </c>
      <c r="G78">
        <v>0</v>
      </c>
    </row>
    <row r="79" spans="1:7" x14ac:dyDescent="0.3">
      <c r="A79" s="1">
        <v>45901</v>
      </c>
      <c r="B79">
        <v>30</v>
      </c>
      <c r="C79" t="s">
        <v>40</v>
      </c>
      <c r="D79">
        <v>7</v>
      </c>
      <c r="E79">
        <v>353039</v>
      </c>
      <c r="F79">
        <v>337010</v>
      </c>
      <c r="G79">
        <v>0</v>
      </c>
    </row>
    <row r="80" spans="1:7" x14ac:dyDescent="0.3">
      <c r="A80" s="1">
        <v>45931</v>
      </c>
      <c r="B80">
        <v>31</v>
      </c>
      <c r="C80" t="s">
        <v>40</v>
      </c>
      <c r="D80">
        <v>7</v>
      </c>
      <c r="E80">
        <v>251084</v>
      </c>
      <c r="F80">
        <v>239036</v>
      </c>
      <c r="G80">
        <v>0</v>
      </c>
    </row>
    <row r="81" spans="1:7" x14ac:dyDescent="0.3">
      <c r="A81" s="1">
        <v>45962</v>
      </c>
      <c r="B81">
        <v>30</v>
      </c>
      <c r="C81" t="s">
        <v>40</v>
      </c>
      <c r="D81">
        <v>7</v>
      </c>
      <c r="E81">
        <v>240813</v>
      </c>
      <c r="F81">
        <v>230110</v>
      </c>
      <c r="G81">
        <v>0</v>
      </c>
    </row>
    <row r="82" spans="1:7" x14ac:dyDescent="0.3">
      <c r="A82" s="1">
        <v>45992</v>
      </c>
      <c r="B82">
        <v>31</v>
      </c>
      <c r="C82" t="s">
        <v>40</v>
      </c>
      <c r="D82">
        <v>7</v>
      </c>
      <c r="E82">
        <v>262489</v>
      </c>
      <c r="F82">
        <v>251404</v>
      </c>
      <c r="G82">
        <v>0</v>
      </c>
    </row>
    <row r="83" spans="1:7" x14ac:dyDescent="0.3">
      <c r="A83" s="1">
        <v>46023</v>
      </c>
      <c r="B83">
        <v>31</v>
      </c>
      <c r="C83" t="s">
        <v>40</v>
      </c>
      <c r="D83">
        <v>7</v>
      </c>
      <c r="E83">
        <v>164933</v>
      </c>
      <c r="F83">
        <v>155774</v>
      </c>
      <c r="G83">
        <v>0</v>
      </c>
    </row>
    <row r="84" spans="1:7" x14ac:dyDescent="0.3">
      <c r="A84" s="1">
        <v>46054</v>
      </c>
      <c r="B84">
        <v>28</v>
      </c>
      <c r="C84" t="s">
        <v>40</v>
      </c>
      <c r="D84">
        <v>7</v>
      </c>
      <c r="E84">
        <v>108487</v>
      </c>
      <c r="F84">
        <v>101237</v>
      </c>
      <c r="G84">
        <v>0</v>
      </c>
    </row>
    <row r="85" spans="1:7" x14ac:dyDescent="0.3">
      <c r="A85" s="1">
        <v>46082</v>
      </c>
      <c r="B85">
        <v>31</v>
      </c>
      <c r="C85" t="s">
        <v>40</v>
      </c>
      <c r="D85">
        <v>7</v>
      </c>
      <c r="E85">
        <v>159730</v>
      </c>
      <c r="F85">
        <v>150263</v>
      </c>
      <c r="G85">
        <v>0</v>
      </c>
    </row>
    <row r="86" spans="1:7" x14ac:dyDescent="0.3">
      <c r="A86" s="1">
        <v>45748</v>
      </c>
      <c r="B86">
        <v>30</v>
      </c>
      <c r="C86" t="s">
        <v>40</v>
      </c>
      <c r="D86">
        <v>8</v>
      </c>
      <c r="E86">
        <v>476289</v>
      </c>
      <c r="F86">
        <v>441827</v>
      </c>
      <c r="G86">
        <v>726</v>
      </c>
    </row>
    <row r="87" spans="1:7" x14ac:dyDescent="0.3">
      <c r="A87" s="1">
        <v>45778</v>
      </c>
      <c r="B87">
        <v>31</v>
      </c>
      <c r="C87" t="s">
        <v>40</v>
      </c>
      <c r="D87">
        <v>8</v>
      </c>
      <c r="E87">
        <v>658404</v>
      </c>
      <c r="F87">
        <v>626816</v>
      </c>
      <c r="G87">
        <v>643</v>
      </c>
    </row>
    <row r="88" spans="1:7" x14ac:dyDescent="0.3">
      <c r="A88" s="1">
        <v>45809</v>
      </c>
      <c r="B88">
        <v>30</v>
      </c>
      <c r="C88" t="s">
        <v>40</v>
      </c>
      <c r="D88">
        <v>8</v>
      </c>
      <c r="E88">
        <v>1676253</v>
      </c>
      <c r="F88">
        <v>1655025</v>
      </c>
      <c r="G88">
        <v>164</v>
      </c>
    </row>
    <row r="89" spans="1:7" x14ac:dyDescent="0.3">
      <c r="A89" s="1">
        <v>45839</v>
      </c>
      <c r="B89">
        <v>31</v>
      </c>
      <c r="C89" t="s">
        <v>40</v>
      </c>
      <c r="D89">
        <v>8</v>
      </c>
      <c r="E89">
        <v>1761245</v>
      </c>
      <c r="F89">
        <v>1651751</v>
      </c>
      <c r="G89">
        <v>554</v>
      </c>
    </row>
    <row r="90" spans="1:7" x14ac:dyDescent="0.3">
      <c r="A90" s="1">
        <v>45870</v>
      </c>
      <c r="B90">
        <v>31</v>
      </c>
      <c r="C90" t="s">
        <v>40</v>
      </c>
      <c r="D90">
        <v>8</v>
      </c>
      <c r="E90">
        <v>1029272</v>
      </c>
      <c r="F90">
        <v>993951</v>
      </c>
      <c r="G90">
        <v>169</v>
      </c>
    </row>
    <row r="91" spans="1:7" x14ac:dyDescent="0.3">
      <c r="A91" s="1">
        <v>45901</v>
      </c>
      <c r="B91">
        <v>30</v>
      </c>
      <c r="C91" t="s">
        <v>40</v>
      </c>
      <c r="D91">
        <v>8</v>
      </c>
      <c r="E91">
        <v>714955</v>
      </c>
      <c r="F91">
        <v>691147</v>
      </c>
      <c r="G91">
        <v>987</v>
      </c>
    </row>
    <row r="92" spans="1:7" x14ac:dyDescent="0.3">
      <c r="A92" s="1">
        <v>45931</v>
      </c>
      <c r="B92">
        <v>31</v>
      </c>
      <c r="C92" t="s">
        <v>40</v>
      </c>
      <c r="D92">
        <v>8</v>
      </c>
      <c r="E92">
        <v>389363</v>
      </c>
      <c r="F92">
        <v>380298</v>
      </c>
      <c r="G92">
        <v>517</v>
      </c>
    </row>
    <row r="93" spans="1:7" x14ac:dyDescent="0.3">
      <c r="A93" s="1">
        <v>45962</v>
      </c>
      <c r="B93">
        <v>30</v>
      </c>
      <c r="C93" t="s">
        <v>40</v>
      </c>
      <c r="D93">
        <v>8</v>
      </c>
      <c r="E93">
        <v>626254</v>
      </c>
      <c r="F93">
        <v>590454</v>
      </c>
      <c r="G93">
        <v>610</v>
      </c>
    </row>
    <row r="94" spans="1:7" x14ac:dyDescent="0.3">
      <c r="A94" s="1">
        <v>45992</v>
      </c>
      <c r="B94">
        <v>31</v>
      </c>
      <c r="C94" t="s">
        <v>40</v>
      </c>
      <c r="D94">
        <v>8</v>
      </c>
      <c r="E94">
        <v>770756</v>
      </c>
      <c r="F94">
        <v>753687</v>
      </c>
      <c r="G94">
        <v>527</v>
      </c>
    </row>
    <row r="95" spans="1:7" x14ac:dyDescent="0.3">
      <c r="A95" s="1">
        <v>46023</v>
      </c>
      <c r="B95">
        <v>31</v>
      </c>
      <c r="C95" t="s">
        <v>40</v>
      </c>
      <c r="D95">
        <v>8</v>
      </c>
      <c r="E95">
        <v>300125</v>
      </c>
      <c r="F95">
        <v>282805</v>
      </c>
      <c r="G95">
        <v>983</v>
      </c>
    </row>
    <row r="96" spans="1:7" x14ac:dyDescent="0.3">
      <c r="A96" s="1">
        <v>46054</v>
      </c>
      <c r="B96">
        <v>28</v>
      </c>
      <c r="C96" t="s">
        <v>40</v>
      </c>
      <c r="D96">
        <v>8</v>
      </c>
      <c r="E96">
        <v>243955</v>
      </c>
      <c r="F96">
        <v>232502</v>
      </c>
      <c r="G96">
        <v>663</v>
      </c>
    </row>
    <row r="97" spans="1:7" x14ac:dyDescent="0.3">
      <c r="A97" s="1">
        <v>46082</v>
      </c>
      <c r="B97">
        <v>31</v>
      </c>
      <c r="C97" t="s">
        <v>40</v>
      </c>
      <c r="D97">
        <v>8</v>
      </c>
      <c r="E97">
        <v>372611</v>
      </c>
      <c r="F97">
        <v>360310</v>
      </c>
      <c r="G97">
        <v>902</v>
      </c>
    </row>
    <row r="98" spans="1:7" x14ac:dyDescent="0.3">
      <c r="A98" s="1">
        <v>45748</v>
      </c>
      <c r="B98">
        <v>30</v>
      </c>
      <c r="C98" t="s">
        <v>40</v>
      </c>
      <c r="D98">
        <v>9</v>
      </c>
      <c r="E98">
        <v>140572</v>
      </c>
      <c r="F98">
        <v>137022</v>
      </c>
      <c r="G98">
        <v>268</v>
      </c>
    </row>
    <row r="99" spans="1:7" x14ac:dyDescent="0.3">
      <c r="A99" s="1">
        <v>45778</v>
      </c>
      <c r="B99">
        <v>31</v>
      </c>
      <c r="C99" t="s">
        <v>40</v>
      </c>
      <c r="D99">
        <v>9</v>
      </c>
      <c r="E99">
        <v>269319</v>
      </c>
      <c r="F99">
        <v>264196</v>
      </c>
      <c r="G99">
        <v>133</v>
      </c>
    </row>
    <row r="100" spans="1:7" x14ac:dyDescent="0.3">
      <c r="A100" s="1">
        <v>45809</v>
      </c>
      <c r="B100">
        <v>30</v>
      </c>
      <c r="C100" t="s">
        <v>40</v>
      </c>
      <c r="D100">
        <v>9</v>
      </c>
      <c r="E100">
        <v>429863</v>
      </c>
      <c r="F100">
        <v>423789</v>
      </c>
      <c r="G100">
        <v>454</v>
      </c>
    </row>
    <row r="101" spans="1:7" x14ac:dyDescent="0.3">
      <c r="A101" s="1">
        <v>45839</v>
      </c>
      <c r="B101">
        <v>31</v>
      </c>
      <c r="C101" t="s">
        <v>40</v>
      </c>
      <c r="D101">
        <v>9</v>
      </c>
      <c r="E101">
        <v>640519</v>
      </c>
      <c r="F101">
        <v>615882</v>
      </c>
      <c r="G101">
        <v>758</v>
      </c>
    </row>
    <row r="102" spans="1:7" x14ac:dyDescent="0.3">
      <c r="A102" s="1">
        <v>45870</v>
      </c>
      <c r="B102">
        <v>31</v>
      </c>
      <c r="C102" t="s">
        <v>40</v>
      </c>
      <c r="D102">
        <v>9</v>
      </c>
      <c r="E102">
        <v>509323</v>
      </c>
      <c r="F102">
        <v>508221</v>
      </c>
      <c r="G102">
        <v>221</v>
      </c>
    </row>
    <row r="103" spans="1:7" x14ac:dyDescent="0.3">
      <c r="A103" s="1">
        <v>45901</v>
      </c>
      <c r="B103">
        <v>30</v>
      </c>
      <c r="C103" t="s">
        <v>40</v>
      </c>
      <c r="D103">
        <v>9</v>
      </c>
      <c r="E103">
        <v>313122</v>
      </c>
      <c r="F103">
        <v>315109</v>
      </c>
      <c r="G103">
        <v>218</v>
      </c>
    </row>
    <row r="104" spans="1:7" x14ac:dyDescent="0.3">
      <c r="A104" s="1">
        <v>45931</v>
      </c>
      <c r="B104">
        <v>31</v>
      </c>
      <c r="C104" t="s">
        <v>40</v>
      </c>
      <c r="D104">
        <v>9</v>
      </c>
      <c r="E104">
        <v>236352</v>
      </c>
      <c r="F104">
        <v>227708</v>
      </c>
      <c r="G104">
        <v>595</v>
      </c>
    </row>
    <row r="105" spans="1:7" x14ac:dyDescent="0.3">
      <c r="A105" s="1">
        <v>45962</v>
      </c>
      <c r="B105">
        <v>30</v>
      </c>
      <c r="C105" t="s">
        <v>40</v>
      </c>
      <c r="D105">
        <v>9</v>
      </c>
      <c r="E105">
        <v>196029</v>
      </c>
      <c r="F105">
        <v>191891</v>
      </c>
      <c r="G105">
        <v>289</v>
      </c>
    </row>
    <row r="106" spans="1:7" x14ac:dyDescent="0.3">
      <c r="A106" s="1">
        <v>45992</v>
      </c>
      <c r="B106">
        <v>31</v>
      </c>
      <c r="C106" t="s">
        <v>40</v>
      </c>
      <c r="D106">
        <v>9</v>
      </c>
      <c r="E106">
        <v>254096</v>
      </c>
      <c r="F106">
        <v>250326</v>
      </c>
      <c r="G106">
        <v>790</v>
      </c>
    </row>
    <row r="107" spans="1:7" x14ac:dyDescent="0.3">
      <c r="A107" s="1">
        <v>46023</v>
      </c>
      <c r="B107">
        <v>31</v>
      </c>
      <c r="C107" t="s">
        <v>40</v>
      </c>
      <c r="D107">
        <v>9</v>
      </c>
      <c r="E107">
        <v>117357</v>
      </c>
      <c r="F107">
        <v>114966</v>
      </c>
      <c r="G107">
        <v>390</v>
      </c>
    </row>
    <row r="108" spans="1:7" x14ac:dyDescent="0.3">
      <c r="A108" s="1">
        <v>46054</v>
      </c>
      <c r="B108">
        <v>28</v>
      </c>
      <c r="C108" t="s">
        <v>40</v>
      </c>
      <c r="D108">
        <v>9</v>
      </c>
      <c r="E108">
        <v>103604</v>
      </c>
      <c r="F108">
        <v>101644</v>
      </c>
      <c r="G108">
        <v>983</v>
      </c>
    </row>
    <row r="109" spans="1:7" x14ac:dyDescent="0.3">
      <c r="A109" s="1">
        <v>46082</v>
      </c>
      <c r="B109">
        <v>31</v>
      </c>
      <c r="C109" t="s">
        <v>40</v>
      </c>
      <c r="D109">
        <v>9</v>
      </c>
      <c r="E109">
        <v>96127</v>
      </c>
      <c r="F109">
        <v>94005</v>
      </c>
      <c r="G109">
        <v>351</v>
      </c>
    </row>
    <row r="110" spans="1:7" x14ac:dyDescent="0.3">
      <c r="A110" s="1">
        <v>45748</v>
      </c>
      <c r="B110">
        <v>30</v>
      </c>
      <c r="C110" t="s">
        <v>40</v>
      </c>
      <c r="D110">
        <v>10</v>
      </c>
      <c r="E110">
        <v>258780</v>
      </c>
      <c r="F110">
        <v>250800</v>
      </c>
      <c r="G110">
        <v>760</v>
      </c>
    </row>
    <row r="111" spans="1:7" x14ac:dyDescent="0.3">
      <c r="A111" s="1">
        <v>45778</v>
      </c>
      <c r="B111">
        <v>31</v>
      </c>
      <c r="C111" t="s">
        <v>40</v>
      </c>
      <c r="D111">
        <v>10</v>
      </c>
      <c r="E111">
        <v>714965</v>
      </c>
      <c r="F111">
        <v>695400</v>
      </c>
      <c r="G111">
        <v>747</v>
      </c>
    </row>
    <row r="112" spans="1:7" x14ac:dyDescent="0.3">
      <c r="A112" s="1">
        <v>45809</v>
      </c>
      <c r="B112">
        <v>30</v>
      </c>
      <c r="C112" t="s">
        <v>40</v>
      </c>
      <c r="D112">
        <v>10</v>
      </c>
      <c r="E112">
        <v>1094593</v>
      </c>
      <c r="F112">
        <v>1079100</v>
      </c>
      <c r="G112">
        <v>560</v>
      </c>
    </row>
    <row r="113" spans="1:7" x14ac:dyDescent="0.3">
      <c r="A113" s="1">
        <v>45839</v>
      </c>
      <c r="B113">
        <v>31</v>
      </c>
      <c r="C113" t="s">
        <v>40</v>
      </c>
      <c r="D113">
        <v>10</v>
      </c>
      <c r="E113">
        <v>1264772</v>
      </c>
      <c r="F113">
        <v>1250700</v>
      </c>
      <c r="G113">
        <v>506</v>
      </c>
    </row>
    <row r="114" spans="1:7" x14ac:dyDescent="0.3">
      <c r="A114" s="1">
        <v>45870</v>
      </c>
      <c r="B114">
        <v>31</v>
      </c>
      <c r="C114" t="s">
        <v>40</v>
      </c>
      <c r="D114">
        <v>10</v>
      </c>
      <c r="E114">
        <v>786909</v>
      </c>
      <c r="F114">
        <v>775500</v>
      </c>
      <c r="G114">
        <v>497</v>
      </c>
    </row>
    <row r="115" spans="1:7" x14ac:dyDescent="0.3">
      <c r="A115" s="1">
        <v>45901</v>
      </c>
      <c r="B115">
        <v>30</v>
      </c>
      <c r="C115" t="s">
        <v>40</v>
      </c>
      <c r="D115">
        <v>10</v>
      </c>
      <c r="E115">
        <v>582525</v>
      </c>
      <c r="F115">
        <v>572100</v>
      </c>
      <c r="G115">
        <v>779</v>
      </c>
    </row>
    <row r="116" spans="1:7" x14ac:dyDescent="0.3">
      <c r="A116" s="1">
        <v>45931</v>
      </c>
      <c r="B116">
        <v>31</v>
      </c>
      <c r="C116" t="s">
        <v>40</v>
      </c>
      <c r="D116">
        <v>10</v>
      </c>
      <c r="E116">
        <v>389248</v>
      </c>
      <c r="F116">
        <v>354900</v>
      </c>
      <c r="G116">
        <v>935</v>
      </c>
    </row>
    <row r="117" spans="1:7" x14ac:dyDescent="0.3">
      <c r="A117" s="1">
        <v>45962</v>
      </c>
      <c r="B117">
        <v>30</v>
      </c>
      <c r="C117" t="s">
        <v>40</v>
      </c>
      <c r="D117">
        <v>10</v>
      </c>
      <c r="E117">
        <v>363582</v>
      </c>
      <c r="F117">
        <v>326700</v>
      </c>
      <c r="G117">
        <v>828</v>
      </c>
    </row>
    <row r="118" spans="1:7" x14ac:dyDescent="0.3">
      <c r="A118" s="1">
        <v>45992</v>
      </c>
      <c r="B118">
        <v>31</v>
      </c>
      <c r="C118" t="s">
        <v>40</v>
      </c>
      <c r="D118">
        <v>10</v>
      </c>
      <c r="E118">
        <v>511622</v>
      </c>
      <c r="F118">
        <v>462000</v>
      </c>
      <c r="G118">
        <v>357</v>
      </c>
    </row>
    <row r="119" spans="1:7" x14ac:dyDescent="0.3">
      <c r="A119" s="1">
        <v>46023</v>
      </c>
      <c r="B119">
        <v>31</v>
      </c>
      <c r="C119" t="s">
        <v>40</v>
      </c>
      <c r="D119">
        <v>10</v>
      </c>
      <c r="E119">
        <v>478778</v>
      </c>
      <c r="F119">
        <v>431700</v>
      </c>
      <c r="G119">
        <v>481</v>
      </c>
    </row>
    <row r="120" spans="1:7" x14ac:dyDescent="0.3">
      <c r="A120" s="1">
        <v>46054</v>
      </c>
      <c r="B120">
        <v>28</v>
      </c>
      <c r="C120" t="s">
        <v>40</v>
      </c>
      <c r="D120">
        <v>10</v>
      </c>
      <c r="E120">
        <v>361358</v>
      </c>
      <c r="F120">
        <v>323100</v>
      </c>
      <c r="G120">
        <v>249</v>
      </c>
    </row>
    <row r="121" spans="1:7" x14ac:dyDescent="0.3">
      <c r="A121" s="1">
        <v>46082</v>
      </c>
      <c r="B121">
        <v>31</v>
      </c>
      <c r="C121" t="s">
        <v>40</v>
      </c>
      <c r="D121">
        <v>10</v>
      </c>
      <c r="E121">
        <v>270088</v>
      </c>
      <c r="F121">
        <v>249900</v>
      </c>
      <c r="G121">
        <v>798</v>
      </c>
    </row>
    <row r="122" spans="1:7" x14ac:dyDescent="0.3">
      <c r="A122" s="1">
        <v>45748</v>
      </c>
      <c r="B122">
        <v>30</v>
      </c>
      <c r="C122" t="s">
        <v>40</v>
      </c>
      <c r="D122">
        <v>11</v>
      </c>
      <c r="E122">
        <v>171974</v>
      </c>
      <c r="F122">
        <v>168457</v>
      </c>
      <c r="G122">
        <v>919</v>
      </c>
    </row>
    <row r="123" spans="1:7" x14ac:dyDescent="0.3">
      <c r="A123" s="1">
        <v>45778</v>
      </c>
      <c r="B123">
        <v>31</v>
      </c>
      <c r="C123" t="s">
        <v>40</v>
      </c>
      <c r="D123">
        <v>11</v>
      </c>
      <c r="E123">
        <v>196519</v>
      </c>
      <c r="F123">
        <v>191144</v>
      </c>
      <c r="G123">
        <v>722</v>
      </c>
    </row>
    <row r="124" spans="1:7" x14ac:dyDescent="0.3">
      <c r="A124" s="1">
        <v>45809</v>
      </c>
      <c r="B124">
        <v>30</v>
      </c>
      <c r="C124" t="s">
        <v>40</v>
      </c>
      <c r="D124">
        <v>11</v>
      </c>
      <c r="E124">
        <v>381766</v>
      </c>
      <c r="F124">
        <v>370909</v>
      </c>
      <c r="G124">
        <v>468</v>
      </c>
    </row>
    <row r="125" spans="1:7" x14ac:dyDescent="0.3">
      <c r="A125" s="1">
        <v>45839</v>
      </c>
      <c r="B125">
        <v>31</v>
      </c>
      <c r="C125" t="s">
        <v>40</v>
      </c>
      <c r="D125">
        <v>11</v>
      </c>
      <c r="E125">
        <v>409543</v>
      </c>
      <c r="F125">
        <v>406505</v>
      </c>
      <c r="G125">
        <v>996</v>
      </c>
    </row>
    <row r="126" spans="1:7" x14ac:dyDescent="0.3">
      <c r="A126" s="1">
        <v>45870</v>
      </c>
      <c r="B126">
        <v>31</v>
      </c>
      <c r="C126" t="s">
        <v>40</v>
      </c>
      <c r="D126">
        <v>11</v>
      </c>
      <c r="E126">
        <v>241576</v>
      </c>
      <c r="F126">
        <v>239028</v>
      </c>
      <c r="G126">
        <v>484</v>
      </c>
    </row>
    <row r="127" spans="1:7" x14ac:dyDescent="0.3">
      <c r="A127" s="1">
        <v>45901</v>
      </c>
      <c r="B127">
        <v>30</v>
      </c>
      <c r="C127" t="s">
        <v>40</v>
      </c>
      <c r="D127">
        <v>11</v>
      </c>
      <c r="E127">
        <v>189969</v>
      </c>
      <c r="F127">
        <v>203462</v>
      </c>
      <c r="G127">
        <v>608</v>
      </c>
    </row>
    <row r="128" spans="1:7" x14ac:dyDescent="0.3">
      <c r="A128" s="1">
        <v>45931</v>
      </c>
      <c r="B128">
        <v>31</v>
      </c>
      <c r="C128" t="s">
        <v>40</v>
      </c>
      <c r="D128">
        <v>11</v>
      </c>
      <c r="E128">
        <v>150448</v>
      </c>
      <c r="F128">
        <v>152718</v>
      </c>
      <c r="G128">
        <v>589</v>
      </c>
    </row>
    <row r="129" spans="1:7" x14ac:dyDescent="0.3">
      <c r="A129" s="1">
        <v>45962</v>
      </c>
      <c r="B129">
        <v>30</v>
      </c>
      <c r="C129" t="s">
        <v>40</v>
      </c>
      <c r="D129">
        <v>11</v>
      </c>
      <c r="E129">
        <v>143294</v>
      </c>
      <c r="F129">
        <v>144096</v>
      </c>
      <c r="G129">
        <v>223</v>
      </c>
    </row>
    <row r="130" spans="1:7" x14ac:dyDescent="0.3">
      <c r="A130" s="1">
        <v>45992</v>
      </c>
      <c r="B130">
        <v>31</v>
      </c>
      <c r="C130" t="s">
        <v>40</v>
      </c>
      <c r="D130">
        <v>11</v>
      </c>
      <c r="E130">
        <v>199338</v>
      </c>
      <c r="F130">
        <v>197919</v>
      </c>
      <c r="G130">
        <v>379</v>
      </c>
    </row>
    <row r="131" spans="1:7" x14ac:dyDescent="0.3">
      <c r="A131" s="1">
        <v>46023</v>
      </c>
      <c r="B131">
        <v>31</v>
      </c>
      <c r="C131" t="s">
        <v>40</v>
      </c>
      <c r="D131">
        <v>11</v>
      </c>
      <c r="E131">
        <v>90253</v>
      </c>
      <c r="F131">
        <v>87138</v>
      </c>
      <c r="G131">
        <v>832</v>
      </c>
    </row>
    <row r="132" spans="1:7" x14ac:dyDescent="0.3">
      <c r="A132" s="1">
        <v>46054</v>
      </c>
      <c r="B132">
        <v>28</v>
      </c>
      <c r="C132" t="s">
        <v>40</v>
      </c>
      <c r="D132">
        <v>11</v>
      </c>
      <c r="E132">
        <v>64874</v>
      </c>
      <c r="F132">
        <v>62945</v>
      </c>
      <c r="G132">
        <v>843</v>
      </c>
    </row>
    <row r="133" spans="1:7" x14ac:dyDescent="0.3">
      <c r="A133" s="1">
        <v>46082</v>
      </c>
      <c r="B133">
        <v>31</v>
      </c>
      <c r="C133" t="s">
        <v>40</v>
      </c>
      <c r="D133">
        <v>11</v>
      </c>
      <c r="E133">
        <v>78518</v>
      </c>
      <c r="F133">
        <v>76165</v>
      </c>
      <c r="G133">
        <v>784</v>
      </c>
    </row>
    <row r="134" spans="1:7" x14ac:dyDescent="0.3">
      <c r="A134" s="1">
        <v>45748</v>
      </c>
      <c r="B134">
        <v>30</v>
      </c>
      <c r="C134" t="s">
        <v>40</v>
      </c>
      <c r="D134">
        <v>12</v>
      </c>
      <c r="E134">
        <v>97303</v>
      </c>
      <c r="F134">
        <v>95760</v>
      </c>
      <c r="G134">
        <v>1060</v>
      </c>
    </row>
    <row r="135" spans="1:7" x14ac:dyDescent="0.3">
      <c r="A135" s="1">
        <v>45778</v>
      </c>
      <c r="B135">
        <v>31</v>
      </c>
      <c r="C135" t="s">
        <v>40</v>
      </c>
      <c r="D135">
        <v>12</v>
      </c>
      <c r="E135">
        <v>333321</v>
      </c>
      <c r="F135">
        <v>329640</v>
      </c>
      <c r="G135">
        <v>377</v>
      </c>
    </row>
    <row r="136" spans="1:7" x14ac:dyDescent="0.3">
      <c r="A136" s="1">
        <v>45809</v>
      </c>
      <c r="B136">
        <v>30</v>
      </c>
      <c r="C136" t="s">
        <v>40</v>
      </c>
      <c r="D136">
        <v>12</v>
      </c>
      <c r="E136">
        <v>512447</v>
      </c>
      <c r="F136">
        <v>507120</v>
      </c>
      <c r="G136">
        <v>253</v>
      </c>
    </row>
    <row r="137" spans="1:7" x14ac:dyDescent="0.3">
      <c r="A137" s="1">
        <v>45839</v>
      </c>
      <c r="B137">
        <v>31</v>
      </c>
      <c r="C137" t="s">
        <v>40</v>
      </c>
      <c r="D137">
        <v>12</v>
      </c>
      <c r="E137">
        <v>565152</v>
      </c>
      <c r="F137">
        <v>557640</v>
      </c>
      <c r="G137">
        <v>926</v>
      </c>
    </row>
    <row r="138" spans="1:7" x14ac:dyDescent="0.3">
      <c r="A138" s="1">
        <v>45870</v>
      </c>
      <c r="B138">
        <v>31</v>
      </c>
      <c r="C138" t="s">
        <v>40</v>
      </c>
      <c r="D138">
        <v>12</v>
      </c>
      <c r="E138">
        <v>370267</v>
      </c>
      <c r="F138">
        <v>366120</v>
      </c>
      <c r="G138">
        <v>727</v>
      </c>
    </row>
    <row r="139" spans="1:7" x14ac:dyDescent="0.3">
      <c r="A139" s="1">
        <v>45901</v>
      </c>
      <c r="B139">
        <v>30</v>
      </c>
      <c r="C139" t="s">
        <v>40</v>
      </c>
      <c r="D139">
        <v>12</v>
      </c>
      <c r="E139">
        <v>328380</v>
      </c>
      <c r="F139">
        <v>324480</v>
      </c>
      <c r="G139">
        <v>395</v>
      </c>
    </row>
    <row r="140" spans="1:7" x14ac:dyDescent="0.3">
      <c r="A140" s="1">
        <v>45931</v>
      </c>
      <c r="B140">
        <v>31</v>
      </c>
      <c r="C140" t="s">
        <v>40</v>
      </c>
      <c r="D140">
        <v>12</v>
      </c>
      <c r="E140">
        <v>214405</v>
      </c>
      <c r="F140">
        <v>211560</v>
      </c>
      <c r="G140">
        <v>634</v>
      </c>
    </row>
    <row r="141" spans="1:7" x14ac:dyDescent="0.3">
      <c r="A141" s="1">
        <v>45962</v>
      </c>
      <c r="B141">
        <v>30</v>
      </c>
      <c r="C141" t="s">
        <v>40</v>
      </c>
      <c r="D141">
        <v>12</v>
      </c>
      <c r="E141">
        <v>114972</v>
      </c>
      <c r="F141">
        <v>112920</v>
      </c>
      <c r="G141">
        <v>398</v>
      </c>
    </row>
    <row r="142" spans="1:7" x14ac:dyDescent="0.3">
      <c r="A142" s="1">
        <v>45992</v>
      </c>
      <c r="B142">
        <v>31</v>
      </c>
      <c r="C142" t="s">
        <v>40</v>
      </c>
      <c r="D142">
        <v>12</v>
      </c>
      <c r="E142">
        <v>151310</v>
      </c>
      <c r="F142">
        <v>148800</v>
      </c>
      <c r="G142">
        <v>861</v>
      </c>
    </row>
    <row r="143" spans="1:7" x14ac:dyDescent="0.3">
      <c r="A143" s="1">
        <v>46023</v>
      </c>
      <c r="B143">
        <v>31</v>
      </c>
      <c r="C143" t="s">
        <v>40</v>
      </c>
      <c r="D143">
        <v>12</v>
      </c>
      <c r="E143">
        <v>167433</v>
      </c>
      <c r="F143">
        <v>164880</v>
      </c>
      <c r="G143">
        <v>542</v>
      </c>
    </row>
    <row r="144" spans="1:7" x14ac:dyDescent="0.3">
      <c r="A144" s="1">
        <v>46054</v>
      </c>
      <c r="B144">
        <v>28</v>
      </c>
      <c r="C144" t="s">
        <v>40</v>
      </c>
      <c r="D144">
        <v>12</v>
      </c>
      <c r="E144">
        <v>122785</v>
      </c>
      <c r="F144">
        <v>120840</v>
      </c>
      <c r="G144">
        <v>230</v>
      </c>
    </row>
    <row r="145" spans="1:7" x14ac:dyDescent="0.3">
      <c r="A145" s="1">
        <v>46082</v>
      </c>
      <c r="B145">
        <v>31</v>
      </c>
      <c r="C145" t="s">
        <v>40</v>
      </c>
      <c r="D145">
        <v>12</v>
      </c>
      <c r="E145">
        <v>107521</v>
      </c>
      <c r="F145">
        <v>105720</v>
      </c>
      <c r="G145">
        <v>931</v>
      </c>
    </row>
    <row r="146" spans="1:7" x14ac:dyDescent="0.3">
      <c r="A146" s="1">
        <v>45748</v>
      </c>
      <c r="B146">
        <v>30</v>
      </c>
      <c r="C146" t="s">
        <v>40</v>
      </c>
      <c r="D146">
        <v>13</v>
      </c>
      <c r="E146">
        <v>79898</v>
      </c>
      <c r="F146">
        <v>78720</v>
      </c>
      <c r="G146">
        <v>2205</v>
      </c>
    </row>
    <row r="147" spans="1:7" x14ac:dyDescent="0.3">
      <c r="A147" s="1">
        <v>45778</v>
      </c>
      <c r="B147">
        <v>31</v>
      </c>
      <c r="C147" t="s">
        <v>40</v>
      </c>
      <c r="D147">
        <v>13</v>
      </c>
      <c r="E147">
        <v>303507</v>
      </c>
      <c r="F147">
        <v>300480</v>
      </c>
      <c r="G147">
        <v>3428</v>
      </c>
    </row>
    <row r="148" spans="1:7" x14ac:dyDescent="0.3">
      <c r="A148" s="1">
        <v>45809</v>
      </c>
      <c r="B148">
        <v>30</v>
      </c>
      <c r="C148" t="s">
        <v>40</v>
      </c>
      <c r="D148">
        <v>13</v>
      </c>
      <c r="E148">
        <v>451797</v>
      </c>
      <c r="F148">
        <v>447600</v>
      </c>
      <c r="G148">
        <v>2181</v>
      </c>
    </row>
    <row r="149" spans="1:7" x14ac:dyDescent="0.3">
      <c r="A149" s="1">
        <v>45839</v>
      </c>
      <c r="B149">
        <v>31</v>
      </c>
      <c r="C149" t="s">
        <v>40</v>
      </c>
      <c r="D149">
        <v>13</v>
      </c>
      <c r="E149">
        <v>576227</v>
      </c>
      <c r="F149">
        <v>570960</v>
      </c>
      <c r="G149">
        <v>1953</v>
      </c>
    </row>
    <row r="150" spans="1:7" x14ac:dyDescent="0.3">
      <c r="A150" s="1">
        <v>45870</v>
      </c>
      <c r="B150">
        <v>31</v>
      </c>
      <c r="C150" t="s">
        <v>40</v>
      </c>
      <c r="D150">
        <v>13</v>
      </c>
      <c r="E150">
        <v>334623</v>
      </c>
      <c r="F150">
        <v>331320</v>
      </c>
      <c r="G150">
        <v>2167</v>
      </c>
    </row>
    <row r="151" spans="1:7" x14ac:dyDescent="0.3">
      <c r="A151" s="1">
        <v>45901</v>
      </c>
      <c r="B151">
        <v>30</v>
      </c>
      <c r="C151" t="s">
        <v>40</v>
      </c>
      <c r="D151">
        <v>13</v>
      </c>
      <c r="E151">
        <v>280705</v>
      </c>
      <c r="F151">
        <v>282960</v>
      </c>
      <c r="G151">
        <v>2955</v>
      </c>
    </row>
    <row r="152" spans="1:7" x14ac:dyDescent="0.3">
      <c r="A152" s="1">
        <v>45931</v>
      </c>
      <c r="B152">
        <v>31</v>
      </c>
      <c r="C152" t="s">
        <v>40</v>
      </c>
      <c r="D152">
        <v>13</v>
      </c>
      <c r="E152">
        <v>172176</v>
      </c>
      <c r="F152">
        <v>190920</v>
      </c>
      <c r="G152">
        <v>612</v>
      </c>
    </row>
    <row r="153" spans="1:7" x14ac:dyDescent="0.3">
      <c r="A153" s="1">
        <v>45962</v>
      </c>
      <c r="B153">
        <v>30</v>
      </c>
      <c r="C153" t="s">
        <v>40</v>
      </c>
      <c r="D153">
        <v>13</v>
      </c>
      <c r="E153">
        <v>110067</v>
      </c>
      <c r="F153">
        <v>121920</v>
      </c>
      <c r="G153">
        <v>2319</v>
      </c>
    </row>
    <row r="154" spans="1:7" x14ac:dyDescent="0.3">
      <c r="A154" s="1">
        <v>45992</v>
      </c>
      <c r="B154">
        <v>31</v>
      </c>
      <c r="C154" t="s">
        <v>40</v>
      </c>
      <c r="D154">
        <v>13</v>
      </c>
      <c r="E154">
        <v>169891</v>
      </c>
      <c r="F154">
        <v>188520</v>
      </c>
      <c r="G154">
        <v>2294</v>
      </c>
    </row>
    <row r="155" spans="1:7" x14ac:dyDescent="0.3">
      <c r="A155" s="1">
        <v>46023</v>
      </c>
      <c r="B155">
        <v>31</v>
      </c>
      <c r="C155" t="s">
        <v>40</v>
      </c>
      <c r="D155">
        <v>13</v>
      </c>
      <c r="E155">
        <v>156341</v>
      </c>
      <c r="F155">
        <v>174000</v>
      </c>
      <c r="G155">
        <v>3068</v>
      </c>
    </row>
    <row r="156" spans="1:7" x14ac:dyDescent="0.3">
      <c r="A156" s="1">
        <v>46054</v>
      </c>
      <c r="B156">
        <v>28</v>
      </c>
      <c r="C156" t="s">
        <v>40</v>
      </c>
      <c r="D156">
        <v>13</v>
      </c>
      <c r="E156">
        <v>119286</v>
      </c>
      <c r="F156">
        <v>132240</v>
      </c>
      <c r="G156">
        <v>1544</v>
      </c>
    </row>
    <row r="157" spans="1:7" x14ac:dyDescent="0.3">
      <c r="A157" s="1">
        <v>46082</v>
      </c>
      <c r="B157">
        <v>31</v>
      </c>
      <c r="C157" t="s">
        <v>40</v>
      </c>
      <c r="D157">
        <v>13</v>
      </c>
      <c r="E157">
        <v>92824</v>
      </c>
      <c r="F157">
        <v>92880</v>
      </c>
      <c r="G157">
        <v>3464</v>
      </c>
    </row>
    <row r="158" spans="1:7" x14ac:dyDescent="0.3">
      <c r="A158" s="1">
        <v>45748</v>
      </c>
      <c r="B158">
        <v>30</v>
      </c>
      <c r="C158" t="s">
        <v>40</v>
      </c>
      <c r="D158">
        <v>14</v>
      </c>
      <c r="E158">
        <v>74156</v>
      </c>
      <c r="F158">
        <v>72960</v>
      </c>
      <c r="G158">
        <v>1123</v>
      </c>
    </row>
    <row r="159" spans="1:7" x14ac:dyDescent="0.3">
      <c r="A159" s="1">
        <v>45778</v>
      </c>
      <c r="B159">
        <v>31</v>
      </c>
      <c r="C159" t="s">
        <v>40</v>
      </c>
      <c r="D159">
        <v>14</v>
      </c>
      <c r="E159">
        <v>268448</v>
      </c>
      <c r="F159">
        <v>265800</v>
      </c>
      <c r="G159">
        <v>3835</v>
      </c>
    </row>
    <row r="160" spans="1:7" x14ac:dyDescent="0.3">
      <c r="A160" s="1">
        <v>45809</v>
      </c>
      <c r="B160">
        <v>30</v>
      </c>
      <c r="C160" t="s">
        <v>40</v>
      </c>
      <c r="D160">
        <v>14</v>
      </c>
      <c r="E160">
        <v>440627</v>
      </c>
      <c r="F160">
        <v>436680</v>
      </c>
      <c r="G160">
        <v>3973</v>
      </c>
    </row>
    <row r="161" spans="1:7" x14ac:dyDescent="0.3">
      <c r="A161" s="1">
        <v>45839</v>
      </c>
      <c r="B161">
        <v>31</v>
      </c>
      <c r="C161" t="s">
        <v>40</v>
      </c>
      <c r="D161">
        <v>14</v>
      </c>
      <c r="E161">
        <v>548812</v>
      </c>
      <c r="F161">
        <v>543960</v>
      </c>
      <c r="G161">
        <v>3017</v>
      </c>
    </row>
    <row r="162" spans="1:7" x14ac:dyDescent="0.3">
      <c r="A162" s="1">
        <v>45870</v>
      </c>
      <c r="B162">
        <v>31</v>
      </c>
      <c r="C162" t="s">
        <v>40</v>
      </c>
      <c r="D162">
        <v>14</v>
      </c>
      <c r="E162">
        <v>317894</v>
      </c>
      <c r="F162">
        <v>314760</v>
      </c>
      <c r="G162">
        <v>3753</v>
      </c>
    </row>
    <row r="163" spans="1:7" x14ac:dyDescent="0.3">
      <c r="A163" s="1">
        <v>45901</v>
      </c>
      <c r="B163">
        <v>30</v>
      </c>
      <c r="C163" t="s">
        <v>40</v>
      </c>
      <c r="D163">
        <v>14</v>
      </c>
      <c r="E163">
        <v>297333</v>
      </c>
      <c r="F163">
        <v>293880</v>
      </c>
      <c r="G163">
        <v>1259</v>
      </c>
    </row>
    <row r="164" spans="1:7" x14ac:dyDescent="0.3">
      <c r="A164" s="1">
        <v>45931</v>
      </c>
      <c r="B164">
        <v>31</v>
      </c>
      <c r="C164" t="s">
        <v>40</v>
      </c>
      <c r="D164">
        <v>14</v>
      </c>
      <c r="E164">
        <v>162441</v>
      </c>
      <c r="F164">
        <v>160320</v>
      </c>
      <c r="G164">
        <v>353</v>
      </c>
    </row>
    <row r="165" spans="1:7" x14ac:dyDescent="0.3">
      <c r="A165" s="1">
        <v>45962</v>
      </c>
      <c r="B165">
        <v>30</v>
      </c>
      <c r="C165" t="s">
        <v>40</v>
      </c>
      <c r="D165">
        <v>14</v>
      </c>
      <c r="E165">
        <v>82963</v>
      </c>
      <c r="F165">
        <v>81600</v>
      </c>
      <c r="G165">
        <v>475</v>
      </c>
    </row>
    <row r="166" spans="1:7" x14ac:dyDescent="0.3">
      <c r="A166" s="1">
        <v>45992</v>
      </c>
      <c r="B166">
        <v>31</v>
      </c>
      <c r="C166" t="s">
        <v>40</v>
      </c>
      <c r="D166">
        <v>14</v>
      </c>
      <c r="E166">
        <v>122817</v>
      </c>
      <c r="F166">
        <v>120960</v>
      </c>
      <c r="G166">
        <v>964</v>
      </c>
    </row>
    <row r="167" spans="1:7" x14ac:dyDescent="0.3">
      <c r="A167" s="1">
        <v>46023</v>
      </c>
      <c r="B167">
        <v>31</v>
      </c>
      <c r="C167" t="s">
        <v>40</v>
      </c>
      <c r="D167">
        <v>14</v>
      </c>
      <c r="E167">
        <v>131967</v>
      </c>
      <c r="F167">
        <v>130320</v>
      </c>
      <c r="G167">
        <v>2375</v>
      </c>
    </row>
    <row r="168" spans="1:7" x14ac:dyDescent="0.3">
      <c r="A168" s="1">
        <v>46054</v>
      </c>
      <c r="B168">
        <v>28</v>
      </c>
      <c r="C168" t="s">
        <v>40</v>
      </c>
      <c r="D168">
        <v>14</v>
      </c>
      <c r="E168">
        <v>94547</v>
      </c>
      <c r="F168">
        <v>93240</v>
      </c>
      <c r="G168">
        <v>1822</v>
      </c>
    </row>
    <row r="169" spans="1:7" x14ac:dyDescent="0.3">
      <c r="A169" s="1">
        <v>46082</v>
      </c>
      <c r="B169">
        <v>31</v>
      </c>
      <c r="C169" t="s">
        <v>40</v>
      </c>
      <c r="D169">
        <v>14</v>
      </c>
      <c r="E169">
        <v>79458</v>
      </c>
      <c r="F169">
        <v>78120</v>
      </c>
      <c r="G169">
        <v>505</v>
      </c>
    </row>
    <row r="170" spans="1:7" x14ac:dyDescent="0.3">
      <c r="A170" s="1">
        <v>45748</v>
      </c>
      <c r="B170">
        <v>30</v>
      </c>
      <c r="C170" t="s">
        <v>40</v>
      </c>
      <c r="D170">
        <v>15</v>
      </c>
      <c r="E170">
        <v>65681</v>
      </c>
      <c r="F170">
        <v>65022</v>
      </c>
      <c r="G170">
        <v>666</v>
      </c>
    </row>
    <row r="171" spans="1:7" x14ac:dyDescent="0.3">
      <c r="A171" s="1">
        <v>45778</v>
      </c>
      <c r="B171">
        <v>31</v>
      </c>
      <c r="C171" t="s">
        <v>40</v>
      </c>
      <c r="D171">
        <v>15</v>
      </c>
      <c r="E171">
        <v>410674</v>
      </c>
      <c r="F171">
        <v>413562</v>
      </c>
      <c r="G171">
        <v>736</v>
      </c>
    </row>
    <row r="172" spans="1:7" x14ac:dyDescent="0.3">
      <c r="A172" s="1">
        <v>45809</v>
      </c>
      <c r="B172">
        <v>30</v>
      </c>
      <c r="C172" t="s">
        <v>40</v>
      </c>
      <c r="D172">
        <v>15</v>
      </c>
      <c r="E172">
        <v>693305</v>
      </c>
      <c r="F172">
        <v>698968</v>
      </c>
      <c r="G172">
        <v>919</v>
      </c>
    </row>
    <row r="173" spans="1:7" x14ac:dyDescent="0.3">
      <c r="A173" s="1">
        <v>45839</v>
      </c>
      <c r="B173">
        <v>31</v>
      </c>
      <c r="C173" t="s">
        <v>40</v>
      </c>
      <c r="D173">
        <v>15</v>
      </c>
      <c r="E173">
        <v>776700</v>
      </c>
      <c r="F173">
        <v>774886</v>
      </c>
      <c r="G173">
        <v>222</v>
      </c>
    </row>
    <row r="174" spans="1:7" x14ac:dyDescent="0.3">
      <c r="A174" s="1">
        <v>45870</v>
      </c>
      <c r="B174">
        <v>31</v>
      </c>
      <c r="C174" t="s">
        <v>40</v>
      </c>
      <c r="D174">
        <v>15</v>
      </c>
      <c r="E174">
        <v>555312</v>
      </c>
      <c r="F174">
        <v>553290</v>
      </c>
      <c r="G174">
        <v>993</v>
      </c>
    </row>
    <row r="175" spans="1:7" x14ac:dyDescent="0.3">
      <c r="A175" s="1">
        <v>45901</v>
      </c>
      <c r="B175">
        <v>30</v>
      </c>
      <c r="C175" t="s">
        <v>40</v>
      </c>
      <c r="D175">
        <v>15</v>
      </c>
      <c r="E175">
        <v>538512</v>
      </c>
      <c r="F175">
        <v>535034</v>
      </c>
      <c r="G175">
        <v>680</v>
      </c>
    </row>
    <row r="176" spans="1:7" x14ac:dyDescent="0.3">
      <c r="A176" s="1">
        <v>45931</v>
      </c>
      <c r="B176">
        <v>31</v>
      </c>
      <c r="C176" t="s">
        <v>40</v>
      </c>
      <c r="D176">
        <v>15</v>
      </c>
      <c r="E176">
        <v>182395</v>
      </c>
      <c r="F176">
        <v>180214</v>
      </c>
      <c r="G176">
        <v>928</v>
      </c>
    </row>
    <row r="177" spans="1:7" x14ac:dyDescent="0.3">
      <c r="A177" s="1">
        <v>45962</v>
      </c>
      <c r="B177">
        <v>30</v>
      </c>
      <c r="C177" t="s">
        <v>40</v>
      </c>
      <c r="D177">
        <v>15</v>
      </c>
      <c r="E177">
        <v>64982</v>
      </c>
      <c r="F177">
        <v>62608</v>
      </c>
      <c r="G177">
        <v>738</v>
      </c>
    </row>
    <row r="178" spans="1:7" x14ac:dyDescent="0.3">
      <c r="A178" s="1">
        <v>45992</v>
      </c>
      <c r="B178">
        <v>31</v>
      </c>
      <c r="C178" t="s">
        <v>40</v>
      </c>
      <c r="D178">
        <v>15</v>
      </c>
      <c r="E178">
        <v>46591</v>
      </c>
      <c r="F178">
        <v>44072</v>
      </c>
      <c r="G178">
        <v>963</v>
      </c>
    </row>
    <row r="179" spans="1:7" x14ac:dyDescent="0.3">
      <c r="A179" s="1">
        <v>46023</v>
      </c>
      <c r="B179">
        <v>31</v>
      </c>
      <c r="C179" t="s">
        <v>40</v>
      </c>
      <c r="D179">
        <v>15</v>
      </c>
      <c r="E179">
        <v>53796</v>
      </c>
      <c r="F179">
        <v>51382</v>
      </c>
      <c r="G179">
        <v>439</v>
      </c>
    </row>
    <row r="180" spans="1:7" x14ac:dyDescent="0.3">
      <c r="A180" s="1">
        <v>46054</v>
      </c>
      <c r="B180">
        <v>28</v>
      </c>
      <c r="C180" t="s">
        <v>40</v>
      </c>
      <c r="D180">
        <v>15</v>
      </c>
      <c r="E180">
        <v>46699</v>
      </c>
      <c r="F180">
        <v>44156</v>
      </c>
      <c r="G180">
        <v>893</v>
      </c>
    </row>
    <row r="181" spans="1:7" x14ac:dyDescent="0.3">
      <c r="A181" s="1">
        <v>46082</v>
      </c>
      <c r="B181">
        <v>31</v>
      </c>
      <c r="C181" t="s">
        <v>40</v>
      </c>
      <c r="D181">
        <v>15</v>
      </c>
      <c r="E181">
        <v>38273</v>
      </c>
      <c r="F181">
        <v>35926</v>
      </c>
      <c r="G181">
        <v>306</v>
      </c>
    </row>
    <row r="182" spans="1:7" x14ac:dyDescent="0.3">
      <c r="A182" s="1">
        <v>45748</v>
      </c>
      <c r="B182">
        <v>30</v>
      </c>
      <c r="C182" t="s">
        <v>40</v>
      </c>
      <c r="D182">
        <v>16</v>
      </c>
      <c r="E182">
        <v>73091</v>
      </c>
      <c r="F182">
        <v>71310</v>
      </c>
      <c r="G182">
        <v>1565</v>
      </c>
    </row>
    <row r="183" spans="1:7" x14ac:dyDescent="0.3">
      <c r="A183" s="1">
        <v>45778</v>
      </c>
      <c r="B183">
        <v>31</v>
      </c>
      <c r="C183" t="s">
        <v>40</v>
      </c>
      <c r="D183">
        <v>16</v>
      </c>
      <c r="E183">
        <v>428322</v>
      </c>
      <c r="F183">
        <v>426274</v>
      </c>
      <c r="G183">
        <v>1655</v>
      </c>
    </row>
    <row r="184" spans="1:7" x14ac:dyDescent="0.3">
      <c r="A184" s="1">
        <v>45809</v>
      </c>
      <c r="B184">
        <v>30</v>
      </c>
      <c r="C184" t="s">
        <v>40</v>
      </c>
      <c r="D184">
        <v>16</v>
      </c>
      <c r="E184">
        <v>727064</v>
      </c>
      <c r="F184">
        <v>725368</v>
      </c>
      <c r="G184">
        <v>3253</v>
      </c>
    </row>
    <row r="185" spans="1:7" x14ac:dyDescent="0.3">
      <c r="A185" s="1">
        <v>45839</v>
      </c>
      <c r="B185">
        <v>31</v>
      </c>
      <c r="C185" t="s">
        <v>40</v>
      </c>
      <c r="D185">
        <v>16</v>
      </c>
      <c r="E185">
        <v>805352</v>
      </c>
      <c r="F185">
        <v>806478</v>
      </c>
      <c r="G185">
        <v>2552</v>
      </c>
    </row>
    <row r="186" spans="1:7" x14ac:dyDescent="0.3">
      <c r="A186" s="1">
        <v>45870</v>
      </c>
      <c r="B186">
        <v>31</v>
      </c>
      <c r="C186" t="s">
        <v>40</v>
      </c>
      <c r="D186">
        <v>16</v>
      </c>
      <c r="E186">
        <v>580775</v>
      </c>
      <c r="F186">
        <v>581134</v>
      </c>
      <c r="G186">
        <v>1660</v>
      </c>
    </row>
    <row r="187" spans="1:7" x14ac:dyDescent="0.3">
      <c r="A187" s="1">
        <v>45901</v>
      </c>
      <c r="B187">
        <v>30</v>
      </c>
      <c r="C187" t="s">
        <v>40</v>
      </c>
      <c r="D187">
        <v>16</v>
      </c>
      <c r="E187">
        <v>567000</v>
      </c>
      <c r="F187">
        <v>567424</v>
      </c>
      <c r="G187">
        <v>2327</v>
      </c>
    </row>
    <row r="188" spans="1:7" x14ac:dyDescent="0.3">
      <c r="A188" s="1">
        <v>45931</v>
      </c>
      <c r="B188">
        <v>31</v>
      </c>
      <c r="C188" t="s">
        <v>40</v>
      </c>
      <c r="D188">
        <v>16</v>
      </c>
      <c r="E188">
        <v>191935</v>
      </c>
      <c r="F188">
        <v>190720</v>
      </c>
      <c r="G188">
        <v>2312</v>
      </c>
    </row>
    <row r="189" spans="1:7" x14ac:dyDescent="0.3">
      <c r="A189" s="1">
        <v>45962</v>
      </c>
      <c r="B189">
        <v>30</v>
      </c>
      <c r="C189" t="s">
        <v>40</v>
      </c>
      <c r="D189">
        <v>16</v>
      </c>
      <c r="E189">
        <v>67539</v>
      </c>
      <c r="F189">
        <v>65346</v>
      </c>
      <c r="G189">
        <v>1549</v>
      </c>
    </row>
    <row r="190" spans="1:7" x14ac:dyDescent="0.3">
      <c r="A190" s="1">
        <v>45992</v>
      </c>
      <c r="B190">
        <v>31</v>
      </c>
      <c r="C190" t="s">
        <v>40</v>
      </c>
      <c r="D190">
        <v>16</v>
      </c>
      <c r="E190">
        <v>53908</v>
      </c>
      <c r="F190">
        <v>51492</v>
      </c>
      <c r="G190">
        <v>2529</v>
      </c>
    </row>
    <row r="191" spans="1:7" x14ac:dyDescent="0.3">
      <c r="A191" s="1">
        <v>46023</v>
      </c>
      <c r="B191">
        <v>31</v>
      </c>
      <c r="C191" t="s">
        <v>40</v>
      </c>
      <c r="D191">
        <v>16</v>
      </c>
      <c r="E191">
        <v>55229</v>
      </c>
      <c r="F191">
        <v>52996</v>
      </c>
      <c r="G191">
        <v>407</v>
      </c>
    </row>
    <row r="192" spans="1:7" x14ac:dyDescent="0.3">
      <c r="A192" s="1">
        <v>46054</v>
      </c>
      <c r="B192">
        <v>28</v>
      </c>
      <c r="C192" t="s">
        <v>40</v>
      </c>
      <c r="D192">
        <v>16</v>
      </c>
      <c r="E192">
        <v>48371</v>
      </c>
      <c r="F192">
        <v>46190</v>
      </c>
      <c r="G192">
        <v>2598</v>
      </c>
    </row>
    <row r="193" spans="1:7" x14ac:dyDescent="0.3">
      <c r="A193" s="1">
        <v>46082</v>
      </c>
      <c r="B193">
        <v>31</v>
      </c>
      <c r="C193" t="s">
        <v>40</v>
      </c>
      <c r="D193">
        <v>16</v>
      </c>
      <c r="E193">
        <v>36737</v>
      </c>
      <c r="F193">
        <v>34570</v>
      </c>
      <c r="G193">
        <v>3388</v>
      </c>
    </row>
    <row r="194" spans="1:7" x14ac:dyDescent="0.3">
      <c r="A194" s="1">
        <v>45748</v>
      </c>
      <c r="B194">
        <v>30</v>
      </c>
      <c r="C194" t="s">
        <v>40</v>
      </c>
      <c r="D194">
        <v>17</v>
      </c>
      <c r="E194">
        <v>63668</v>
      </c>
      <c r="F194">
        <v>64986</v>
      </c>
      <c r="G194">
        <v>203</v>
      </c>
    </row>
    <row r="195" spans="1:7" x14ac:dyDescent="0.3">
      <c r="A195" s="1">
        <v>45778</v>
      </c>
      <c r="B195">
        <v>31</v>
      </c>
      <c r="C195" t="s">
        <v>40</v>
      </c>
      <c r="D195">
        <v>17</v>
      </c>
      <c r="E195">
        <v>409122</v>
      </c>
      <c r="F195">
        <v>420252</v>
      </c>
      <c r="G195">
        <v>1122</v>
      </c>
    </row>
    <row r="196" spans="1:7" x14ac:dyDescent="0.3">
      <c r="A196" s="1">
        <v>45809</v>
      </c>
      <c r="B196">
        <v>30</v>
      </c>
      <c r="C196" t="s">
        <v>40</v>
      </c>
      <c r="D196">
        <v>17</v>
      </c>
      <c r="E196">
        <v>700960</v>
      </c>
      <c r="F196">
        <v>711634</v>
      </c>
      <c r="G196">
        <v>2381</v>
      </c>
    </row>
    <row r="197" spans="1:7" x14ac:dyDescent="0.3">
      <c r="A197" s="1">
        <v>45839</v>
      </c>
      <c r="B197">
        <v>31</v>
      </c>
      <c r="C197" t="s">
        <v>40</v>
      </c>
      <c r="D197">
        <v>17</v>
      </c>
      <c r="E197">
        <v>801871</v>
      </c>
      <c r="F197">
        <v>815826</v>
      </c>
      <c r="G197">
        <v>1593</v>
      </c>
    </row>
    <row r="198" spans="1:7" x14ac:dyDescent="0.3">
      <c r="A198" s="1">
        <v>45870</v>
      </c>
      <c r="B198">
        <v>31</v>
      </c>
      <c r="C198" t="s">
        <v>40</v>
      </c>
      <c r="D198">
        <v>17</v>
      </c>
      <c r="E198">
        <v>568713</v>
      </c>
      <c r="F198">
        <v>568096</v>
      </c>
      <c r="G198">
        <v>2299</v>
      </c>
    </row>
    <row r="199" spans="1:7" x14ac:dyDescent="0.3">
      <c r="A199" s="1">
        <v>45901</v>
      </c>
      <c r="B199">
        <v>30</v>
      </c>
      <c r="C199" t="s">
        <v>40</v>
      </c>
      <c r="D199">
        <v>17</v>
      </c>
      <c r="E199">
        <v>519121</v>
      </c>
      <c r="F199">
        <v>517522</v>
      </c>
      <c r="G199">
        <v>2870</v>
      </c>
    </row>
    <row r="200" spans="1:7" x14ac:dyDescent="0.3">
      <c r="A200" s="1">
        <v>45931</v>
      </c>
      <c r="B200">
        <v>31</v>
      </c>
      <c r="C200" t="s">
        <v>40</v>
      </c>
      <c r="D200">
        <v>17</v>
      </c>
      <c r="E200">
        <v>184179</v>
      </c>
      <c r="F200">
        <v>182192</v>
      </c>
      <c r="G200">
        <v>3395</v>
      </c>
    </row>
    <row r="201" spans="1:7" x14ac:dyDescent="0.3">
      <c r="A201" s="1">
        <v>45962</v>
      </c>
      <c r="B201">
        <v>30</v>
      </c>
      <c r="C201" t="s">
        <v>40</v>
      </c>
      <c r="D201">
        <v>17</v>
      </c>
      <c r="E201">
        <v>72612</v>
      </c>
      <c r="F201">
        <v>70412</v>
      </c>
      <c r="G201">
        <v>207</v>
      </c>
    </row>
    <row r="202" spans="1:7" x14ac:dyDescent="0.3">
      <c r="A202" s="1">
        <v>45992</v>
      </c>
      <c r="B202">
        <v>31</v>
      </c>
      <c r="C202" t="s">
        <v>40</v>
      </c>
      <c r="D202">
        <v>17</v>
      </c>
      <c r="E202">
        <v>53654</v>
      </c>
      <c r="F202">
        <v>51260</v>
      </c>
      <c r="G202">
        <v>967</v>
      </c>
    </row>
    <row r="203" spans="1:7" x14ac:dyDescent="0.3">
      <c r="A203" s="1">
        <v>46023</v>
      </c>
      <c r="B203">
        <v>31</v>
      </c>
      <c r="C203" t="s">
        <v>40</v>
      </c>
      <c r="D203">
        <v>17</v>
      </c>
      <c r="E203">
        <v>69259</v>
      </c>
      <c r="F203">
        <v>66704</v>
      </c>
      <c r="G203">
        <v>3764</v>
      </c>
    </row>
    <row r="204" spans="1:7" x14ac:dyDescent="0.3">
      <c r="A204" s="1">
        <v>46054</v>
      </c>
      <c r="B204">
        <v>28</v>
      </c>
      <c r="C204" t="s">
        <v>40</v>
      </c>
      <c r="D204">
        <v>17</v>
      </c>
      <c r="E204">
        <v>51832</v>
      </c>
      <c r="F204">
        <v>49396</v>
      </c>
      <c r="G204">
        <v>3561</v>
      </c>
    </row>
    <row r="205" spans="1:7" x14ac:dyDescent="0.3">
      <c r="A205" s="1">
        <v>46082</v>
      </c>
      <c r="B205">
        <v>31</v>
      </c>
      <c r="C205" t="s">
        <v>40</v>
      </c>
      <c r="D205">
        <v>17</v>
      </c>
      <c r="E205">
        <v>40449</v>
      </c>
      <c r="F205">
        <v>38300</v>
      </c>
      <c r="G205">
        <v>371</v>
      </c>
    </row>
    <row r="206" spans="1:7" x14ac:dyDescent="0.3">
      <c r="A206" s="1">
        <v>45748</v>
      </c>
      <c r="B206">
        <v>30</v>
      </c>
      <c r="C206" t="s">
        <v>40</v>
      </c>
      <c r="D206">
        <v>18</v>
      </c>
      <c r="E206">
        <v>73049</v>
      </c>
      <c r="F206">
        <v>70940</v>
      </c>
      <c r="G206">
        <v>0</v>
      </c>
    </row>
    <row r="207" spans="1:7" x14ac:dyDescent="0.3">
      <c r="A207" s="1">
        <v>45778</v>
      </c>
      <c r="B207">
        <v>31</v>
      </c>
      <c r="C207" t="s">
        <v>40</v>
      </c>
      <c r="D207">
        <v>18</v>
      </c>
      <c r="E207">
        <v>154355</v>
      </c>
      <c r="F207">
        <v>150951</v>
      </c>
      <c r="G207">
        <v>0</v>
      </c>
    </row>
    <row r="208" spans="1:7" x14ac:dyDescent="0.3">
      <c r="A208" s="1">
        <v>45809</v>
      </c>
      <c r="B208">
        <v>30</v>
      </c>
      <c r="C208" t="s">
        <v>40</v>
      </c>
      <c r="D208">
        <v>18</v>
      </c>
      <c r="E208">
        <v>306695</v>
      </c>
      <c r="F208">
        <v>300171</v>
      </c>
      <c r="G208">
        <v>0</v>
      </c>
    </row>
    <row r="209" spans="1:7" x14ac:dyDescent="0.3">
      <c r="A209" s="1">
        <v>45839</v>
      </c>
      <c r="B209">
        <v>31</v>
      </c>
      <c r="C209" t="s">
        <v>40</v>
      </c>
      <c r="D209">
        <v>18</v>
      </c>
      <c r="E209">
        <v>438606</v>
      </c>
      <c r="F209">
        <v>430253</v>
      </c>
      <c r="G209">
        <v>0</v>
      </c>
    </row>
    <row r="210" spans="1:7" x14ac:dyDescent="0.3">
      <c r="A210" s="1">
        <v>45870</v>
      </c>
      <c r="B210">
        <v>31</v>
      </c>
      <c r="C210" t="s">
        <v>40</v>
      </c>
      <c r="D210">
        <v>18</v>
      </c>
      <c r="E210">
        <v>406878</v>
      </c>
      <c r="F210">
        <v>398629</v>
      </c>
      <c r="G210">
        <v>0</v>
      </c>
    </row>
    <row r="211" spans="1:7" x14ac:dyDescent="0.3">
      <c r="A211" s="1">
        <v>45901</v>
      </c>
      <c r="B211">
        <v>30</v>
      </c>
      <c r="C211" t="s">
        <v>40</v>
      </c>
      <c r="D211">
        <v>18</v>
      </c>
      <c r="E211">
        <v>248114</v>
      </c>
      <c r="F211">
        <v>243049</v>
      </c>
      <c r="G211">
        <v>0</v>
      </c>
    </row>
    <row r="212" spans="1:7" x14ac:dyDescent="0.3">
      <c r="A212" s="1">
        <v>45931</v>
      </c>
      <c r="B212">
        <v>31</v>
      </c>
      <c r="C212" t="s">
        <v>40</v>
      </c>
      <c r="D212">
        <v>18</v>
      </c>
      <c r="E212">
        <v>134565</v>
      </c>
      <c r="F212">
        <v>131227</v>
      </c>
      <c r="G212">
        <v>0</v>
      </c>
    </row>
    <row r="213" spans="1:7" x14ac:dyDescent="0.3">
      <c r="A213" s="1">
        <v>45962</v>
      </c>
      <c r="B213">
        <v>30</v>
      </c>
      <c r="C213" t="s">
        <v>40</v>
      </c>
      <c r="D213">
        <v>18</v>
      </c>
      <c r="E213">
        <v>118513</v>
      </c>
      <c r="F213">
        <v>115746</v>
      </c>
      <c r="G213">
        <v>0</v>
      </c>
    </row>
    <row r="214" spans="1:7" x14ac:dyDescent="0.3">
      <c r="A214" s="1">
        <v>45992</v>
      </c>
      <c r="B214">
        <v>31</v>
      </c>
      <c r="C214" t="s">
        <v>40</v>
      </c>
      <c r="D214">
        <v>18</v>
      </c>
      <c r="E214">
        <v>194705</v>
      </c>
      <c r="F214">
        <v>191232</v>
      </c>
      <c r="G214">
        <v>0</v>
      </c>
    </row>
    <row r="215" spans="1:7" x14ac:dyDescent="0.3">
      <c r="A215" s="1">
        <v>46023</v>
      </c>
      <c r="B215">
        <v>31</v>
      </c>
      <c r="C215" t="s">
        <v>40</v>
      </c>
      <c r="D215">
        <v>18</v>
      </c>
      <c r="E215">
        <v>64339</v>
      </c>
      <c r="F215">
        <v>61840</v>
      </c>
      <c r="G215">
        <v>0</v>
      </c>
    </row>
    <row r="216" spans="1:7" x14ac:dyDescent="0.3">
      <c r="A216" s="1">
        <v>46054</v>
      </c>
      <c r="B216">
        <v>28</v>
      </c>
      <c r="C216" t="s">
        <v>40</v>
      </c>
      <c r="D216">
        <v>18</v>
      </c>
      <c r="E216">
        <v>43925</v>
      </c>
      <c r="F216">
        <v>42031</v>
      </c>
      <c r="G216">
        <v>0</v>
      </c>
    </row>
    <row r="217" spans="1:7" x14ac:dyDescent="0.3">
      <c r="A217" s="1">
        <v>46082</v>
      </c>
      <c r="B217">
        <v>31</v>
      </c>
      <c r="C217" t="s">
        <v>40</v>
      </c>
      <c r="D217">
        <v>18</v>
      </c>
      <c r="E217">
        <v>61228</v>
      </c>
      <c r="F217">
        <v>58870</v>
      </c>
      <c r="G217">
        <v>0</v>
      </c>
    </row>
    <row r="218" spans="1:7" x14ac:dyDescent="0.3">
      <c r="A218" s="1">
        <v>45748</v>
      </c>
      <c r="B218">
        <v>30</v>
      </c>
      <c r="C218" t="s">
        <v>40</v>
      </c>
      <c r="D218">
        <v>19</v>
      </c>
      <c r="E218">
        <v>144094</v>
      </c>
      <c r="F218">
        <v>150910</v>
      </c>
      <c r="G218">
        <v>0</v>
      </c>
    </row>
    <row r="219" spans="1:7" x14ac:dyDescent="0.3">
      <c r="A219" s="1">
        <v>45778</v>
      </c>
      <c r="B219">
        <v>31</v>
      </c>
      <c r="C219" t="s">
        <v>40</v>
      </c>
      <c r="D219">
        <v>19</v>
      </c>
      <c r="E219">
        <v>289033</v>
      </c>
      <c r="F219">
        <v>297003</v>
      </c>
      <c r="G219">
        <v>0</v>
      </c>
    </row>
    <row r="220" spans="1:7" x14ac:dyDescent="0.3">
      <c r="A220" s="1">
        <v>45809</v>
      </c>
      <c r="B220">
        <v>30</v>
      </c>
      <c r="C220" t="s">
        <v>40</v>
      </c>
      <c r="D220">
        <v>19</v>
      </c>
      <c r="E220">
        <v>896088</v>
      </c>
      <c r="F220">
        <v>912130</v>
      </c>
      <c r="G220">
        <v>0</v>
      </c>
    </row>
    <row r="221" spans="1:7" x14ac:dyDescent="0.3">
      <c r="A221" s="1">
        <v>45839</v>
      </c>
      <c r="B221">
        <v>31</v>
      </c>
      <c r="C221" t="s">
        <v>40</v>
      </c>
      <c r="D221">
        <v>19</v>
      </c>
      <c r="E221">
        <v>1143510</v>
      </c>
      <c r="F221">
        <v>1162156</v>
      </c>
      <c r="G221">
        <v>0</v>
      </c>
    </row>
    <row r="222" spans="1:7" x14ac:dyDescent="0.3">
      <c r="A222" s="1">
        <v>45870</v>
      </c>
      <c r="B222">
        <v>31</v>
      </c>
      <c r="C222" t="s">
        <v>40</v>
      </c>
      <c r="D222">
        <v>19</v>
      </c>
      <c r="E222">
        <v>712766</v>
      </c>
      <c r="F222">
        <v>725434</v>
      </c>
      <c r="G222">
        <v>0</v>
      </c>
    </row>
    <row r="223" spans="1:7" x14ac:dyDescent="0.3">
      <c r="A223" s="1">
        <v>45901</v>
      </c>
      <c r="B223">
        <v>30</v>
      </c>
      <c r="C223" t="s">
        <v>40</v>
      </c>
      <c r="D223">
        <v>19</v>
      </c>
      <c r="E223">
        <v>413154</v>
      </c>
      <c r="F223">
        <v>422571</v>
      </c>
      <c r="G223">
        <v>0</v>
      </c>
    </row>
    <row r="224" spans="1:7" x14ac:dyDescent="0.3">
      <c r="A224" s="1">
        <v>45931</v>
      </c>
      <c r="B224">
        <v>31</v>
      </c>
      <c r="C224" t="s">
        <v>40</v>
      </c>
      <c r="D224">
        <v>19</v>
      </c>
      <c r="E224">
        <v>234365</v>
      </c>
      <c r="F224">
        <v>241172</v>
      </c>
      <c r="G224">
        <v>0</v>
      </c>
    </row>
    <row r="225" spans="1:7" x14ac:dyDescent="0.3">
      <c r="A225" s="1">
        <v>45962</v>
      </c>
      <c r="B225">
        <v>30</v>
      </c>
      <c r="C225" t="s">
        <v>40</v>
      </c>
      <c r="D225">
        <v>19</v>
      </c>
      <c r="E225">
        <v>230171</v>
      </c>
      <c r="F225">
        <v>236136</v>
      </c>
      <c r="G225">
        <v>0</v>
      </c>
    </row>
    <row r="226" spans="1:7" x14ac:dyDescent="0.3">
      <c r="A226" s="1">
        <v>45992</v>
      </c>
      <c r="B226">
        <v>31</v>
      </c>
      <c r="C226" t="s">
        <v>40</v>
      </c>
      <c r="D226">
        <v>19</v>
      </c>
      <c r="E226">
        <v>364063</v>
      </c>
      <c r="F226">
        <v>370684</v>
      </c>
      <c r="G226">
        <v>0</v>
      </c>
    </row>
    <row r="227" spans="1:7" x14ac:dyDescent="0.3">
      <c r="A227" s="1">
        <v>46023</v>
      </c>
      <c r="B227">
        <v>31</v>
      </c>
      <c r="C227" t="s">
        <v>40</v>
      </c>
      <c r="D227">
        <v>19</v>
      </c>
      <c r="E227">
        <v>138437</v>
      </c>
      <c r="F227">
        <v>144683</v>
      </c>
      <c r="G227">
        <v>0</v>
      </c>
    </row>
    <row r="228" spans="1:7" x14ac:dyDescent="0.3">
      <c r="A228" s="1">
        <v>46054</v>
      </c>
      <c r="B228">
        <v>28</v>
      </c>
      <c r="C228" t="s">
        <v>40</v>
      </c>
      <c r="D228">
        <v>19</v>
      </c>
      <c r="E228">
        <v>94205</v>
      </c>
      <c r="F228">
        <v>100234</v>
      </c>
      <c r="G228">
        <v>0</v>
      </c>
    </row>
    <row r="229" spans="1:7" x14ac:dyDescent="0.3">
      <c r="A229" s="1">
        <v>46082</v>
      </c>
      <c r="B229">
        <v>31</v>
      </c>
      <c r="C229" t="s">
        <v>40</v>
      </c>
      <c r="D229">
        <v>19</v>
      </c>
      <c r="E229">
        <v>120404</v>
      </c>
      <c r="F229">
        <v>126585</v>
      </c>
      <c r="G229">
        <v>0</v>
      </c>
    </row>
    <row r="230" spans="1:7" x14ac:dyDescent="0.3">
      <c r="A230" s="1">
        <v>45748</v>
      </c>
      <c r="B230">
        <v>30</v>
      </c>
      <c r="C230" t="s">
        <v>40</v>
      </c>
      <c r="D230">
        <v>20</v>
      </c>
      <c r="E230">
        <v>50670</v>
      </c>
      <c r="F230">
        <v>55212</v>
      </c>
      <c r="G230">
        <v>288</v>
      </c>
    </row>
    <row r="231" spans="1:7" x14ac:dyDescent="0.3">
      <c r="A231" s="1">
        <v>45778</v>
      </c>
      <c r="B231">
        <v>31</v>
      </c>
      <c r="C231" t="s">
        <v>40</v>
      </c>
      <c r="D231">
        <v>20</v>
      </c>
      <c r="E231">
        <v>251507</v>
      </c>
      <c r="F231">
        <v>246334</v>
      </c>
      <c r="G231">
        <v>174</v>
      </c>
    </row>
    <row r="232" spans="1:7" x14ac:dyDescent="0.3">
      <c r="A232" s="1">
        <v>45809</v>
      </c>
      <c r="B232">
        <v>30</v>
      </c>
      <c r="C232" t="s">
        <v>40</v>
      </c>
      <c r="D232">
        <v>20</v>
      </c>
      <c r="E232">
        <v>413424</v>
      </c>
      <c r="F232">
        <v>405863</v>
      </c>
      <c r="G232">
        <v>204</v>
      </c>
    </row>
    <row r="233" spans="1:7" x14ac:dyDescent="0.3">
      <c r="A233" s="1">
        <v>45839</v>
      </c>
      <c r="B233">
        <v>31</v>
      </c>
      <c r="C233" t="s">
        <v>40</v>
      </c>
      <c r="D233">
        <v>20</v>
      </c>
      <c r="E233">
        <v>519827</v>
      </c>
      <c r="F233">
        <v>510362</v>
      </c>
      <c r="G233">
        <v>168</v>
      </c>
    </row>
    <row r="234" spans="1:7" x14ac:dyDescent="0.3">
      <c r="A234" s="1">
        <v>45870</v>
      </c>
      <c r="B234">
        <v>31</v>
      </c>
      <c r="C234" t="s">
        <v>40</v>
      </c>
      <c r="D234">
        <v>20</v>
      </c>
      <c r="E234">
        <v>346487</v>
      </c>
      <c r="F234">
        <v>339781</v>
      </c>
      <c r="G234">
        <v>194</v>
      </c>
    </row>
    <row r="235" spans="1:7" x14ac:dyDescent="0.3">
      <c r="A235" s="1">
        <v>45901</v>
      </c>
      <c r="B235">
        <v>30</v>
      </c>
      <c r="C235" t="s">
        <v>40</v>
      </c>
      <c r="D235">
        <v>20</v>
      </c>
      <c r="E235">
        <v>350327</v>
      </c>
      <c r="F235">
        <v>343584</v>
      </c>
      <c r="G235">
        <v>299</v>
      </c>
    </row>
    <row r="236" spans="1:7" x14ac:dyDescent="0.3">
      <c r="A236" s="1">
        <v>45931</v>
      </c>
      <c r="B236">
        <v>31</v>
      </c>
      <c r="C236" t="s">
        <v>40</v>
      </c>
      <c r="D236">
        <v>20</v>
      </c>
      <c r="E236">
        <v>103871</v>
      </c>
      <c r="F236">
        <v>101218</v>
      </c>
      <c r="G236">
        <v>207</v>
      </c>
    </row>
    <row r="237" spans="1:7" x14ac:dyDescent="0.3">
      <c r="A237" s="1">
        <v>45962</v>
      </c>
      <c r="B237">
        <v>30</v>
      </c>
      <c r="C237" t="s">
        <v>40</v>
      </c>
      <c r="D237">
        <v>20</v>
      </c>
      <c r="E237">
        <v>21762</v>
      </c>
      <c r="F237">
        <v>20852</v>
      </c>
      <c r="G237">
        <v>254</v>
      </c>
    </row>
    <row r="238" spans="1:7" x14ac:dyDescent="0.3">
      <c r="A238" s="1">
        <v>45992</v>
      </c>
      <c r="B238">
        <v>31</v>
      </c>
      <c r="C238" t="s">
        <v>40</v>
      </c>
      <c r="D238">
        <v>20</v>
      </c>
      <c r="E238">
        <v>13222</v>
      </c>
      <c r="F238">
        <v>12645</v>
      </c>
      <c r="G238">
        <v>223</v>
      </c>
    </row>
    <row r="239" spans="1:7" x14ac:dyDescent="0.3">
      <c r="A239" s="1">
        <v>46023</v>
      </c>
      <c r="B239">
        <v>31</v>
      </c>
      <c r="C239" t="s">
        <v>40</v>
      </c>
      <c r="D239">
        <v>20</v>
      </c>
      <c r="E239">
        <v>20538</v>
      </c>
      <c r="F239">
        <v>19720</v>
      </c>
      <c r="G239">
        <v>176</v>
      </c>
    </row>
    <row r="240" spans="1:7" x14ac:dyDescent="0.3">
      <c r="A240" s="1">
        <v>46054</v>
      </c>
      <c r="B240">
        <v>28</v>
      </c>
      <c r="C240" t="s">
        <v>40</v>
      </c>
      <c r="D240">
        <v>20</v>
      </c>
      <c r="E240">
        <v>27208</v>
      </c>
      <c r="F240">
        <v>26233</v>
      </c>
      <c r="G240">
        <v>277</v>
      </c>
    </row>
    <row r="241" spans="1:7" x14ac:dyDescent="0.3">
      <c r="A241" s="1">
        <v>46082</v>
      </c>
      <c r="B241">
        <v>31</v>
      </c>
      <c r="C241" t="s">
        <v>40</v>
      </c>
      <c r="D241">
        <v>20</v>
      </c>
      <c r="E241">
        <v>24203</v>
      </c>
      <c r="F241">
        <v>23291</v>
      </c>
      <c r="G241">
        <v>245</v>
      </c>
    </row>
    <row r="242" spans="1:7" x14ac:dyDescent="0.3">
      <c r="A242" s="1">
        <v>45748</v>
      </c>
      <c r="B242">
        <v>30</v>
      </c>
      <c r="C242" t="s">
        <v>40</v>
      </c>
      <c r="D242">
        <v>21</v>
      </c>
      <c r="E242">
        <v>50540</v>
      </c>
      <c r="F242">
        <v>49032</v>
      </c>
      <c r="G242">
        <v>747</v>
      </c>
    </row>
    <row r="243" spans="1:7" x14ac:dyDescent="0.3">
      <c r="A243" s="1">
        <v>45778</v>
      </c>
      <c r="B243">
        <v>31</v>
      </c>
      <c r="C243" t="s">
        <v>40</v>
      </c>
      <c r="D243">
        <v>21</v>
      </c>
      <c r="E243">
        <v>222317</v>
      </c>
      <c r="F243">
        <v>217894</v>
      </c>
      <c r="G243">
        <v>301</v>
      </c>
    </row>
    <row r="244" spans="1:7" x14ac:dyDescent="0.3">
      <c r="A244" s="1">
        <v>45809</v>
      </c>
      <c r="B244">
        <v>30</v>
      </c>
      <c r="C244" t="s">
        <v>40</v>
      </c>
      <c r="D244">
        <v>21</v>
      </c>
      <c r="E244">
        <v>348898</v>
      </c>
      <c r="F244">
        <v>343038</v>
      </c>
      <c r="G244">
        <v>505</v>
      </c>
    </row>
    <row r="245" spans="1:7" x14ac:dyDescent="0.3">
      <c r="A245" s="1">
        <v>45839</v>
      </c>
      <c r="B245">
        <v>31</v>
      </c>
      <c r="C245" t="s">
        <v>40</v>
      </c>
      <c r="D245">
        <v>21</v>
      </c>
      <c r="E245">
        <v>460469</v>
      </c>
      <c r="F245">
        <v>453002</v>
      </c>
      <c r="G245">
        <v>910</v>
      </c>
    </row>
    <row r="246" spans="1:7" x14ac:dyDescent="0.3">
      <c r="A246" s="1">
        <v>45870</v>
      </c>
      <c r="B246">
        <v>31</v>
      </c>
      <c r="C246" t="s">
        <v>40</v>
      </c>
      <c r="D246">
        <v>21</v>
      </c>
      <c r="E246">
        <v>327055</v>
      </c>
      <c r="F246">
        <v>321516</v>
      </c>
      <c r="G246">
        <v>266</v>
      </c>
    </row>
    <row r="247" spans="1:7" x14ac:dyDescent="0.3">
      <c r="A247" s="1">
        <v>45901</v>
      </c>
      <c r="B247">
        <v>30</v>
      </c>
      <c r="C247" t="s">
        <v>40</v>
      </c>
      <c r="D247">
        <v>21</v>
      </c>
      <c r="E247">
        <v>320352</v>
      </c>
      <c r="F247">
        <v>315162</v>
      </c>
      <c r="G247">
        <v>724</v>
      </c>
    </row>
    <row r="248" spans="1:7" x14ac:dyDescent="0.3">
      <c r="A248" s="1">
        <v>45931</v>
      </c>
      <c r="B248">
        <v>31</v>
      </c>
      <c r="C248" t="s">
        <v>40</v>
      </c>
      <c r="D248">
        <v>21</v>
      </c>
      <c r="E248">
        <v>78126</v>
      </c>
      <c r="F248">
        <v>76485</v>
      </c>
      <c r="G248">
        <v>890</v>
      </c>
    </row>
    <row r="249" spans="1:7" x14ac:dyDescent="0.3">
      <c r="A249" s="1">
        <v>45962</v>
      </c>
      <c r="B249">
        <v>30</v>
      </c>
      <c r="C249" t="s">
        <v>40</v>
      </c>
      <c r="D249">
        <v>21</v>
      </c>
      <c r="E249">
        <v>22053</v>
      </c>
      <c r="F249">
        <v>21226</v>
      </c>
      <c r="G249">
        <v>338</v>
      </c>
    </row>
    <row r="250" spans="1:7" x14ac:dyDescent="0.3">
      <c r="A250" s="1">
        <v>45992</v>
      </c>
      <c r="B250">
        <v>31</v>
      </c>
      <c r="C250" t="s">
        <v>40</v>
      </c>
      <c r="D250">
        <v>21</v>
      </c>
      <c r="E250">
        <v>11986</v>
      </c>
      <c r="F250">
        <v>11446</v>
      </c>
      <c r="G250">
        <v>214</v>
      </c>
    </row>
    <row r="251" spans="1:7" x14ac:dyDescent="0.3">
      <c r="A251" s="1">
        <v>46023</v>
      </c>
      <c r="B251">
        <v>31</v>
      </c>
      <c r="C251" t="s">
        <v>40</v>
      </c>
      <c r="D251">
        <v>21</v>
      </c>
      <c r="E251">
        <v>18441</v>
      </c>
      <c r="F251">
        <v>17667</v>
      </c>
      <c r="G251">
        <v>272</v>
      </c>
    </row>
    <row r="252" spans="1:7" x14ac:dyDescent="0.3">
      <c r="A252" s="1">
        <v>46054</v>
      </c>
      <c r="B252">
        <v>28</v>
      </c>
      <c r="C252" t="s">
        <v>40</v>
      </c>
      <c r="D252">
        <v>21</v>
      </c>
      <c r="E252">
        <v>25740</v>
      </c>
      <c r="F252">
        <v>24744</v>
      </c>
      <c r="G252">
        <v>547</v>
      </c>
    </row>
    <row r="253" spans="1:7" x14ac:dyDescent="0.3">
      <c r="A253" s="1">
        <v>46082</v>
      </c>
      <c r="B253">
        <v>31</v>
      </c>
      <c r="C253" t="s">
        <v>40</v>
      </c>
      <c r="D253">
        <v>21</v>
      </c>
      <c r="E253">
        <v>23679</v>
      </c>
      <c r="F253">
        <v>22730</v>
      </c>
      <c r="G253">
        <v>598</v>
      </c>
    </row>
    <row r="254" spans="1:7" x14ac:dyDescent="0.3">
      <c r="A254" s="1">
        <v>45748</v>
      </c>
      <c r="B254">
        <v>30</v>
      </c>
      <c r="C254" t="s">
        <v>40</v>
      </c>
      <c r="D254">
        <v>22</v>
      </c>
      <c r="E254">
        <v>57100</v>
      </c>
      <c r="F254">
        <v>55212</v>
      </c>
      <c r="G254">
        <v>1404</v>
      </c>
    </row>
    <row r="255" spans="1:7" x14ac:dyDescent="0.3">
      <c r="A255" s="1">
        <v>45778</v>
      </c>
      <c r="B255">
        <v>31</v>
      </c>
      <c r="C255" t="s">
        <v>40</v>
      </c>
      <c r="D255">
        <v>22</v>
      </c>
      <c r="E255">
        <v>171724</v>
      </c>
      <c r="F255">
        <v>169017</v>
      </c>
      <c r="G255">
        <v>689</v>
      </c>
    </row>
    <row r="256" spans="1:7" x14ac:dyDescent="0.3">
      <c r="A256" s="1">
        <v>45809</v>
      </c>
      <c r="B256">
        <v>30</v>
      </c>
      <c r="C256" t="s">
        <v>40</v>
      </c>
      <c r="D256">
        <v>22</v>
      </c>
      <c r="E256">
        <v>228064</v>
      </c>
      <c r="F256">
        <v>222654</v>
      </c>
      <c r="G256">
        <v>838</v>
      </c>
    </row>
    <row r="257" spans="1:7" x14ac:dyDescent="0.3">
      <c r="A257" s="1">
        <v>45839</v>
      </c>
      <c r="B257">
        <v>31</v>
      </c>
      <c r="C257" t="s">
        <v>40</v>
      </c>
      <c r="D257">
        <v>22</v>
      </c>
      <c r="E257">
        <v>271084</v>
      </c>
      <c r="F257">
        <v>267435</v>
      </c>
      <c r="G257">
        <v>771</v>
      </c>
    </row>
    <row r="258" spans="1:7" x14ac:dyDescent="0.3">
      <c r="A258" s="1">
        <v>45870</v>
      </c>
      <c r="B258">
        <v>31</v>
      </c>
      <c r="C258" t="s">
        <v>40</v>
      </c>
      <c r="D258">
        <v>22</v>
      </c>
      <c r="E258">
        <v>228996</v>
      </c>
      <c r="F258">
        <v>225236</v>
      </c>
      <c r="G258">
        <v>664</v>
      </c>
    </row>
    <row r="259" spans="1:7" x14ac:dyDescent="0.3">
      <c r="A259" s="1">
        <v>45901</v>
      </c>
      <c r="B259">
        <v>30</v>
      </c>
      <c r="C259" t="s">
        <v>40</v>
      </c>
      <c r="D259">
        <v>22</v>
      </c>
      <c r="E259">
        <v>204970</v>
      </c>
      <c r="F259">
        <v>201857</v>
      </c>
      <c r="G259">
        <v>688</v>
      </c>
    </row>
    <row r="260" spans="1:7" x14ac:dyDescent="0.3">
      <c r="A260" s="1">
        <v>45931</v>
      </c>
      <c r="B260">
        <v>31</v>
      </c>
      <c r="C260" t="s">
        <v>40</v>
      </c>
      <c r="D260">
        <v>22</v>
      </c>
      <c r="E260">
        <v>73840</v>
      </c>
      <c r="F260">
        <v>72194</v>
      </c>
      <c r="G260">
        <v>417</v>
      </c>
    </row>
    <row r="261" spans="1:7" x14ac:dyDescent="0.3">
      <c r="A261" s="1">
        <v>45962</v>
      </c>
      <c r="B261">
        <v>30</v>
      </c>
      <c r="C261" t="s">
        <v>40</v>
      </c>
      <c r="D261">
        <v>22</v>
      </c>
      <c r="E261">
        <v>41982</v>
      </c>
      <c r="F261">
        <v>40403</v>
      </c>
      <c r="G261">
        <v>286</v>
      </c>
    </row>
    <row r="262" spans="1:7" x14ac:dyDescent="0.3">
      <c r="A262" s="1">
        <v>45992</v>
      </c>
      <c r="B262">
        <v>31</v>
      </c>
      <c r="C262" t="s">
        <v>40</v>
      </c>
      <c r="D262">
        <v>22</v>
      </c>
      <c r="E262">
        <v>54167</v>
      </c>
      <c r="F262">
        <v>52561</v>
      </c>
      <c r="G262">
        <v>574</v>
      </c>
    </row>
    <row r="263" spans="1:7" x14ac:dyDescent="0.3">
      <c r="A263" s="1">
        <v>46023</v>
      </c>
      <c r="B263">
        <v>31</v>
      </c>
      <c r="C263" t="s">
        <v>40</v>
      </c>
      <c r="D263">
        <v>22</v>
      </c>
      <c r="E263">
        <v>59175</v>
      </c>
      <c r="F263">
        <v>57832</v>
      </c>
      <c r="G263">
        <v>390</v>
      </c>
    </row>
    <row r="264" spans="1:7" x14ac:dyDescent="0.3">
      <c r="A264" s="1">
        <v>46054</v>
      </c>
      <c r="B264">
        <v>28</v>
      </c>
      <c r="C264" t="s">
        <v>40</v>
      </c>
      <c r="D264">
        <v>22</v>
      </c>
      <c r="E264">
        <v>50343</v>
      </c>
      <c r="F264">
        <v>49218</v>
      </c>
      <c r="G264">
        <v>394</v>
      </c>
    </row>
    <row r="265" spans="1:7" x14ac:dyDescent="0.3">
      <c r="A265" s="1">
        <v>46082</v>
      </c>
      <c r="B265">
        <v>31</v>
      </c>
      <c r="C265" t="s">
        <v>40</v>
      </c>
      <c r="D265">
        <v>22</v>
      </c>
      <c r="E265">
        <v>30691</v>
      </c>
      <c r="F265">
        <v>29755</v>
      </c>
      <c r="G265">
        <v>355</v>
      </c>
    </row>
    <row r="266" spans="1:7" x14ac:dyDescent="0.3">
      <c r="A266" s="1">
        <v>45748</v>
      </c>
      <c r="B266">
        <v>30</v>
      </c>
      <c r="C266" t="s">
        <v>40</v>
      </c>
      <c r="D266">
        <v>23</v>
      </c>
      <c r="E266">
        <v>70083</v>
      </c>
      <c r="F266">
        <v>68638</v>
      </c>
      <c r="G266">
        <v>450</v>
      </c>
    </row>
    <row r="267" spans="1:7" x14ac:dyDescent="0.3">
      <c r="A267" s="1">
        <v>45778</v>
      </c>
      <c r="B267">
        <v>31</v>
      </c>
      <c r="C267" t="s">
        <v>40</v>
      </c>
      <c r="D267">
        <v>23</v>
      </c>
      <c r="E267">
        <v>210941</v>
      </c>
      <c r="F267">
        <v>207567</v>
      </c>
      <c r="G267">
        <v>488</v>
      </c>
    </row>
    <row r="268" spans="1:7" x14ac:dyDescent="0.3">
      <c r="A268" s="1">
        <v>45809</v>
      </c>
      <c r="B268">
        <v>30</v>
      </c>
      <c r="C268" t="s">
        <v>40</v>
      </c>
      <c r="D268">
        <v>23</v>
      </c>
      <c r="E268">
        <v>279699</v>
      </c>
      <c r="F268">
        <v>278762</v>
      </c>
      <c r="G268">
        <v>830</v>
      </c>
    </row>
    <row r="269" spans="1:7" x14ac:dyDescent="0.3">
      <c r="A269" s="1">
        <v>45839</v>
      </c>
      <c r="B269">
        <v>31</v>
      </c>
      <c r="C269" t="s">
        <v>40</v>
      </c>
      <c r="D269">
        <v>23</v>
      </c>
      <c r="E269">
        <v>337061</v>
      </c>
      <c r="F269">
        <v>322060</v>
      </c>
      <c r="G269">
        <v>506</v>
      </c>
    </row>
    <row r="270" spans="1:7" x14ac:dyDescent="0.3">
      <c r="A270" s="1">
        <v>45870</v>
      </c>
      <c r="B270">
        <v>31</v>
      </c>
      <c r="C270" t="s">
        <v>40</v>
      </c>
      <c r="D270">
        <v>23</v>
      </c>
      <c r="E270">
        <v>293213</v>
      </c>
      <c r="F270">
        <v>298180</v>
      </c>
      <c r="G270">
        <v>701</v>
      </c>
    </row>
    <row r="271" spans="1:7" x14ac:dyDescent="0.3">
      <c r="A271" s="1">
        <v>45901</v>
      </c>
      <c r="B271">
        <v>30</v>
      </c>
      <c r="C271" t="s">
        <v>40</v>
      </c>
      <c r="D271">
        <v>23</v>
      </c>
      <c r="E271">
        <v>265924</v>
      </c>
      <c r="F271">
        <v>259620</v>
      </c>
      <c r="G271">
        <v>985</v>
      </c>
    </row>
    <row r="272" spans="1:7" x14ac:dyDescent="0.3">
      <c r="A272" s="1">
        <v>45931</v>
      </c>
      <c r="B272">
        <v>31</v>
      </c>
      <c r="C272" t="s">
        <v>40</v>
      </c>
      <c r="D272">
        <v>23</v>
      </c>
      <c r="E272">
        <v>81058</v>
      </c>
      <c r="F272">
        <v>79220</v>
      </c>
      <c r="G272">
        <v>355</v>
      </c>
    </row>
    <row r="273" spans="1:7" x14ac:dyDescent="0.3">
      <c r="A273" s="1">
        <v>45962</v>
      </c>
      <c r="B273">
        <v>30</v>
      </c>
      <c r="C273" t="s">
        <v>40</v>
      </c>
      <c r="D273">
        <v>23</v>
      </c>
      <c r="E273">
        <v>46318</v>
      </c>
      <c r="F273">
        <v>45069</v>
      </c>
      <c r="G273">
        <v>842</v>
      </c>
    </row>
    <row r="274" spans="1:7" x14ac:dyDescent="0.3">
      <c r="A274" s="1">
        <v>45992</v>
      </c>
      <c r="B274">
        <v>31</v>
      </c>
      <c r="C274" t="s">
        <v>40</v>
      </c>
      <c r="D274">
        <v>23</v>
      </c>
      <c r="E274">
        <v>64385</v>
      </c>
      <c r="F274">
        <v>62931</v>
      </c>
      <c r="G274">
        <v>993</v>
      </c>
    </row>
    <row r="275" spans="1:7" x14ac:dyDescent="0.3">
      <c r="A275" s="1">
        <v>46023</v>
      </c>
      <c r="B275">
        <v>31</v>
      </c>
      <c r="C275" t="s">
        <v>40</v>
      </c>
      <c r="D275">
        <v>23</v>
      </c>
      <c r="E275">
        <v>65293</v>
      </c>
      <c r="F275">
        <v>63880</v>
      </c>
      <c r="G275">
        <v>536</v>
      </c>
    </row>
    <row r="276" spans="1:7" x14ac:dyDescent="0.3">
      <c r="A276" s="1">
        <v>46054</v>
      </c>
      <c r="B276">
        <v>28</v>
      </c>
      <c r="C276" t="s">
        <v>40</v>
      </c>
      <c r="D276">
        <v>23</v>
      </c>
      <c r="E276">
        <v>55756</v>
      </c>
      <c r="F276">
        <v>54480</v>
      </c>
      <c r="G276">
        <v>721</v>
      </c>
    </row>
    <row r="277" spans="1:7" x14ac:dyDescent="0.3">
      <c r="A277" s="1">
        <v>46082</v>
      </c>
      <c r="B277">
        <v>31</v>
      </c>
      <c r="C277" t="s">
        <v>40</v>
      </c>
      <c r="D277">
        <v>23</v>
      </c>
      <c r="E277">
        <v>32158</v>
      </c>
      <c r="F277">
        <v>31160</v>
      </c>
      <c r="G277">
        <v>205</v>
      </c>
    </row>
    <row r="278" spans="1:7" x14ac:dyDescent="0.3">
      <c r="A278" s="1">
        <v>45748</v>
      </c>
      <c r="B278">
        <v>30</v>
      </c>
      <c r="C278" t="s">
        <v>40</v>
      </c>
      <c r="D278">
        <v>24</v>
      </c>
      <c r="E278">
        <v>83272</v>
      </c>
      <c r="F278">
        <v>80100</v>
      </c>
      <c r="G278">
        <v>1466</v>
      </c>
    </row>
    <row r="279" spans="1:7" x14ac:dyDescent="0.3">
      <c r="A279" s="1">
        <v>45778</v>
      </c>
      <c r="B279">
        <v>31</v>
      </c>
      <c r="C279" t="s">
        <v>40</v>
      </c>
      <c r="D279">
        <v>24</v>
      </c>
      <c r="E279">
        <v>153501</v>
      </c>
      <c r="F279">
        <v>150255</v>
      </c>
      <c r="G279">
        <v>447</v>
      </c>
    </row>
    <row r="280" spans="1:7" x14ac:dyDescent="0.3">
      <c r="A280" s="1">
        <v>45809</v>
      </c>
      <c r="B280">
        <v>30</v>
      </c>
      <c r="C280" t="s">
        <v>40</v>
      </c>
      <c r="D280">
        <v>24</v>
      </c>
      <c r="E280">
        <v>250536</v>
      </c>
      <c r="F280">
        <v>249495</v>
      </c>
      <c r="G280">
        <v>3646</v>
      </c>
    </row>
    <row r="281" spans="1:7" x14ac:dyDescent="0.3">
      <c r="A281" s="1">
        <v>45839</v>
      </c>
      <c r="B281">
        <v>31</v>
      </c>
      <c r="C281" t="s">
        <v>40</v>
      </c>
      <c r="D281">
        <v>24</v>
      </c>
      <c r="E281">
        <v>345420</v>
      </c>
      <c r="F281">
        <v>337710</v>
      </c>
      <c r="G281">
        <v>3028</v>
      </c>
    </row>
    <row r="282" spans="1:7" x14ac:dyDescent="0.3">
      <c r="A282" s="1">
        <v>45870</v>
      </c>
      <c r="B282">
        <v>31</v>
      </c>
      <c r="C282" t="s">
        <v>40</v>
      </c>
      <c r="D282">
        <v>24</v>
      </c>
      <c r="E282">
        <v>227488</v>
      </c>
      <c r="F282">
        <v>224708</v>
      </c>
      <c r="G282">
        <v>2763</v>
      </c>
    </row>
    <row r="283" spans="1:7" x14ac:dyDescent="0.3">
      <c r="A283" s="1">
        <v>45901</v>
      </c>
      <c r="B283">
        <v>30</v>
      </c>
      <c r="C283" t="s">
        <v>40</v>
      </c>
      <c r="D283">
        <v>24</v>
      </c>
      <c r="E283">
        <v>204536</v>
      </c>
      <c r="F283">
        <v>202133</v>
      </c>
      <c r="G283">
        <v>1540</v>
      </c>
    </row>
    <row r="284" spans="1:7" x14ac:dyDescent="0.3">
      <c r="A284" s="1">
        <v>45931</v>
      </c>
      <c r="B284">
        <v>31</v>
      </c>
      <c r="C284" t="s">
        <v>40</v>
      </c>
      <c r="D284">
        <v>24</v>
      </c>
      <c r="E284">
        <v>89306</v>
      </c>
      <c r="F284">
        <v>87578</v>
      </c>
      <c r="G284">
        <v>484</v>
      </c>
    </row>
    <row r="285" spans="1:7" x14ac:dyDescent="0.3">
      <c r="A285" s="1">
        <v>45962</v>
      </c>
      <c r="B285">
        <v>30</v>
      </c>
      <c r="C285" t="s">
        <v>40</v>
      </c>
      <c r="D285">
        <v>24</v>
      </c>
      <c r="E285">
        <v>65678</v>
      </c>
      <c r="F285">
        <v>65318</v>
      </c>
      <c r="G285">
        <v>3837</v>
      </c>
    </row>
    <row r="286" spans="1:7" x14ac:dyDescent="0.3">
      <c r="A286" s="1">
        <v>45992</v>
      </c>
      <c r="B286">
        <v>31</v>
      </c>
      <c r="C286" t="s">
        <v>40</v>
      </c>
      <c r="D286">
        <v>24</v>
      </c>
      <c r="E286">
        <v>70598</v>
      </c>
      <c r="F286">
        <v>66997</v>
      </c>
      <c r="G286">
        <v>813</v>
      </c>
    </row>
    <row r="287" spans="1:7" x14ac:dyDescent="0.3">
      <c r="A287" s="1">
        <v>46023</v>
      </c>
      <c r="B287">
        <v>31</v>
      </c>
      <c r="C287" t="s">
        <v>40</v>
      </c>
      <c r="D287">
        <v>24</v>
      </c>
      <c r="E287">
        <v>74438</v>
      </c>
      <c r="F287">
        <v>75143</v>
      </c>
      <c r="G287">
        <v>454</v>
      </c>
    </row>
    <row r="288" spans="1:7" x14ac:dyDescent="0.3">
      <c r="A288" s="1">
        <v>46054</v>
      </c>
      <c r="B288">
        <v>28</v>
      </c>
      <c r="C288" t="s">
        <v>40</v>
      </c>
      <c r="D288">
        <v>24</v>
      </c>
      <c r="E288">
        <v>59183</v>
      </c>
      <c r="F288">
        <v>59160</v>
      </c>
      <c r="G288">
        <v>393</v>
      </c>
    </row>
    <row r="289" spans="1:7" x14ac:dyDescent="0.3">
      <c r="A289" s="1">
        <v>46082</v>
      </c>
      <c r="B289">
        <v>31</v>
      </c>
      <c r="C289" t="s">
        <v>40</v>
      </c>
      <c r="D289">
        <v>24</v>
      </c>
      <c r="E289">
        <v>62143</v>
      </c>
      <c r="F289">
        <v>61950</v>
      </c>
      <c r="G289">
        <v>3710</v>
      </c>
    </row>
    <row r="290" spans="1:7" x14ac:dyDescent="0.3">
      <c r="A290" s="1">
        <v>45748</v>
      </c>
      <c r="B290">
        <v>30</v>
      </c>
      <c r="C290" t="s">
        <v>40</v>
      </c>
      <c r="D290">
        <v>25</v>
      </c>
      <c r="E290">
        <v>1009776</v>
      </c>
      <c r="F290">
        <v>970280</v>
      </c>
      <c r="G290">
        <v>557</v>
      </c>
    </row>
    <row r="291" spans="1:7" x14ac:dyDescent="0.3">
      <c r="A291" s="1">
        <v>45778</v>
      </c>
      <c r="B291">
        <v>31</v>
      </c>
      <c r="C291" t="s">
        <v>40</v>
      </c>
      <c r="D291">
        <v>25</v>
      </c>
      <c r="E291">
        <v>1399165</v>
      </c>
      <c r="F291">
        <v>1358748</v>
      </c>
      <c r="G291">
        <v>615</v>
      </c>
    </row>
    <row r="292" spans="1:7" x14ac:dyDescent="0.3">
      <c r="A292" s="1">
        <v>45809</v>
      </c>
      <c r="B292">
        <v>30</v>
      </c>
      <c r="C292" t="s">
        <v>40</v>
      </c>
      <c r="D292">
        <v>25</v>
      </c>
      <c r="E292">
        <v>2466331</v>
      </c>
      <c r="F292">
        <v>2403665</v>
      </c>
      <c r="G292">
        <v>210</v>
      </c>
    </row>
    <row r="293" spans="1:7" x14ac:dyDescent="0.3">
      <c r="A293" s="1">
        <v>45839</v>
      </c>
      <c r="B293">
        <v>31</v>
      </c>
      <c r="C293" t="s">
        <v>40</v>
      </c>
      <c r="D293">
        <v>25</v>
      </c>
      <c r="E293">
        <v>2993395</v>
      </c>
      <c r="F293">
        <v>2919780</v>
      </c>
      <c r="G293">
        <v>14</v>
      </c>
    </row>
    <row r="294" spans="1:7" x14ac:dyDescent="0.3">
      <c r="A294" s="1">
        <v>45870</v>
      </c>
      <c r="B294">
        <v>31</v>
      </c>
      <c r="C294" t="s">
        <v>40</v>
      </c>
      <c r="D294">
        <v>25</v>
      </c>
      <c r="E294">
        <v>2148147</v>
      </c>
      <c r="F294">
        <v>2097476</v>
      </c>
      <c r="G294">
        <v>166</v>
      </c>
    </row>
    <row r="295" spans="1:7" x14ac:dyDescent="0.3">
      <c r="A295" s="1">
        <v>45901</v>
      </c>
      <c r="B295">
        <v>30</v>
      </c>
      <c r="C295" t="s">
        <v>40</v>
      </c>
      <c r="D295">
        <v>25</v>
      </c>
      <c r="E295">
        <v>1644366</v>
      </c>
      <c r="F295">
        <v>1600225</v>
      </c>
      <c r="G295">
        <v>365</v>
      </c>
    </row>
    <row r="296" spans="1:7" x14ac:dyDescent="0.3">
      <c r="A296" s="1">
        <v>45931</v>
      </c>
      <c r="B296">
        <v>31</v>
      </c>
      <c r="C296" t="s">
        <v>40</v>
      </c>
      <c r="D296">
        <v>25</v>
      </c>
      <c r="E296">
        <v>972341</v>
      </c>
      <c r="F296">
        <v>940703</v>
      </c>
      <c r="G296">
        <v>201</v>
      </c>
    </row>
    <row r="297" spans="1:7" x14ac:dyDescent="0.3">
      <c r="A297" s="1">
        <v>45962</v>
      </c>
      <c r="B297">
        <v>30</v>
      </c>
      <c r="C297" t="s">
        <v>40</v>
      </c>
      <c r="D297">
        <v>25</v>
      </c>
      <c r="E297">
        <v>740848</v>
      </c>
      <c r="F297">
        <v>708646</v>
      </c>
      <c r="G297">
        <v>162</v>
      </c>
    </row>
    <row r="298" spans="1:7" x14ac:dyDescent="0.3">
      <c r="A298" s="1">
        <v>45992</v>
      </c>
      <c r="B298">
        <v>31</v>
      </c>
      <c r="C298" t="s">
        <v>40</v>
      </c>
      <c r="D298">
        <v>25</v>
      </c>
      <c r="E298">
        <v>765627</v>
      </c>
      <c r="F298">
        <v>734937</v>
      </c>
      <c r="G298">
        <v>258</v>
      </c>
    </row>
    <row r="299" spans="1:7" x14ac:dyDescent="0.3">
      <c r="A299" s="1">
        <v>46023</v>
      </c>
      <c r="B299">
        <v>31</v>
      </c>
      <c r="C299" t="s">
        <v>40</v>
      </c>
      <c r="D299">
        <v>25</v>
      </c>
      <c r="E299">
        <v>494693</v>
      </c>
      <c r="F299">
        <v>469743</v>
      </c>
      <c r="G299">
        <v>485</v>
      </c>
    </row>
    <row r="300" spans="1:7" x14ac:dyDescent="0.3">
      <c r="A300" s="1">
        <v>46054</v>
      </c>
      <c r="B300">
        <v>28</v>
      </c>
      <c r="C300" t="s">
        <v>40</v>
      </c>
      <c r="D300">
        <v>25</v>
      </c>
      <c r="E300">
        <v>439473</v>
      </c>
      <c r="F300">
        <v>414841</v>
      </c>
      <c r="G300">
        <v>481</v>
      </c>
    </row>
    <row r="301" spans="1:7" x14ac:dyDescent="0.3">
      <c r="A301" s="1">
        <v>46082</v>
      </c>
      <c r="B301">
        <v>31</v>
      </c>
      <c r="C301" t="s">
        <v>40</v>
      </c>
      <c r="D301">
        <v>25</v>
      </c>
      <c r="E301">
        <v>605307</v>
      </c>
      <c r="F301">
        <v>574430</v>
      </c>
      <c r="G301">
        <v>778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3286C-08FD-4BBD-9344-F3DC592786EB}">
  <dimension ref="A3:H29"/>
  <sheetViews>
    <sheetView topLeftCell="A2" zoomScale="84" zoomScaleNormal="100" workbookViewId="0">
      <selection activeCell="U10" sqref="U10"/>
    </sheetView>
  </sheetViews>
  <sheetFormatPr defaultRowHeight="14.4" x14ac:dyDescent="0.3"/>
  <cols>
    <col min="1" max="1" width="12.88671875" bestFit="1" customWidth="1"/>
    <col min="2" max="2" width="20.6640625" bestFit="1" customWidth="1"/>
    <col min="3" max="3" width="16.5546875" bestFit="1" customWidth="1"/>
    <col min="4" max="4" width="8.88671875" style="5"/>
  </cols>
  <sheetData>
    <row r="3" spans="1:8" x14ac:dyDescent="0.3">
      <c r="A3" s="3" t="s">
        <v>87</v>
      </c>
      <c r="B3" t="s">
        <v>89</v>
      </c>
      <c r="C3" t="s">
        <v>90</v>
      </c>
      <c r="D3" s="5" t="s">
        <v>84</v>
      </c>
      <c r="G3" t="s">
        <v>91</v>
      </c>
      <c r="H3" t="s">
        <v>92</v>
      </c>
    </row>
    <row r="4" spans="1:8" x14ac:dyDescent="0.3">
      <c r="A4" s="4">
        <v>25</v>
      </c>
      <c r="B4" s="7">
        <v>15679469</v>
      </c>
      <c r="C4" s="7">
        <v>15193474</v>
      </c>
      <c r="D4" s="5">
        <f>IFERROR(C4/B4*100,0)</f>
        <v>96.900437125772569</v>
      </c>
      <c r="G4">
        <f>A4</f>
        <v>25</v>
      </c>
      <c r="H4" s="5">
        <f>D4</f>
        <v>96.900437125772569</v>
      </c>
    </row>
    <row r="5" spans="1:8" x14ac:dyDescent="0.3">
      <c r="A5" s="4">
        <v>24</v>
      </c>
      <c r="B5" s="7">
        <v>1686099</v>
      </c>
      <c r="C5" s="7">
        <v>1660547</v>
      </c>
      <c r="D5" s="5">
        <f t="shared" ref="D5:D28" si="0">IFERROR(C5/B5*100,0)</f>
        <v>98.484549246515186</v>
      </c>
      <c r="G5">
        <f>A5</f>
        <v>24</v>
      </c>
      <c r="H5" s="5">
        <f>D5</f>
        <v>98.484549246515186</v>
      </c>
    </row>
    <row r="6" spans="1:8" x14ac:dyDescent="0.3">
      <c r="A6" s="4">
        <v>23</v>
      </c>
      <c r="B6" s="7">
        <v>1801889</v>
      </c>
      <c r="C6" s="7">
        <v>1771567</v>
      </c>
      <c r="D6" s="5">
        <f t="shared" si="0"/>
        <v>98.317210438600824</v>
      </c>
      <c r="G6">
        <f>A6</f>
        <v>23</v>
      </c>
      <c r="H6" s="5">
        <f>D6</f>
        <v>98.317210438600824</v>
      </c>
    </row>
    <row r="7" spans="1:8" x14ac:dyDescent="0.3">
      <c r="A7" s="4">
        <v>22</v>
      </c>
      <c r="B7" s="7">
        <v>1472136</v>
      </c>
      <c r="C7" s="7">
        <v>1443374</v>
      </c>
      <c r="D7" s="5">
        <f t="shared" si="0"/>
        <v>98.04624029301641</v>
      </c>
      <c r="G7">
        <f>A7</f>
        <v>22</v>
      </c>
      <c r="H7" s="5">
        <f>D7</f>
        <v>98.04624029301641</v>
      </c>
    </row>
    <row r="8" spans="1:8" x14ac:dyDescent="0.3">
      <c r="A8" s="4">
        <v>21</v>
      </c>
      <c r="B8" s="7">
        <v>1909656</v>
      </c>
      <c r="C8" s="7">
        <v>1873942</v>
      </c>
      <c r="D8" s="5">
        <f t="shared" si="0"/>
        <v>98.12982023987567</v>
      </c>
      <c r="G8">
        <f>A8</f>
        <v>21</v>
      </c>
      <c r="H8" s="5">
        <f>D8</f>
        <v>98.12982023987567</v>
      </c>
    </row>
    <row r="9" spans="1:8" x14ac:dyDescent="0.3">
      <c r="A9" s="4">
        <v>20</v>
      </c>
      <c r="B9" s="7">
        <v>2143046</v>
      </c>
      <c r="C9" s="7">
        <v>2105095</v>
      </c>
      <c r="D9" s="5">
        <f t="shared" si="0"/>
        <v>98.229109407824183</v>
      </c>
      <c r="G9">
        <f>A9</f>
        <v>20</v>
      </c>
      <c r="H9" s="5">
        <f>D9</f>
        <v>98.229109407824183</v>
      </c>
    </row>
    <row r="10" spans="1:8" x14ac:dyDescent="0.3">
      <c r="A10" s="4">
        <v>19</v>
      </c>
      <c r="B10" s="7">
        <v>4780290</v>
      </c>
      <c r="C10" s="7">
        <v>4889698</v>
      </c>
      <c r="D10" s="5">
        <f t="shared" si="0"/>
        <v>102.28873143679567</v>
      </c>
      <c r="G10">
        <f>A10</f>
        <v>19</v>
      </c>
      <c r="H10" s="5">
        <f>D10</f>
        <v>102.28873143679567</v>
      </c>
    </row>
    <row r="11" spans="1:8" x14ac:dyDescent="0.3">
      <c r="A11" s="4">
        <v>18</v>
      </c>
      <c r="B11" s="7">
        <v>2244972</v>
      </c>
      <c r="C11" s="7">
        <v>2194939</v>
      </c>
      <c r="D11" s="5">
        <f t="shared" si="0"/>
        <v>97.771330778290334</v>
      </c>
      <c r="G11">
        <f>A11</f>
        <v>18</v>
      </c>
      <c r="H11" s="5">
        <f>D11</f>
        <v>97.771330778290334</v>
      </c>
    </row>
    <row r="12" spans="1:8" x14ac:dyDescent="0.3">
      <c r="A12" s="4">
        <v>17</v>
      </c>
      <c r="B12" s="7">
        <v>3535440</v>
      </c>
      <c r="C12" s="7">
        <v>3556580</v>
      </c>
      <c r="D12" s="5">
        <f t="shared" si="0"/>
        <v>100.59794537596451</v>
      </c>
      <c r="G12">
        <f>A12</f>
        <v>17</v>
      </c>
      <c r="H12" s="5">
        <f>D12</f>
        <v>100.59794537596451</v>
      </c>
    </row>
    <row r="13" spans="1:8" x14ac:dyDescent="0.3">
      <c r="A13" s="4">
        <v>16</v>
      </c>
      <c r="B13" s="7">
        <v>3635323</v>
      </c>
      <c r="C13" s="7">
        <v>3619302</v>
      </c>
      <c r="D13" s="5">
        <f t="shared" si="0"/>
        <v>99.559296381642014</v>
      </c>
      <c r="G13">
        <f>A13</f>
        <v>16</v>
      </c>
      <c r="H13" s="5">
        <f>D13</f>
        <v>99.559296381642014</v>
      </c>
    </row>
    <row r="14" spans="1:8" x14ac:dyDescent="0.3">
      <c r="A14" s="4">
        <v>15</v>
      </c>
      <c r="B14" s="7">
        <v>3472920</v>
      </c>
      <c r="C14" s="7">
        <v>3459120</v>
      </c>
      <c r="D14" s="5">
        <f t="shared" si="0"/>
        <v>99.602639853495049</v>
      </c>
      <c r="G14">
        <f>A14</f>
        <v>15</v>
      </c>
      <c r="H14" s="5">
        <f>D14</f>
        <v>99.602639853495049</v>
      </c>
    </row>
    <row r="15" spans="1:8" x14ac:dyDescent="0.3">
      <c r="A15" s="4">
        <v>14</v>
      </c>
      <c r="B15" s="7">
        <v>2621463</v>
      </c>
      <c r="C15" s="7">
        <v>2592600</v>
      </c>
      <c r="D15" s="5">
        <f t="shared" si="0"/>
        <v>98.898973588412275</v>
      </c>
      <c r="G15">
        <f>A15</f>
        <v>14</v>
      </c>
      <c r="H15" s="5">
        <f>D15</f>
        <v>98.898973588412275</v>
      </c>
    </row>
    <row r="16" spans="1:8" x14ac:dyDescent="0.3">
      <c r="A16" s="4">
        <v>13</v>
      </c>
      <c r="B16" s="7">
        <v>2847342</v>
      </c>
      <c r="C16" s="7">
        <v>2912520</v>
      </c>
      <c r="D16" s="5">
        <f t="shared" si="0"/>
        <v>102.28908223880377</v>
      </c>
      <c r="G16">
        <f>A16</f>
        <v>13</v>
      </c>
      <c r="H16" s="5">
        <f>D16</f>
        <v>102.28908223880377</v>
      </c>
    </row>
    <row r="17" spans="1:8" x14ac:dyDescent="0.3">
      <c r="A17" s="4">
        <v>12</v>
      </c>
      <c r="B17" s="7">
        <v>3085296</v>
      </c>
      <c r="C17" s="7">
        <v>3045480</v>
      </c>
      <c r="D17" s="5">
        <f t="shared" si="0"/>
        <v>98.709491731101323</v>
      </c>
      <c r="G17">
        <f>A17</f>
        <v>12</v>
      </c>
      <c r="H17" s="5">
        <f>D17</f>
        <v>98.709491731101323</v>
      </c>
    </row>
    <row r="18" spans="1:8" x14ac:dyDescent="0.3">
      <c r="A18" s="4">
        <v>11</v>
      </c>
      <c r="B18" s="7">
        <v>2318072</v>
      </c>
      <c r="C18" s="7">
        <v>2300486</v>
      </c>
      <c r="D18" s="5">
        <f t="shared" si="0"/>
        <v>99.241352296218579</v>
      </c>
      <c r="G18">
        <f>A18</f>
        <v>11</v>
      </c>
      <c r="H18" s="5">
        <f>D18</f>
        <v>99.241352296218579</v>
      </c>
    </row>
    <row r="19" spans="1:8" x14ac:dyDescent="0.3">
      <c r="A19" s="4">
        <v>10</v>
      </c>
      <c r="B19" s="7">
        <v>7077220</v>
      </c>
      <c r="C19" s="7">
        <v>6771900</v>
      </c>
      <c r="D19" s="5">
        <f t="shared" si="0"/>
        <v>95.685876657783709</v>
      </c>
      <c r="G19">
        <f>A19</f>
        <v>10</v>
      </c>
      <c r="H19" s="5">
        <f>D19</f>
        <v>95.685876657783709</v>
      </c>
    </row>
    <row r="20" spans="1:8" x14ac:dyDescent="0.3">
      <c r="A20" s="4">
        <v>9</v>
      </c>
      <c r="B20" s="7">
        <v>3306283</v>
      </c>
      <c r="C20" s="7">
        <v>3244759</v>
      </c>
      <c r="D20" s="5">
        <f t="shared" si="0"/>
        <v>98.13917925356057</v>
      </c>
      <c r="G20">
        <f>A20</f>
        <v>9</v>
      </c>
      <c r="H20" s="5">
        <f>D20</f>
        <v>98.13917925356057</v>
      </c>
    </row>
    <row r="21" spans="1:8" x14ac:dyDescent="0.3">
      <c r="A21" s="4">
        <v>8</v>
      </c>
      <c r="B21" s="7">
        <v>9019482</v>
      </c>
      <c r="C21" s="7">
        <v>8660573</v>
      </c>
      <c r="D21" s="5">
        <f t="shared" si="0"/>
        <v>96.02073600235579</v>
      </c>
      <c r="G21">
        <f>A21</f>
        <v>8</v>
      </c>
      <c r="H21" s="5">
        <f>D21</f>
        <v>96.02073600235579</v>
      </c>
    </row>
    <row r="22" spans="1:8" x14ac:dyDescent="0.3">
      <c r="A22" s="4">
        <v>7</v>
      </c>
      <c r="B22" s="7">
        <v>4257968</v>
      </c>
      <c r="C22" s="7">
        <v>4055743</v>
      </c>
      <c r="D22" s="5">
        <f t="shared" si="0"/>
        <v>95.250668863645757</v>
      </c>
      <c r="G22">
        <f>A22</f>
        <v>7</v>
      </c>
      <c r="H22" s="5">
        <f>D22</f>
        <v>95.250668863645757</v>
      </c>
    </row>
    <row r="23" spans="1:8" x14ac:dyDescent="0.3">
      <c r="A23" s="4">
        <v>6</v>
      </c>
      <c r="B23" s="7">
        <v>2839100</v>
      </c>
      <c r="C23" s="7">
        <v>2744744</v>
      </c>
      <c r="D23" s="5">
        <f t="shared" si="0"/>
        <v>96.676552428586533</v>
      </c>
      <c r="G23">
        <f>A23</f>
        <v>6</v>
      </c>
      <c r="H23" s="5">
        <f>D23</f>
        <v>96.676552428586533</v>
      </c>
    </row>
    <row r="24" spans="1:8" x14ac:dyDescent="0.3">
      <c r="A24" s="4">
        <v>5</v>
      </c>
      <c r="B24" s="7">
        <v>2490113</v>
      </c>
      <c r="C24" s="7">
        <v>2456220</v>
      </c>
      <c r="D24" s="5">
        <f t="shared" si="0"/>
        <v>98.638897110291779</v>
      </c>
      <c r="G24">
        <f>A24</f>
        <v>5</v>
      </c>
      <c r="H24" s="5">
        <f>D24</f>
        <v>98.638897110291779</v>
      </c>
    </row>
    <row r="25" spans="1:8" x14ac:dyDescent="0.3">
      <c r="A25" s="4">
        <v>4</v>
      </c>
      <c r="B25" s="7">
        <v>3845257</v>
      </c>
      <c r="C25" s="7">
        <v>5449380</v>
      </c>
      <c r="D25" s="5">
        <f t="shared" si="0"/>
        <v>141.71692555270036</v>
      </c>
      <c r="G25">
        <f>A25</f>
        <v>4</v>
      </c>
      <c r="H25" s="5">
        <f>D25</f>
        <v>141.71692555270036</v>
      </c>
    </row>
    <row r="26" spans="1:8" x14ac:dyDescent="0.3">
      <c r="A26" s="4">
        <v>3</v>
      </c>
      <c r="B26" s="7">
        <v>5537088</v>
      </c>
      <c r="C26" s="7">
        <v>5449380</v>
      </c>
      <c r="D26" s="5">
        <f t="shared" si="0"/>
        <v>98.415990498977081</v>
      </c>
      <c r="G26">
        <f>A26</f>
        <v>3</v>
      </c>
      <c r="H26" s="5">
        <f>D26</f>
        <v>98.415990498977081</v>
      </c>
    </row>
    <row r="27" spans="1:8" x14ac:dyDescent="0.3">
      <c r="A27" s="4">
        <v>2</v>
      </c>
      <c r="B27" s="7">
        <v>1213746</v>
      </c>
      <c r="C27" s="7">
        <v>1197144</v>
      </c>
      <c r="D27" s="5">
        <f t="shared" si="0"/>
        <v>98.63216850972114</v>
      </c>
      <c r="G27">
        <f>A27</f>
        <v>2</v>
      </c>
      <c r="H27" s="5">
        <f>D27</f>
        <v>98.63216850972114</v>
      </c>
    </row>
    <row r="28" spans="1:8" x14ac:dyDescent="0.3">
      <c r="A28" s="4">
        <v>1</v>
      </c>
      <c r="B28" s="7">
        <v>3701375</v>
      </c>
      <c r="C28" s="7">
        <v>3664315</v>
      </c>
      <c r="D28" s="5">
        <f t="shared" si="0"/>
        <v>98.998750464354472</v>
      </c>
      <c r="G28">
        <f>A28</f>
        <v>1</v>
      </c>
      <c r="H28" s="5">
        <f>D28</f>
        <v>98.998750464354472</v>
      </c>
    </row>
    <row r="29" spans="1:8" x14ac:dyDescent="0.3">
      <c r="A29" s="4" t="s">
        <v>88</v>
      </c>
      <c r="B29" s="7">
        <v>96521045</v>
      </c>
      <c r="C29" s="7">
        <v>96312882</v>
      </c>
      <c r="D29" s="5">
        <f>C29/B29*100</f>
        <v>99.784334079681798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BA6C8-12C3-4F81-BAA0-8D2A2CA337D4}">
  <dimension ref="A1:I301"/>
  <sheetViews>
    <sheetView topLeftCell="A2" workbookViewId="0">
      <selection sqref="A1:I301"/>
    </sheetView>
  </sheetViews>
  <sheetFormatPr defaultRowHeight="14.4" x14ac:dyDescent="0.3"/>
  <cols>
    <col min="1" max="1" width="10.33203125" bestFit="1" customWidth="1"/>
    <col min="2" max="2" width="15.77734375" bestFit="1" customWidth="1"/>
    <col min="3" max="3" width="15.44140625" bestFit="1" customWidth="1"/>
    <col min="4" max="4" width="10.109375" bestFit="1" customWidth="1"/>
    <col min="5" max="5" width="22.88671875" bestFit="1" customWidth="1"/>
    <col min="6" max="6" width="21.5546875" bestFit="1" customWidth="1"/>
    <col min="7" max="7" width="14" bestFit="1" customWidth="1"/>
    <col min="9" max="9" width="8.88671875" style="2"/>
  </cols>
  <sheetData>
    <row r="1" spans="1:9" x14ac:dyDescent="0.3">
      <c r="A1" t="s">
        <v>34</v>
      </c>
      <c r="B1" t="s">
        <v>35</v>
      </c>
      <c r="C1" t="s">
        <v>36</v>
      </c>
      <c r="D1" t="s">
        <v>0</v>
      </c>
      <c r="E1" t="s">
        <v>37</v>
      </c>
      <c r="F1" t="s">
        <v>38</v>
      </c>
      <c r="G1" t="s">
        <v>39</v>
      </c>
      <c r="H1" t="s">
        <v>83</v>
      </c>
      <c r="I1" s="2" t="s">
        <v>84</v>
      </c>
    </row>
    <row r="2" spans="1:9" x14ac:dyDescent="0.3">
      <c r="A2" s="1">
        <v>45748</v>
      </c>
      <c r="B2">
        <v>30</v>
      </c>
      <c r="C2" t="s">
        <v>40</v>
      </c>
      <c r="D2">
        <v>1</v>
      </c>
      <c r="E2">
        <v>217947</v>
      </c>
      <c r="F2">
        <v>209819</v>
      </c>
      <c r="G2">
        <v>0</v>
      </c>
      <c r="H2" t="str">
        <f t="shared" ref="H2:H65" si="0">IF(COUNTIFS($D$2:$D$301,D3,$A$2:$A$301,A3)&gt;1,"Duplicate","Unique")</f>
        <v>Unique</v>
      </c>
      <c r="I2" s="2">
        <f t="shared" ref="I2:I65" si="1">F2/E2*100</f>
        <v>96.270652956911533</v>
      </c>
    </row>
    <row r="3" spans="1:9" x14ac:dyDescent="0.3">
      <c r="A3" s="1">
        <v>45778</v>
      </c>
      <c r="B3">
        <v>31</v>
      </c>
      <c r="C3" t="s">
        <v>40</v>
      </c>
      <c r="D3">
        <v>1</v>
      </c>
      <c r="E3">
        <v>254619</v>
      </c>
      <c r="F3">
        <v>274677</v>
      </c>
      <c r="G3">
        <v>0</v>
      </c>
      <c r="H3" t="str">
        <f t="shared" si="0"/>
        <v>Unique</v>
      </c>
      <c r="I3" s="2">
        <f t="shared" si="1"/>
        <v>107.87765249254768</v>
      </c>
    </row>
    <row r="4" spans="1:9" x14ac:dyDescent="0.3">
      <c r="A4" s="1">
        <v>45809</v>
      </c>
      <c r="B4">
        <v>30</v>
      </c>
      <c r="C4" t="s">
        <v>40</v>
      </c>
      <c r="D4">
        <v>1</v>
      </c>
      <c r="E4">
        <v>605946</v>
      </c>
      <c r="F4">
        <v>611235</v>
      </c>
      <c r="G4">
        <v>0</v>
      </c>
      <c r="H4" t="str">
        <f t="shared" si="0"/>
        <v>Unique</v>
      </c>
      <c r="I4" s="2">
        <f t="shared" si="1"/>
        <v>100.87285005594558</v>
      </c>
    </row>
    <row r="5" spans="1:9" x14ac:dyDescent="0.3">
      <c r="A5" s="1">
        <v>45839</v>
      </c>
      <c r="B5">
        <v>31</v>
      </c>
      <c r="C5" t="s">
        <v>40</v>
      </c>
      <c r="D5">
        <v>1</v>
      </c>
      <c r="E5">
        <v>916873</v>
      </c>
      <c r="F5">
        <v>897647</v>
      </c>
      <c r="G5">
        <v>0</v>
      </c>
      <c r="H5" t="str">
        <f t="shared" si="0"/>
        <v>Unique</v>
      </c>
      <c r="I5" s="2">
        <f t="shared" si="1"/>
        <v>97.903090177156486</v>
      </c>
    </row>
    <row r="6" spans="1:9" x14ac:dyDescent="0.3">
      <c r="A6" s="1">
        <v>45870</v>
      </c>
      <c r="B6">
        <v>31</v>
      </c>
      <c r="C6" t="s">
        <v>40</v>
      </c>
      <c r="D6">
        <v>1</v>
      </c>
      <c r="E6">
        <v>456470</v>
      </c>
      <c r="F6">
        <v>448823</v>
      </c>
      <c r="G6">
        <v>0</v>
      </c>
      <c r="H6" t="str">
        <f t="shared" si="0"/>
        <v>Unique</v>
      </c>
      <c r="I6" s="2">
        <f t="shared" si="1"/>
        <v>98.324752995815714</v>
      </c>
    </row>
    <row r="7" spans="1:9" x14ac:dyDescent="0.3">
      <c r="A7" s="1">
        <v>45901</v>
      </c>
      <c r="B7">
        <v>30</v>
      </c>
      <c r="C7" t="s">
        <v>40</v>
      </c>
      <c r="D7">
        <v>1</v>
      </c>
      <c r="E7">
        <v>212766</v>
      </c>
      <c r="F7">
        <v>217455</v>
      </c>
      <c r="G7">
        <v>0</v>
      </c>
      <c r="H7" t="str">
        <f t="shared" si="0"/>
        <v>Unique</v>
      </c>
      <c r="I7" s="2">
        <f t="shared" si="1"/>
        <v>102.20382955923408</v>
      </c>
    </row>
    <row r="8" spans="1:9" x14ac:dyDescent="0.3">
      <c r="A8" s="1">
        <v>45931</v>
      </c>
      <c r="B8">
        <v>31</v>
      </c>
      <c r="C8" t="s">
        <v>40</v>
      </c>
      <c r="D8">
        <v>1</v>
      </c>
      <c r="E8">
        <v>158041</v>
      </c>
      <c r="F8">
        <v>152769</v>
      </c>
      <c r="G8">
        <v>0</v>
      </c>
      <c r="H8" t="str">
        <f t="shared" si="0"/>
        <v>Unique</v>
      </c>
      <c r="I8" s="2">
        <f t="shared" si="1"/>
        <v>96.66415676944591</v>
      </c>
    </row>
    <row r="9" spans="1:9" x14ac:dyDescent="0.3">
      <c r="A9" s="1">
        <v>45962</v>
      </c>
      <c r="B9">
        <v>30</v>
      </c>
      <c r="C9" t="s">
        <v>40</v>
      </c>
      <c r="D9">
        <v>1</v>
      </c>
      <c r="E9">
        <v>228812</v>
      </c>
      <c r="F9">
        <v>216193</v>
      </c>
      <c r="G9">
        <v>0</v>
      </c>
      <c r="H9" t="str">
        <f t="shared" si="0"/>
        <v>Unique</v>
      </c>
      <c r="I9" s="2">
        <f t="shared" si="1"/>
        <v>94.484992045871721</v>
      </c>
    </row>
    <row r="10" spans="1:9" x14ac:dyDescent="0.3">
      <c r="A10" s="1">
        <v>45992</v>
      </c>
      <c r="B10">
        <v>31</v>
      </c>
      <c r="C10" t="s">
        <v>40</v>
      </c>
      <c r="D10">
        <v>1</v>
      </c>
      <c r="E10">
        <v>355409</v>
      </c>
      <c r="F10">
        <v>355304</v>
      </c>
      <c r="G10">
        <v>0</v>
      </c>
      <c r="H10" t="str">
        <f t="shared" si="0"/>
        <v>Unique</v>
      </c>
      <c r="I10" s="2">
        <f t="shared" si="1"/>
        <v>99.970456572568494</v>
      </c>
    </row>
    <row r="11" spans="1:9" x14ac:dyDescent="0.3">
      <c r="A11" s="1">
        <v>46023</v>
      </c>
      <c r="B11">
        <v>31</v>
      </c>
      <c r="C11" t="s">
        <v>40</v>
      </c>
      <c r="D11">
        <v>1</v>
      </c>
      <c r="E11">
        <v>88129</v>
      </c>
      <c r="F11">
        <v>83708</v>
      </c>
      <c r="G11">
        <v>0</v>
      </c>
      <c r="H11" t="str">
        <f t="shared" si="0"/>
        <v>Unique</v>
      </c>
      <c r="I11" s="2">
        <f t="shared" si="1"/>
        <v>94.98349011108715</v>
      </c>
    </row>
    <row r="12" spans="1:9" x14ac:dyDescent="0.3">
      <c r="A12" s="1">
        <v>46054</v>
      </c>
      <c r="B12">
        <v>28</v>
      </c>
      <c r="C12" t="s">
        <v>40</v>
      </c>
      <c r="D12">
        <v>1</v>
      </c>
      <c r="E12">
        <v>104770</v>
      </c>
      <c r="F12">
        <v>101267</v>
      </c>
      <c r="G12">
        <v>0</v>
      </c>
      <c r="H12" t="str">
        <f t="shared" si="0"/>
        <v>Unique</v>
      </c>
      <c r="I12" s="2">
        <f t="shared" si="1"/>
        <v>96.656485635200923</v>
      </c>
    </row>
    <row r="13" spans="1:9" x14ac:dyDescent="0.3">
      <c r="A13" s="1">
        <v>46082</v>
      </c>
      <c r="B13">
        <v>31</v>
      </c>
      <c r="C13" t="s">
        <v>40</v>
      </c>
      <c r="D13">
        <v>1</v>
      </c>
      <c r="E13">
        <v>101593</v>
      </c>
      <c r="F13">
        <v>95418</v>
      </c>
      <c r="G13">
        <v>0</v>
      </c>
      <c r="H13" t="str">
        <f t="shared" si="0"/>
        <v>Unique</v>
      </c>
      <c r="I13" s="2">
        <f t="shared" si="1"/>
        <v>93.921825322610815</v>
      </c>
    </row>
    <row r="14" spans="1:9" x14ac:dyDescent="0.3">
      <c r="A14" s="1">
        <v>45748</v>
      </c>
      <c r="B14">
        <v>30</v>
      </c>
      <c r="C14" t="s">
        <v>40</v>
      </c>
      <c r="D14">
        <v>2</v>
      </c>
      <c r="E14">
        <v>61241</v>
      </c>
      <c r="F14">
        <v>59664</v>
      </c>
      <c r="G14">
        <v>1404</v>
      </c>
      <c r="H14" t="str">
        <f t="shared" si="0"/>
        <v>Unique</v>
      </c>
      <c r="I14" s="2">
        <f t="shared" si="1"/>
        <v>97.424927744484904</v>
      </c>
    </row>
    <row r="15" spans="1:9" x14ac:dyDescent="0.3">
      <c r="A15" s="1">
        <v>45778</v>
      </c>
      <c r="B15">
        <v>31</v>
      </c>
      <c r="C15" t="s">
        <v>40</v>
      </c>
      <c r="D15">
        <v>2</v>
      </c>
      <c r="E15">
        <v>144532</v>
      </c>
      <c r="F15">
        <v>142434</v>
      </c>
      <c r="G15">
        <v>672</v>
      </c>
      <c r="H15" t="str">
        <f t="shared" si="0"/>
        <v>Unique</v>
      </c>
      <c r="I15" s="2">
        <f t="shared" si="1"/>
        <v>98.548418343342647</v>
      </c>
    </row>
    <row r="16" spans="1:9" x14ac:dyDescent="0.3">
      <c r="A16" s="1">
        <v>45809</v>
      </c>
      <c r="B16">
        <v>30</v>
      </c>
      <c r="C16" t="s">
        <v>40</v>
      </c>
      <c r="D16">
        <v>2</v>
      </c>
      <c r="E16">
        <v>212401</v>
      </c>
      <c r="F16">
        <v>209574</v>
      </c>
      <c r="G16">
        <v>66</v>
      </c>
      <c r="H16" t="str">
        <f t="shared" si="0"/>
        <v>Unique</v>
      </c>
      <c r="I16" s="2">
        <f t="shared" si="1"/>
        <v>98.669026981982185</v>
      </c>
    </row>
    <row r="17" spans="1:9" x14ac:dyDescent="0.3">
      <c r="A17" s="1">
        <v>45839</v>
      </c>
      <c r="B17">
        <v>31</v>
      </c>
      <c r="C17" t="s">
        <v>40</v>
      </c>
      <c r="D17">
        <v>2</v>
      </c>
      <c r="E17">
        <v>251795</v>
      </c>
      <c r="F17">
        <v>247152</v>
      </c>
      <c r="G17">
        <v>72</v>
      </c>
      <c r="H17" t="str">
        <f t="shared" si="0"/>
        <v>Unique</v>
      </c>
      <c r="I17" s="2">
        <f t="shared" si="1"/>
        <v>98.156039635417699</v>
      </c>
    </row>
    <row r="18" spans="1:9" x14ac:dyDescent="0.3">
      <c r="A18" s="1">
        <v>45870</v>
      </c>
      <c r="B18">
        <v>31</v>
      </c>
      <c r="C18" t="s">
        <v>40</v>
      </c>
      <c r="D18">
        <v>2</v>
      </c>
      <c r="E18">
        <v>173052</v>
      </c>
      <c r="F18">
        <v>170958</v>
      </c>
      <c r="G18">
        <v>216</v>
      </c>
      <c r="H18" t="str">
        <f t="shared" si="0"/>
        <v>Unique</v>
      </c>
      <c r="I18" s="2">
        <f t="shared" si="1"/>
        <v>98.789959087441929</v>
      </c>
    </row>
    <row r="19" spans="1:9" x14ac:dyDescent="0.3">
      <c r="A19" s="1">
        <v>45901</v>
      </c>
      <c r="B19">
        <v>30</v>
      </c>
      <c r="C19" t="s">
        <v>40</v>
      </c>
      <c r="D19">
        <v>2</v>
      </c>
      <c r="E19">
        <v>152977</v>
      </c>
      <c r="F19">
        <v>151764</v>
      </c>
      <c r="G19">
        <v>102</v>
      </c>
      <c r="H19" t="str">
        <f t="shared" si="0"/>
        <v>Unique</v>
      </c>
      <c r="I19" s="2">
        <f t="shared" si="1"/>
        <v>99.207070343907915</v>
      </c>
    </row>
    <row r="20" spans="1:9" x14ac:dyDescent="0.3">
      <c r="A20" s="1">
        <v>45931</v>
      </c>
      <c r="B20">
        <v>31</v>
      </c>
      <c r="C20" t="s">
        <v>40</v>
      </c>
      <c r="D20">
        <v>2</v>
      </c>
      <c r="E20">
        <v>65827</v>
      </c>
      <c r="F20">
        <v>64434</v>
      </c>
      <c r="G20">
        <v>870</v>
      </c>
      <c r="H20" t="str">
        <f t="shared" si="0"/>
        <v>Unique</v>
      </c>
      <c r="I20" s="2">
        <f t="shared" si="1"/>
        <v>97.883847053640608</v>
      </c>
    </row>
    <row r="21" spans="1:9" x14ac:dyDescent="0.3">
      <c r="A21" s="1">
        <v>45962</v>
      </c>
      <c r="B21">
        <v>30</v>
      </c>
      <c r="C21" t="s">
        <v>40</v>
      </c>
      <c r="D21">
        <v>2</v>
      </c>
      <c r="E21">
        <v>36192</v>
      </c>
      <c r="F21">
        <v>36330</v>
      </c>
      <c r="G21">
        <v>840</v>
      </c>
      <c r="H21" t="str">
        <f t="shared" si="0"/>
        <v>Unique</v>
      </c>
      <c r="I21" s="2">
        <f t="shared" si="1"/>
        <v>100.38129973474801</v>
      </c>
    </row>
    <row r="22" spans="1:9" x14ac:dyDescent="0.3">
      <c r="A22" s="1">
        <v>45992</v>
      </c>
      <c r="B22">
        <v>31</v>
      </c>
      <c r="C22" t="s">
        <v>40</v>
      </c>
      <c r="D22">
        <v>2</v>
      </c>
      <c r="E22">
        <v>26592</v>
      </c>
      <c r="F22">
        <v>26292</v>
      </c>
      <c r="G22">
        <v>966</v>
      </c>
      <c r="H22" t="str">
        <f t="shared" si="0"/>
        <v>Unique</v>
      </c>
      <c r="I22" s="2">
        <f t="shared" si="1"/>
        <v>98.871841155234648</v>
      </c>
    </row>
    <row r="23" spans="1:9" x14ac:dyDescent="0.3">
      <c r="A23" s="1">
        <v>46023</v>
      </c>
      <c r="B23">
        <v>31</v>
      </c>
      <c r="C23" t="s">
        <v>40</v>
      </c>
      <c r="D23">
        <v>2</v>
      </c>
      <c r="E23">
        <v>28477</v>
      </c>
      <c r="F23">
        <v>28206</v>
      </c>
      <c r="G23">
        <v>954</v>
      </c>
      <c r="H23" t="str">
        <f t="shared" si="0"/>
        <v>Unique</v>
      </c>
      <c r="I23" s="2">
        <f t="shared" si="1"/>
        <v>99.04835481265583</v>
      </c>
    </row>
    <row r="24" spans="1:9" x14ac:dyDescent="0.3">
      <c r="A24" s="1">
        <v>46054</v>
      </c>
      <c r="B24">
        <v>28</v>
      </c>
      <c r="C24" t="s">
        <v>40</v>
      </c>
      <c r="D24">
        <v>2</v>
      </c>
      <c r="E24">
        <v>24663</v>
      </c>
      <c r="F24">
        <v>24264</v>
      </c>
      <c r="G24">
        <v>858</v>
      </c>
      <c r="H24" t="str">
        <f t="shared" si="0"/>
        <v>Unique</v>
      </c>
      <c r="I24" s="2">
        <f t="shared" si="1"/>
        <v>98.382191947451645</v>
      </c>
    </row>
    <row r="25" spans="1:9" x14ac:dyDescent="0.3">
      <c r="A25" s="1">
        <v>46082</v>
      </c>
      <c r="B25">
        <v>31</v>
      </c>
      <c r="C25" t="s">
        <v>40</v>
      </c>
      <c r="D25">
        <v>2</v>
      </c>
      <c r="E25">
        <v>35997</v>
      </c>
      <c r="F25">
        <v>36072</v>
      </c>
      <c r="G25">
        <v>978</v>
      </c>
      <c r="H25" t="str">
        <f t="shared" si="0"/>
        <v>Unique</v>
      </c>
      <c r="I25" s="2">
        <f t="shared" si="1"/>
        <v>100.20835069589134</v>
      </c>
    </row>
    <row r="26" spans="1:9" x14ac:dyDescent="0.3">
      <c r="A26" s="1">
        <v>45748</v>
      </c>
      <c r="B26">
        <v>30</v>
      </c>
      <c r="C26" t="s">
        <v>40</v>
      </c>
      <c r="D26">
        <v>3</v>
      </c>
      <c r="E26">
        <v>272213</v>
      </c>
      <c r="F26">
        <v>261840</v>
      </c>
      <c r="G26">
        <v>9240</v>
      </c>
      <c r="H26" t="str">
        <f t="shared" si="0"/>
        <v>Unique</v>
      </c>
      <c r="I26" s="2">
        <f t="shared" si="1"/>
        <v>96.189381109645751</v>
      </c>
    </row>
    <row r="27" spans="1:9" x14ac:dyDescent="0.3">
      <c r="A27" s="1">
        <v>45778</v>
      </c>
      <c r="B27">
        <v>31</v>
      </c>
      <c r="C27" t="s">
        <v>40</v>
      </c>
      <c r="D27">
        <v>3</v>
      </c>
      <c r="E27">
        <v>589198</v>
      </c>
      <c r="F27">
        <v>579600</v>
      </c>
      <c r="G27">
        <v>4050</v>
      </c>
      <c r="H27" t="str">
        <f t="shared" si="0"/>
        <v>Unique</v>
      </c>
      <c r="I27" s="2">
        <f t="shared" si="1"/>
        <v>98.371006011561477</v>
      </c>
    </row>
    <row r="28" spans="1:9" x14ac:dyDescent="0.3">
      <c r="A28" s="1">
        <v>45809</v>
      </c>
      <c r="B28">
        <v>30</v>
      </c>
      <c r="C28" t="s">
        <v>40</v>
      </c>
      <c r="D28">
        <v>3</v>
      </c>
      <c r="E28">
        <v>899206</v>
      </c>
      <c r="F28">
        <v>887940</v>
      </c>
      <c r="G28">
        <v>240</v>
      </c>
      <c r="H28" t="str">
        <f t="shared" si="0"/>
        <v>Unique</v>
      </c>
      <c r="I28" s="2">
        <f t="shared" si="1"/>
        <v>98.747116900910356</v>
      </c>
    </row>
    <row r="29" spans="1:9" x14ac:dyDescent="0.3">
      <c r="A29" s="1">
        <v>45839</v>
      </c>
      <c r="B29">
        <v>31</v>
      </c>
      <c r="C29" t="s">
        <v>40</v>
      </c>
      <c r="D29">
        <v>3</v>
      </c>
      <c r="E29">
        <v>1233923</v>
      </c>
      <c r="F29">
        <v>1208880</v>
      </c>
      <c r="G29">
        <v>30</v>
      </c>
      <c r="H29" t="str">
        <f t="shared" si="0"/>
        <v>Unique</v>
      </c>
      <c r="I29" s="2">
        <f t="shared" si="1"/>
        <v>97.970456827532999</v>
      </c>
    </row>
    <row r="30" spans="1:9" x14ac:dyDescent="0.3">
      <c r="A30" s="1">
        <v>45870</v>
      </c>
      <c r="B30">
        <v>31</v>
      </c>
      <c r="C30" t="s">
        <v>40</v>
      </c>
      <c r="D30">
        <v>3</v>
      </c>
      <c r="E30">
        <v>848303</v>
      </c>
      <c r="F30">
        <v>834270</v>
      </c>
      <c r="G30">
        <v>600</v>
      </c>
      <c r="H30" t="str">
        <f t="shared" si="0"/>
        <v>Unique</v>
      </c>
      <c r="I30" s="2">
        <f t="shared" si="1"/>
        <v>98.345756174385798</v>
      </c>
    </row>
    <row r="31" spans="1:9" x14ac:dyDescent="0.3">
      <c r="A31" s="1">
        <v>45901</v>
      </c>
      <c r="B31">
        <v>30</v>
      </c>
      <c r="C31" t="s">
        <v>40</v>
      </c>
      <c r="D31">
        <v>3</v>
      </c>
      <c r="E31">
        <v>606468</v>
      </c>
      <c r="F31">
        <v>597360</v>
      </c>
      <c r="G31">
        <v>150</v>
      </c>
      <c r="H31" t="str">
        <f t="shared" si="0"/>
        <v>Unique</v>
      </c>
      <c r="I31" s="2">
        <f t="shared" si="1"/>
        <v>98.498189517006679</v>
      </c>
    </row>
    <row r="32" spans="1:9" x14ac:dyDescent="0.3">
      <c r="A32" s="1">
        <v>45931</v>
      </c>
      <c r="B32">
        <v>31</v>
      </c>
      <c r="C32" t="s">
        <v>40</v>
      </c>
      <c r="D32">
        <v>3</v>
      </c>
      <c r="E32">
        <v>235504</v>
      </c>
      <c r="F32">
        <v>237390</v>
      </c>
      <c r="G32">
        <v>5100</v>
      </c>
      <c r="H32" t="str">
        <f t="shared" si="0"/>
        <v>Unique</v>
      </c>
      <c r="I32" s="2">
        <f t="shared" si="1"/>
        <v>100.8008356545961</v>
      </c>
    </row>
    <row r="33" spans="1:9" x14ac:dyDescent="0.3">
      <c r="A33" s="1">
        <v>45962</v>
      </c>
      <c r="B33">
        <v>30</v>
      </c>
      <c r="C33" t="s">
        <v>40</v>
      </c>
      <c r="D33">
        <v>3</v>
      </c>
      <c r="E33">
        <v>151607</v>
      </c>
      <c r="F33">
        <v>150810</v>
      </c>
      <c r="G33">
        <v>4080</v>
      </c>
      <c r="H33" t="str">
        <f t="shared" si="0"/>
        <v>Unique</v>
      </c>
      <c r="I33" s="2">
        <f t="shared" si="1"/>
        <v>99.474298680140095</v>
      </c>
    </row>
    <row r="34" spans="1:9" x14ac:dyDescent="0.3">
      <c r="A34" s="1">
        <v>45992</v>
      </c>
      <c r="B34">
        <v>31</v>
      </c>
      <c r="C34" t="s">
        <v>40</v>
      </c>
      <c r="D34">
        <v>3</v>
      </c>
      <c r="E34">
        <v>181737</v>
      </c>
      <c r="F34">
        <v>175080</v>
      </c>
      <c r="G34">
        <v>2580</v>
      </c>
      <c r="H34" t="str">
        <f t="shared" si="0"/>
        <v>Unique</v>
      </c>
      <c r="I34" s="2">
        <f t="shared" si="1"/>
        <v>96.337014476963972</v>
      </c>
    </row>
    <row r="35" spans="1:9" x14ac:dyDescent="0.3">
      <c r="A35" s="1">
        <v>46023</v>
      </c>
      <c r="B35">
        <v>31</v>
      </c>
      <c r="C35" t="s">
        <v>40</v>
      </c>
      <c r="D35">
        <v>3</v>
      </c>
      <c r="E35">
        <v>200483</v>
      </c>
      <c r="F35">
        <v>200040</v>
      </c>
      <c r="G35">
        <v>2640</v>
      </c>
      <c r="H35" t="str">
        <f t="shared" si="0"/>
        <v>Unique</v>
      </c>
      <c r="I35" s="2">
        <f t="shared" si="1"/>
        <v>99.779033633774432</v>
      </c>
    </row>
    <row r="36" spans="1:9" x14ac:dyDescent="0.3">
      <c r="A36" s="1">
        <v>46054</v>
      </c>
      <c r="B36">
        <v>28</v>
      </c>
      <c r="C36" t="s">
        <v>40</v>
      </c>
      <c r="D36">
        <v>3</v>
      </c>
      <c r="E36">
        <v>157615</v>
      </c>
      <c r="F36">
        <v>155580</v>
      </c>
      <c r="G36">
        <v>3630</v>
      </c>
      <c r="H36" t="str">
        <f t="shared" si="0"/>
        <v>Unique</v>
      </c>
      <c r="I36" s="2">
        <f t="shared" si="1"/>
        <v>98.708879231037656</v>
      </c>
    </row>
    <row r="37" spans="1:9" x14ac:dyDescent="0.3">
      <c r="A37" s="1">
        <v>46082</v>
      </c>
      <c r="B37">
        <v>31</v>
      </c>
      <c r="C37" t="s">
        <v>40</v>
      </c>
      <c r="D37">
        <v>3</v>
      </c>
      <c r="E37">
        <v>160831</v>
      </c>
      <c r="F37">
        <v>160590</v>
      </c>
      <c r="G37">
        <v>8430</v>
      </c>
      <c r="H37" t="str">
        <f t="shared" si="0"/>
        <v>Unique</v>
      </c>
      <c r="I37" s="2">
        <f t="shared" si="1"/>
        <v>99.850153266472262</v>
      </c>
    </row>
    <row r="38" spans="1:9" x14ac:dyDescent="0.3">
      <c r="A38" s="1">
        <v>45748</v>
      </c>
      <c r="B38">
        <v>30</v>
      </c>
      <c r="C38" t="s">
        <v>40</v>
      </c>
      <c r="D38">
        <v>4</v>
      </c>
      <c r="E38">
        <v>163814</v>
      </c>
      <c r="F38">
        <v>261840</v>
      </c>
      <c r="G38">
        <v>4912</v>
      </c>
      <c r="H38" t="str">
        <f t="shared" si="0"/>
        <v>Unique</v>
      </c>
      <c r="I38" s="2">
        <f t="shared" si="1"/>
        <v>159.83981833054563</v>
      </c>
    </row>
    <row r="39" spans="1:9" x14ac:dyDescent="0.3">
      <c r="A39" s="1">
        <v>45778</v>
      </c>
      <c r="B39">
        <v>31</v>
      </c>
      <c r="C39" t="s">
        <v>40</v>
      </c>
      <c r="D39">
        <v>4</v>
      </c>
      <c r="E39">
        <v>458888</v>
      </c>
      <c r="F39">
        <v>579600</v>
      </c>
      <c r="G39">
        <v>1690</v>
      </c>
      <c r="H39" t="str">
        <f t="shared" si="0"/>
        <v>Unique</v>
      </c>
      <c r="I39" s="2">
        <f t="shared" si="1"/>
        <v>126.30532940499644</v>
      </c>
    </row>
    <row r="40" spans="1:9" x14ac:dyDescent="0.3">
      <c r="A40" s="1">
        <v>45809</v>
      </c>
      <c r="B40">
        <v>30</v>
      </c>
      <c r="C40" t="s">
        <v>40</v>
      </c>
      <c r="D40">
        <v>4</v>
      </c>
      <c r="E40">
        <v>667791</v>
      </c>
      <c r="F40">
        <v>887940</v>
      </c>
      <c r="G40">
        <v>370</v>
      </c>
      <c r="H40" t="str">
        <f t="shared" si="0"/>
        <v>Unique</v>
      </c>
      <c r="I40" s="2">
        <f t="shared" si="1"/>
        <v>132.96675157347133</v>
      </c>
    </row>
    <row r="41" spans="1:9" x14ac:dyDescent="0.3">
      <c r="A41" s="1">
        <v>45839</v>
      </c>
      <c r="B41">
        <v>31</v>
      </c>
      <c r="C41" t="s">
        <v>40</v>
      </c>
      <c r="D41">
        <v>4</v>
      </c>
      <c r="E41">
        <v>779685</v>
      </c>
      <c r="F41">
        <v>1208880</v>
      </c>
      <c r="G41">
        <v>478</v>
      </c>
      <c r="H41" t="str">
        <f t="shared" si="0"/>
        <v>Unique</v>
      </c>
      <c r="I41" s="2">
        <f t="shared" si="1"/>
        <v>155.04723061236268</v>
      </c>
    </row>
    <row r="42" spans="1:9" x14ac:dyDescent="0.3">
      <c r="A42" s="1">
        <v>45870</v>
      </c>
      <c r="B42">
        <v>31</v>
      </c>
      <c r="C42" t="s">
        <v>40</v>
      </c>
      <c r="D42">
        <v>4</v>
      </c>
      <c r="E42">
        <v>581677</v>
      </c>
      <c r="F42">
        <v>834270</v>
      </c>
      <c r="G42">
        <v>2720</v>
      </c>
      <c r="H42" t="str">
        <f t="shared" si="0"/>
        <v>Unique</v>
      </c>
      <c r="I42" s="2">
        <f t="shared" si="1"/>
        <v>143.42495921275898</v>
      </c>
    </row>
    <row r="43" spans="1:9" x14ac:dyDescent="0.3">
      <c r="A43" s="1">
        <v>45901</v>
      </c>
      <c r="B43">
        <v>30</v>
      </c>
      <c r="C43" t="s">
        <v>40</v>
      </c>
      <c r="D43">
        <v>4</v>
      </c>
      <c r="E43">
        <v>587854</v>
      </c>
      <c r="F43">
        <v>597360</v>
      </c>
      <c r="G43">
        <v>700</v>
      </c>
      <c r="H43" t="str">
        <f t="shared" si="0"/>
        <v>Unique</v>
      </c>
      <c r="I43" s="2">
        <f t="shared" si="1"/>
        <v>101.61706818359661</v>
      </c>
    </row>
    <row r="44" spans="1:9" x14ac:dyDescent="0.3">
      <c r="A44" s="1">
        <v>45931</v>
      </c>
      <c r="B44">
        <v>31</v>
      </c>
      <c r="C44" t="s">
        <v>40</v>
      </c>
      <c r="D44">
        <v>4</v>
      </c>
      <c r="E44">
        <v>188431</v>
      </c>
      <c r="F44">
        <v>237390</v>
      </c>
      <c r="G44">
        <v>5009</v>
      </c>
      <c r="H44" t="str">
        <f t="shared" si="0"/>
        <v>Unique</v>
      </c>
      <c r="I44" s="2">
        <f t="shared" si="1"/>
        <v>125.98245511619639</v>
      </c>
    </row>
    <row r="45" spans="1:9" x14ac:dyDescent="0.3">
      <c r="A45" s="1">
        <v>45962</v>
      </c>
      <c r="B45">
        <v>30</v>
      </c>
      <c r="C45" t="s">
        <v>40</v>
      </c>
      <c r="D45">
        <v>4</v>
      </c>
      <c r="E45">
        <v>100086</v>
      </c>
      <c r="F45">
        <v>150810</v>
      </c>
      <c r="G45">
        <v>5618</v>
      </c>
      <c r="H45" t="str">
        <f t="shared" si="0"/>
        <v>Unique</v>
      </c>
      <c r="I45" s="2">
        <f t="shared" si="1"/>
        <v>150.68041484323481</v>
      </c>
    </row>
    <row r="46" spans="1:9" x14ac:dyDescent="0.3">
      <c r="A46" s="1">
        <v>45992</v>
      </c>
      <c r="B46">
        <v>31</v>
      </c>
      <c r="C46" t="s">
        <v>40</v>
      </c>
      <c r="D46">
        <v>4</v>
      </c>
      <c r="E46">
        <v>70010</v>
      </c>
      <c r="F46">
        <v>175080</v>
      </c>
      <c r="G46">
        <v>5392</v>
      </c>
      <c r="H46" t="str">
        <f t="shared" si="0"/>
        <v>Unique</v>
      </c>
      <c r="I46" s="2">
        <f t="shared" si="1"/>
        <v>250.07856020568488</v>
      </c>
    </row>
    <row r="47" spans="1:9" x14ac:dyDescent="0.3">
      <c r="A47" s="1">
        <v>46023</v>
      </c>
      <c r="B47">
        <v>31</v>
      </c>
      <c r="C47" t="s">
        <v>40</v>
      </c>
      <c r="D47">
        <v>4</v>
      </c>
      <c r="E47">
        <v>88593</v>
      </c>
      <c r="F47">
        <v>200040</v>
      </c>
      <c r="G47">
        <v>4395</v>
      </c>
      <c r="H47" t="str">
        <f t="shared" si="0"/>
        <v>Unique</v>
      </c>
      <c r="I47" s="2">
        <f t="shared" si="1"/>
        <v>225.796620500491</v>
      </c>
    </row>
    <row r="48" spans="1:9" x14ac:dyDescent="0.3">
      <c r="A48" s="1">
        <v>46054</v>
      </c>
      <c r="B48">
        <v>28</v>
      </c>
      <c r="C48" t="s">
        <v>40</v>
      </c>
      <c r="D48">
        <v>4</v>
      </c>
      <c r="E48">
        <v>86588</v>
      </c>
      <c r="F48">
        <v>155580</v>
      </c>
      <c r="G48">
        <v>4384</v>
      </c>
      <c r="H48" t="str">
        <f t="shared" si="0"/>
        <v>Unique</v>
      </c>
      <c r="I48" s="2">
        <f t="shared" si="1"/>
        <v>179.67847738716682</v>
      </c>
    </row>
    <row r="49" spans="1:9" x14ac:dyDescent="0.3">
      <c r="A49" s="1">
        <v>46082</v>
      </c>
      <c r="B49">
        <v>31</v>
      </c>
      <c r="C49" t="s">
        <v>40</v>
      </c>
      <c r="D49">
        <v>4</v>
      </c>
      <c r="E49">
        <v>71840</v>
      </c>
      <c r="F49">
        <v>160590</v>
      </c>
      <c r="G49">
        <v>6278</v>
      </c>
      <c r="H49" t="str">
        <f t="shared" si="0"/>
        <v>Unique</v>
      </c>
      <c r="I49" s="2">
        <f t="shared" si="1"/>
        <v>223.53841870824053</v>
      </c>
    </row>
    <row r="50" spans="1:9" x14ac:dyDescent="0.3">
      <c r="A50" s="1">
        <v>45748</v>
      </c>
      <c r="B50">
        <v>30</v>
      </c>
      <c r="C50" t="s">
        <v>40</v>
      </c>
      <c r="D50">
        <v>5</v>
      </c>
      <c r="E50">
        <v>109526</v>
      </c>
      <c r="F50">
        <v>110052</v>
      </c>
      <c r="G50">
        <v>2544</v>
      </c>
      <c r="H50" t="str">
        <f t="shared" si="0"/>
        <v>Unique</v>
      </c>
      <c r="I50" s="2">
        <f t="shared" si="1"/>
        <v>100.48025126453992</v>
      </c>
    </row>
    <row r="51" spans="1:9" x14ac:dyDescent="0.3">
      <c r="A51" s="1">
        <v>45778</v>
      </c>
      <c r="B51">
        <v>31</v>
      </c>
      <c r="C51" t="s">
        <v>40</v>
      </c>
      <c r="D51">
        <v>5</v>
      </c>
      <c r="E51">
        <v>230066</v>
      </c>
      <c r="F51">
        <v>224220</v>
      </c>
      <c r="G51">
        <v>1536</v>
      </c>
      <c r="H51" t="str">
        <f t="shared" si="0"/>
        <v>Unique</v>
      </c>
      <c r="I51" s="2">
        <f t="shared" si="1"/>
        <v>97.458990028948207</v>
      </c>
    </row>
    <row r="52" spans="1:9" x14ac:dyDescent="0.3">
      <c r="A52" s="1">
        <v>45809</v>
      </c>
      <c r="B52">
        <v>30</v>
      </c>
      <c r="C52" t="s">
        <v>40</v>
      </c>
      <c r="D52">
        <v>5</v>
      </c>
      <c r="E52">
        <v>315371</v>
      </c>
      <c r="F52">
        <v>309600</v>
      </c>
      <c r="G52">
        <v>12</v>
      </c>
      <c r="H52" t="str">
        <f t="shared" si="0"/>
        <v>Unique</v>
      </c>
      <c r="I52" s="2">
        <f t="shared" si="1"/>
        <v>98.170091733228475</v>
      </c>
    </row>
    <row r="53" spans="1:9" x14ac:dyDescent="0.3">
      <c r="A53" s="1">
        <v>45839</v>
      </c>
      <c r="B53">
        <v>31</v>
      </c>
      <c r="C53" t="s">
        <v>40</v>
      </c>
      <c r="D53">
        <v>5</v>
      </c>
      <c r="E53">
        <v>489014</v>
      </c>
      <c r="F53">
        <v>484140</v>
      </c>
      <c r="G53">
        <v>48</v>
      </c>
      <c r="H53" t="str">
        <f t="shared" si="0"/>
        <v>Unique</v>
      </c>
      <c r="I53" s="2">
        <f t="shared" si="1"/>
        <v>99.003300519003545</v>
      </c>
    </row>
    <row r="54" spans="1:9" x14ac:dyDescent="0.3">
      <c r="A54" s="1">
        <v>45870</v>
      </c>
      <c r="B54">
        <v>31</v>
      </c>
      <c r="C54" t="s">
        <v>40</v>
      </c>
      <c r="D54">
        <v>5</v>
      </c>
      <c r="E54">
        <v>356587</v>
      </c>
      <c r="F54">
        <v>358464</v>
      </c>
      <c r="G54">
        <v>96</v>
      </c>
      <c r="H54" t="str">
        <f t="shared" si="0"/>
        <v>Unique</v>
      </c>
      <c r="I54" s="2">
        <f t="shared" si="1"/>
        <v>100.52637925667509</v>
      </c>
    </row>
    <row r="55" spans="1:9" x14ac:dyDescent="0.3">
      <c r="A55" s="1">
        <v>45901</v>
      </c>
      <c r="B55">
        <v>30</v>
      </c>
      <c r="C55" t="s">
        <v>40</v>
      </c>
      <c r="D55">
        <v>5</v>
      </c>
      <c r="E55">
        <v>310040</v>
      </c>
      <c r="F55">
        <v>304452</v>
      </c>
      <c r="G55">
        <v>408</v>
      </c>
      <c r="H55" t="str">
        <f t="shared" si="0"/>
        <v>Unique</v>
      </c>
      <c r="I55" s="2">
        <f t="shared" si="1"/>
        <v>98.197651915881821</v>
      </c>
    </row>
    <row r="56" spans="1:9" x14ac:dyDescent="0.3">
      <c r="A56" s="1">
        <v>45931</v>
      </c>
      <c r="B56">
        <v>31</v>
      </c>
      <c r="C56" t="s">
        <v>40</v>
      </c>
      <c r="D56">
        <v>5</v>
      </c>
      <c r="E56">
        <v>137425</v>
      </c>
      <c r="F56">
        <v>130080</v>
      </c>
      <c r="G56">
        <v>264</v>
      </c>
      <c r="H56" t="str">
        <f t="shared" si="0"/>
        <v>Unique</v>
      </c>
      <c r="I56" s="2">
        <f t="shared" si="1"/>
        <v>94.655266509004903</v>
      </c>
    </row>
    <row r="57" spans="1:9" x14ac:dyDescent="0.3">
      <c r="A57" s="1">
        <v>45962</v>
      </c>
      <c r="B57">
        <v>30</v>
      </c>
      <c r="C57" t="s">
        <v>40</v>
      </c>
      <c r="D57">
        <v>5</v>
      </c>
      <c r="E57">
        <v>113870</v>
      </c>
      <c r="F57">
        <v>109752</v>
      </c>
      <c r="G57">
        <v>2148</v>
      </c>
      <c r="H57" t="str">
        <f t="shared" si="0"/>
        <v>Unique</v>
      </c>
      <c r="I57" s="2">
        <f t="shared" si="1"/>
        <v>96.383595328005626</v>
      </c>
    </row>
    <row r="58" spans="1:9" x14ac:dyDescent="0.3">
      <c r="A58" s="1">
        <v>45992</v>
      </c>
      <c r="B58">
        <v>31</v>
      </c>
      <c r="C58" t="s">
        <v>40</v>
      </c>
      <c r="D58">
        <v>5</v>
      </c>
      <c r="E58">
        <v>120513</v>
      </c>
      <c r="F58">
        <v>119412</v>
      </c>
      <c r="G58">
        <v>1608</v>
      </c>
      <c r="H58" t="str">
        <f t="shared" si="0"/>
        <v>Unique</v>
      </c>
      <c r="I58" s="2">
        <f t="shared" si="1"/>
        <v>99.086405615991637</v>
      </c>
    </row>
    <row r="59" spans="1:9" x14ac:dyDescent="0.3">
      <c r="A59" s="1">
        <v>46023</v>
      </c>
      <c r="B59">
        <v>31</v>
      </c>
      <c r="C59" t="s">
        <v>40</v>
      </c>
      <c r="D59">
        <v>5</v>
      </c>
      <c r="E59">
        <v>138253</v>
      </c>
      <c r="F59">
        <v>137700</v>
      </c>
      <c r="G59">
        <v>1380</v>
      </c>
      <c r="H59" t="str">
        <f t="shared" si="0"/>
        <v>Unique</v>
      </c>
      <c r="I59" s="2">
        <f t="shared" si="1"/>
        <v>99.600008679739318</v>
      </c>
    </row>
    <row r="60" spans="1:9" x14ac:dyDescent="0.3">
      <c r="A60" s="1">
        <v>46054</v>
      </c>
      <c r="B60">
        <v>28</v>
      </c>
      <c r="C60" t="s">
        <v>40</v>
      </c>
      <c r="D60">
        <v>5</v>
      </c>
      <c r="E60">
        <v>90650</v>
      </c>
      <c r="F60">
        <v>89196</v>
      </c>
      <c r="G60">
        <v>1296</v>
      </c>
      <c r="H60" t="str">
        <f t="shared" si="0"/>
        <v>Unique</v>
      </c>
      <c r="I60" s="2">
        <f t="shared" si="1"/>
        <v>98.396028681742962</v>
      </c>
    </row>
    <row r="61" spans="1:9" x14ac:dyDescent="0.3">
      <c r="A61" s="1">
        <v>46082</v>
      </c>
      <c r="B61">
        <v>31</v>
      </c>
      <c r="C61" t="s">
        <v>40</v>
      </c>
      <c r="D61">
        <v>5</v>
      </c>
      <c r="E61">
        <v>78798</v>
      </c>
      <c r="F61">
        <v>79152</v>
      </c>
      <c r="G61">
        <v>3936</v>
      </c>
      <c r="H61" t="str">
        <f t="shared" si="0"/>
        <v>Unique</v>
      </c>
      <c r="I61" s="2">
        <f t="shared" si="1"/>
        <v>100.44924998096398</v>
      </c>
    </row>
    <row r="62" spans="1:9" x14ac:dyDescent="0.3">
      <c r="A62" s="1">
        <v>45748</v>
      </c>
      <c r="B62">
        <v>30</v>
      </c>
      <c r="C62" t="s">
        <v>40</v>
      </c>
      <c r="D62">
        <v>6</v>
      </c>
      <c r="E62">
        <v>331644</v>
      </c>
      <c r="F62">
        <v>323682</v>
      </c>
      <c r="G62">
        <v>4912</v>
      </c>
      <c r="H62" t="str">
        <f t="shared" si="0"/>
        <v>Unique</v>
      </c>
      <c r="I62" s="2">
        <f t="shared" si="1"/>
        <v>97.599232912400041</v>
      </c>
    </row>
    <row r="63" spans="1:9" x14ac:dyDescent="0.3">
      <c r="A63" s="1">
        <v>45778</v>
      </c>
      <c r="B63">
        <v>31</v>
      </c>
      <c r="C63" t="s">
        <v>40</v>
      </c>
      <c r="D63">
        <v>6</v>
      </c>
      <c r="E63">
        <v>264323</v>
      </c>
      <c r="F63">
        <v>255734</v>
      </c>
      <c r="G63">
        <v>1690</v>
      </c>
      <c r="H63" t="str">
        <f t="shared" si="0"/>
        <v>Unique</v>
      </c>
      <c r="I63" s="2">
        <f t="shared" si="1"/>
        <v>96.750566541693303</v>
      </c>
    </row>
    <row r="64" spans="1:9" x14ac:dyDescent="0.3">
      <c r="A64" s="1">
        <v>45809</v>
      </c>
      <c r="B64">
        <v>30</v>
      </c>
      <c r="C64" t="s">
        <v>40</v>
      </c>
      <c r="D64">
        <v>6</v>
      </c>
      <c r="E64">
        <v>529853</v>
      </c>
      <c r="F64">
        <v>517407</v>
      </c>
      <c r="G64">
        <v>1380</v>
      </c>
      <c r="H64" t="str">
        <f t="shared" si="0"/>
        <v>Unique</v>
      </c>
      <c r="I64" s="2">
        <f t="shared" si="1"/>
        <v>97.651046611041167</v>
      </c>
    </row>
    <row r="65" spans="1:9" x14ac:dyDescent="0.3">
      <c r="A65" s="1">
        <v>45839</v>
      </c>
      <c r="B65">
        <v>31</v>
      </c>
      <c r="C65" t="s">
        <v>40</v>
      </c>
      <c r="D65">
        <v>6</v>
      </c>
      <c r="E65">
        <v>492003</v>
      </c>
      <c r="F65">
        <v>480028</v>
      </c>
      <c r="G65">
        <v>1296</v>
      </c>
      <c r="H65" t="str">
        <f t="shared" si="0"/>
        <v>Unique</v>
      </c>
      <c r="I65" s="2">
        <f t="shared" si="1"/>
        <v>97.566071751595004</v>
      </c>
    </row>
    <row r="66" spans="1:9" x14ac:dyDescent="0.3">
      <c r="A66" s="1">
        <v>45870</v>
      </c>
      <c r="B66">
        <v>31</v>
      </c>
      <c r="C66" t="s">
        <v>40</v>
      </c>
      <c r="D66">
        <v>6</v>
      </c>
      <c r="E66">
        <v>384444</v>
      </c>
      <c r="F66">
        <v>373756</v>
      </c>
      <c r="G66">
        <v>96</v>
      </c>
      <c r="H66" t="str">
        <f t="shared" ref="H66:H129" si="2">IF(COUNTIFS($D$2:$D$301,D67,$A$2:$A$301,A67)&gt;1,"Duplicate","Unique")</f>
        <v>Unique</v>
      </c>
      <c r="I66" s="2">
        <f t="shared" ref="I66:I129" si="3">F66/E66*100</f>
        <v>97.219881179053388</v>
      </c>
    </row>
    <row r="67" spans="1:9" x14ac:dyDescent="0.3">
      <c r="A67" s="1">
        <v>45901</v>
      </c>
      <c r="B67">
        <v>30</v>
      </c>
      <c r="C67" t="s">
        <v>40</v>
      </c>
      <c r="D67">
        <v>6</v>
      </c>
      <c r="E67">
        <v>285516</v>
      </c>
      <c r="F67">
        <v>276438</v>
      </c>
      <c r="G67">
        <v>498</v>
      </c>
      <c r="H67" t="str">
        <f t="shared" si="2"/>
        <v>Unique</v>
      </c>
      <c r="I67" s="2">
        <f t="shared" si="3"/>
        <v>96.820493422435177</v>
      </c>
    </row>
    <row r="68" spans="1:9" x14ac:dyDescent="0.3">
      <c r="A68" s="1">
        <v>45931</v>
      </c>
      <c r="B68">
        <v>31</v>
      </c>
      <c r="C68" t="s">
        <v>40</v>
      </c>
      <c r="D68">
        <v>6</v>
      </c>
      <c r="E68">
        <v>95973</v>
      </c>
      <c r="F68">
        <v>88630</v>
      </c>
      <c r="G68">
        <v>264</v>
      </c>
      <c r="H68" t="str">
        <f t="shared" si="2"/>
        <v>Unique</v>
      </c>
      <c r="I68" s="2">
        <f t="shared" si="3"/>
        <v>92.348889791920641</v>
      </c>
    </row>
    <row r="69" spans="1:9" x14ac:dyDescent="0.3">
      <c r="A69" s="1">
        <v>45962</v>
      </c>
      <c r="B69">
        <v>30</v>
      </c>
      <c r="C69" t="s">
        <v>40</v>
      </c>
      <c r="D69">
        <v>6</v>
      </c>
      <c r="E69">
        <v>78835</v>
      </c>
      <c r="F69">
        <v>73745</v>
      </c>
      <c r="G69">
        <v>408</v>
      </c>
      <c r="H69" t="str">
        <f t="shared" si="2"/>
        <v>Unique</v>
      </c>
      <c r="I69" s="2">
        <f t="shared" si="3"/>
        <v>93.543476882095504</v>
      </c>
    </row>
    <row r="70" spans="1:9" x14ac:dyDescent="0.3">
      <c r="A70" s="1">
        <v>45992</v>
      </c>
      <c r="B70">
        <v>31</v>
      </c>
      <c r="C70" t="s">
        <v>40</v>
      </c>
      <c r="D70">
        <v>6</v>
      </c>
      <c r="E70">
        <v>88592</v>
      </c>
      <c r="F70">
        <v>82779</v>
      </c>
      <c r="G70">
        <v>264</v>
      </c>
      <c r="H70" t="str">
        <f t="shared" si="2"/>
        <v>Unique</v>
      </c>
      <c r="I70" s="2">
        <f t="shared" si="3"/>
        <v>93.438459454578293</v>
      </c>
    </row>
    <row r="71" spans="1:9" x14ac:dyDescent="0.3">
      <c r="A71" s="1">
        <v>46023</v>
      </c>
      <c r="B71">
        <v>31</v>
      </c>
      <c r="C71" t="s">
        <v>40</v>
      </c>
      <c r="D71">
        <v>6</v>
      </c>
      <c r="E71">
        <v>73156</v>
      </c>
      <c r="F71">
        <v>68041</v>
      </c>
      <c r="G71">
        <v>2580</v>
      </c>
      <c r="H71" t="str">
        <f t="shared" si="2"/>
        <v>Unique</v>
      </c>
      <c r="I71" s="2">
        <f t="shared" si="3"/>
        <v>93.008092295915574</v>
      </c>
    </row>
    <row r="72" spans="1:9" x14ac:dyDescent="0.3">
      <c r="A72" s="1">
        <v>46054</v>
      </c>
      <c r="B72">
        <v>28</v>
      </c>
      <c r="C72" t="s">
        <v>40</v>
      </c>
      <c r="D72">
        <v>6</v>
      </c>
      <c r="E72">
        <v>63235</v>
      </c>
      <c r="F72">
        <v>58988</v>
      </c>
      <c r="G72">
        <v>2640</v>
      </c>
      <c r="H72" t="str">
        <f t="shared" si="2"/>
        <v>Unique</v>
      </c>
      <c r="I72" s="2">
        <f t="shared" si="3"/>
        <v>93.283782715268444</v>
      </c>
    </row>
    <row r="73" spans="1:9" x14ac:dyDescent="0.3">
      <c r="A73" s="1">
        <v>46082</v>
      </c>
      <c r="B73">
        <v>31</v>
      </c>
      <c r="C73" t="s">
        <v>40</v>
      </c>
      <c r="D73">
        <v>6</v>
      </c>
      <c r="E73">
        <v>151526</v>
      </c>
      <c r="F73">
        <v>145516</v>
      </c>
      <c r="G73">
        <v>936</v>
      </c>
      <c r="H73" t="str">
        <f t="shared" si="2"/>
        <v>Unique</v>
      </c>
      <c r="I73" s="2">
        <f t="shared" si="3"/>
        <v>96.033683988226443</v>
      </c>
    </row>
    <row r="74" spans="1:9" x14ac:dyDescent="0.3">
      <c r="A74" s="1">
        <v>45748</v>
      </c>
      <c r="B74">
        <v>30</v>
      </c>
      <c r="C74" t="s">
        <v>40</v>
      </c>
      <c r="D74">
        <v>7</v>
      </c>
      <c r="E74">
        <v>219282</v>
      </c>
      <c r="F74">
        <v>207898</v>
      </c>
      <c r="G74">
        <v>0</v>
      </c>
      <c r="H74" t="str">
        <f t="shared" si="2"/>
        <v>Unique</v>
      </c>
      <c r="I74" s="2">
        <f t="shared" si="3"/>
        <v>94.808511414525583</v>
      </c>
    </row>
    <row r="75" spans="1:9" x14ac:dyDescent="0.3">
      <c r="A75" s="1">
        <v>45778</v>
      </c>
      <c r="B75">
        <v>31</v>
      </c>
      <c r="C75" t="s">
        <v>40</v>
      </c>
      <c r="D75">
        <v>7</v>
      </c>
      <c r="E75">
        <v>300591</v>
      </c>
      <c r="F75">
        <v>286144</v>
      </c>
      <c r="G75">
        <v>0</v>
      </c>
      <c r="H75" t="str">
        <f t="shared" si="2"/>
        <v>Unique</v>
      </c>
      <c r="I75" s="2">
        <f t="shared" si="3"/>
        <v>95.193801544291077</v>
      </c>
    </row>
    <row r="76" spans="1:9" x14ac:dyDescent="0.3">
      <c r="A76" s="1">
        <v>45809</v>
      </c>
      <c r="B76">
        <v>30</v>
      </c>
      <c r="C76" t="s">
        <v>40</v>
      </c>
      <c r="D76">
        <v>7</v>
      </c>
      <c r="E76">
        <v>728153</v>
      </c>
      <c r="F76">
        <v>694213</v>
      </c>
      <c r="G76">
        <v>0</v>
      </c>
      <c r="H76" t="str">
        <f t="shared" si="2"/>
        <v>Unique</v>
      </c>
      <c r="I76" s="2">
        <f t="shared" si="3"/>
        <v>95.338891688971955</v>
      </c>
    </row>
    <row r="77" spans="1:9" x14ac:dyDescent="0.3">
      <c r="A77" s="1">
        <v>45839</v>
      </c>
      <c r="B77">
        <v>31</v>
      </c>
      <c r="C77" t="s">
        <v>40</v>
      </c>
      <c r="D77">
        <v>7</v>
      </c>
      <c r="E77">
        <v>906149</v>
      </c>
      <c r="F77">
        <v>864747</v>
      </c>
      <c r="G77">
        <v>0</v>
      </c>
      <c r="H77" t="str">
        <f t="shared" si="2"/>
        <v>Unique</v>
      </c>
      <c r="I77" s="2">
        <f t="shared" si="3"/>
        <v>95.430994240461558</v>
      </c>
    </row>
    <row r="78" spans="1:9" x14ac:dyDescent="0.3">
      <c r="A78" s="1">
        <v>45870</v>
      </c>
      <c r="B78">
        <v>31</v>
      </c>
      <c r="C78" t="s">
        <v>40</v>
      </c>
      <c r="D78">
        <v>7</v>
      </c>
      <c r="E78">
        <v>563218</v>
      </c>
      <c r="F78">
        <v>537907</v>
      </c>
      <c r="G78">
        <v>0</v>
      </c>
      <c r="H78" t="str">
        <f t="shared" si="2"/>
        <v>Unique</v>
      </c>
      <c r="I78" s="2">
        <f t="shared" si="3"/>
        <v>95.50600300416535</v>
      </c>
    </row>
    <row r="79" spans="1:9" x14ac:dyDescent="0.3">
      <c r="A79" s="1">
        <v>45901</v>
      </c>
      <c r="B79">
        <v>30</v>
      </c>
      <c r="C79" t="s">
        <v>40</v>
      </c>
      <c r="D79">
        <v>7</v>
      </c>
      <c r="E79">
        <v>353039</v>
      </c>
      <c r="F79">
        <v>337010</v>
      </c>
      <c r="G79">
        <v>0</v>
      </c>
      <c r="H79" t="str">
        <f t="shared" si="2"/>
        <v>Unique</v>
      </c>
      <c r="I79" s="2">
        <f t="shared" si="3"/>
        <v>95.459708417483625</v>
      </c>
    </row>
    <row r="80" spans="1:9" x14ac:dyDescent="0.3">
      <c r="A80" s="1">
        <v>45931</v>
      </c>
      <c r="B80">
        <v>31</v>
      </c>
      <c r="C80" t="s">
        <v>40</v>
      </c>
      <c r="D80">
        <v>7</v>
      </c>
      <c r="E80">
        <v>251084</v>
      </c>
      <c r="F80">
        <v>239036</v>
      </c>
      <c r="G80">
        <v>0</v>
      </c>
      <c r="H80" t="str">
        <f t="shared" si="2"/>
        <v>Unique</v>
      </c>
      <c r="I80" s="2">
        <f t="shared" si="3"/>
        <v>95.201605837090369</v>
      </c>
    </row>
    <row r="81" spans="1:9" x14ac:dyDescent="0.3">
      <c r="A81" s="1">
        <v>45962</v>
      </c>
      <c r="B81">
        <v>30</v>
      </c>
      <c r="C81" t="s">
        <v>40</v>
      </c>
      <c r="D81">
        <v>7</v>
      </c>
      <c r="E81">
        <v>240813</v>
      </c>
      <c r="F81">
        <v>230110</v>
      </c>
      <c r="G81">
        <v>0</v>
      </c>
      <c r="H81" t="str">
        <f t="shared" si="2"/>
        <v>Unique</v>
      </c>
      <c r="I81" s="2">
        <f t="shared" si="3"/>
        <v>95.55547250356085</v>
      </c>
    </row>
    <row r="82" spans="1:9" x14ac:dyDescent="0.3">
      <c r="A82" s="1">
        <v>45992</v>
      </c>
      <c r="B82">
        <v>31</v>
      </c>
      <c r="C82" t="s">
        <v>40</v>
      </c>
      <c r="D82">
        <v>7</v>
      </c>
      <c r="E82">
        <v>262489</v>
      </c>
      <c r="F82">
        <v>251404</v>
      </c>
      <c r="G82">
        <v>0</v>
      </c>
      <c r="H82" t="str">
        <f t="shared" si="2"/>
        <v>Unique</v>
      </c>
      <c r="I82" s="2">
        <f t="shared" si="3"/>
        <v>95.776965891904041</v>
      </c>
    </row>
    <row r="83" spans="1:9" x14ac:dyDescent="0.3">
      <c r="A83" s="1">
        <v>46023</v>
      </c>
      <c r="B83">
        <v>31</v>
      </c>
      <c r="C83" t="s">
        <v>40</v>
      </c>
      <c r="D83">
        <v>7</v>
      </c>
      <c r="E83">
        <v>164933</v>
      </c>
      <c r="F83">
        <v>155774</v>
      </c>
      <c r="G83">
        <v>0</v>
      </c>
      <c r="H83" t="str">
        <f t="shared" si="2"/>
        <v>Unique</v>
      </c>
      <c r="I83" s="2">
        <f t="shared" si="3"/>
        <v>94.446835987946613</v>
      </c>
    </row>
    <row r="84" spans="1:9" x14ac:dyDescent="0.3">
      <c r="A84" s="1">
        <v>46054</v>
      </c>
      <c r="B84">
        <v>28</v>
      </c>
      <c r="C84" t="s">
        <v>40</v>
      </c>
      <c r="D84">
        <v>7</v>
      </c>
      <c r="E84">
        <v>108487</v>
      </c>
      <c r="F84">
        <v>101237</v>
      </c>
      <c r="G84">
        <v>0</v>
      </c>
      <c r="H84" t="str">
        <f t="shared" si="2"/>
        <v>Unique</v>
      </c>
      <c r="I84" s="2">
        <f t="shared" si="3"/>
        <v>93.31717164268531</v>
      </c>
    </row>
    <row r="85" spans="1:9" x14ac:dyDescent="0.3">
      <c r="A85" s="1">
        <v>46082</v>
      </c>
      <c r="B85">
        <v>31</v>
      </c>
      <c r="C85" t="s">
        <v>40</v>
      </c>
      <c r="D85">
        <v>7</v>
      </c>
      <c r="E85">
        <v>159730</v>
      </c>
      <c r="F85">
        <v>150263</v>
      </c>
      <c r="G85">
        <v>0</v>
      </c>
      <c r="H85" t="str">
        <f t="shared" si="2"/>
        <v>Unique</v>
      </c>
      <c r="I85" s="2">
        <f t="shared" si="3"/>
        <v>94.073123395730292</v>
      </c>
    </row>
    <row r="86" spans="1:9" x14ac:dyDescent="0.3">
      <c r="A86" s="1">
        <v>45748</v>
      </c>
      <c r="B86">
        <v>30</v>
      </c>
      <c r="C86" t="s">
        <v>40</v>
      </c>
      <c r="D86">
        <v>8</v>
      </c>
      <c r="E86">
        <v>476289</v>
      </c>
      <c r="F86">
        <v>441827</v>
      </c>
      <c r="G86">
        <v>726</v>
      </c>
      <c r="H86" t="str">
        <f t="shared" si="2"/>
        <v>Unique</v>
      </c>
      <c r="I86" s="2">
        <f t="shared" si="3"/>
        <v>92.764477029702547</v>
      </c>
    </row>
    <row r="87" spans="1:9" x14ac:dyDescent="0.3">
      <c r="A87" s="1">
        <v>45778</v>
      </c>
      <c r="B87">
        <v>31</v>
      </c>
      <c r="C87" t="s">
        <v>40</v>
      </c>
      <c r="D87">
        <v>8</v>
      </c>
      <c r="E87">
        <v>658404</v>
      </c>
      <c r="F87">
        <v>626816</v>
      </c>
      <c r="G87">
        <v>643</v>
      </c>
      <c r="H87" t="str">
        <f t="shared" si="2"/>
        <v>Unique</v>
      </c>
      <c r="I87" s="2">
        <f t="shared" si="3"/>
        <v>95.202337774375607</v>
      </c>
    </row>
    <row r="88" spans="1:9" x14ac:dyDescent="0.3">
      <c r="A88" s="1">
        <v>45809</v>
      </c>
      <c r="B88">
        <v>30</v>
      </c>
      <c r="C88" t="s">
        <v>40</v>
      </c>
      <c r="D88">
        <v>8</v>
      </c>
      <c r="E88">
        <v>1676253</v>
      </c>
      <c r="F88">
        <v>1655025</v>
      </c>
      <c r="G88">
        <v>164</v>
      </c>
      <c r="H88" t="str">
        <f t="shared" si="2"/>
        <v>Unique</v>
      </c>
      <c r="I88" s="2">
        <f t="shared" si="3"/>
        <v>98.733604056189606</v>
      </c>
    </row>
    <row r="89" spans="1:9" x14ac:dyDescent="0.3">
      <c r="A89" s="1">
        <v>45839</v>
      </c>
      <c r="B89">
        <v>31</v>
      </c>
      <c r="C89" t="s">
        <v>40</v>
      </c>
      <c r="D89">
        <v>8</v>
      </c>
      <c r="E89">
        <v>1761245</v>
      </c>
      <c r="F89">
        <v>1651751</v>
      </c>
      <c r="G89">
        <v>554</v>
      </c>
      <c r="H89" t="str">
        <f t="shared" si="2"/>
        <v>Unique</v>
      </c>
      <c r="I89" s="2">
        <f t="shared" si="3"/>
        <v>93.783147716530067</v>
      </c>
    </row>
    <row r="90" spans="1:9" x14ac:dyDescent="0.3">
      <c r="A90" s="1">
        <v>45870</v>
      </c>
      <c r="B90">
        <v>31</v>
      </c>
      <c r="C90" t="s">
        <v>40</v>
      </c>
      <c r="D90">
        <v>8</v>
      </c>
      <c r="E90">
        <v>1029272</v>
      </c>
      <c r="F90">
        <v>993951</v>
      </c>
      <c r="G90">
        <v>169</v>
      </c>
      <c r="H90" t="str">
        <f t="shared" si="2"/>
        <v>Unique</v>
      </c>
      <c r="I90" s="2">
        <f t="shared" si="3"/>
        <v>96.568351223000334</v>
      </c>
    </row>
    <row r="91" spans="1:9" x14ac:dyDescent="0.3">
      <c r="A91" s="1">
        <v>45901</v>
      </c>
      <c r="B91">
        <v>30</v>
      </c>
      <c r="C91" t="s">
        <v>40</v>
      </c>
      <c r="D91">
        <v>8</v>
      </c>
      <c r="E91">
        <v>714955</v>
      </c>
      <c r="F91">
        <v>691147</v>
      </c>
      <c r="G91">
        <v>987</v>
      </c>
      <c r="H91" t="str">
        <f t="shared" si="2"/>
        <v>Unique</v>
      </c>
      <c r="I91" s="2">
        <f t="shared" si="3"/>
        <v>96.670000209803419</v>
      </c>
    </row>
    <row r="92" spans="1:9" x14ac:dyDescent="0.3">
      <c r="A92" s="1">
        <v>45931</v>
      </c>
      <c r="B92">
        <v>31</v>
      </c>
      <c r="C92" t="s">
        <v>40</v>
      </c>
      <c r="D92">
        <v>8</v>
      </c>
      <c r="E92">
        <v>389363</v>
      </c>
      <c r="F92">
        <v>380298</v>
      </c>
      <c r="G92">
        <v>517</v>
      </c>
      <c r="H92" t="str">
        <f t="shared" si="2"/>
        <v>Unique</v>
      </c>
      <c r="I92" s="2">
        <f t="shared" si="3"/>
        <v>97.671838361631686</v>
      </c>
    </row>
    <row r="93" spans="1:9" x14ac:dyDescent="0.3">
      <c r="A93" s="1">
        <v>45962</v>
      </c>
      <c r="B93">
        <v>30</v>
      </c>
      <c r="C93" t="s">
        <v>40</v>
      </c>
      <c r="D93">
        <v>8</v>
      </c>
      <c r="E93">
        <v>626254</v>
      </c>
      <c r="F93">
        <v>590454</v>
      </c>
      <c r="G93">
        <v>610</v>
      </c>
      <c r="H93" t="str">
        <f t="shared" si="2"/>
        <v>Unique</v>
      </c>
      <c r="I93" s="2">
        <f t="shared" si="3"/>
        <v>94.28346964650126</v>
      </c>
    </row>
    <row r="94" spans="1:9" x14ac:dyDescent="0.3">
      <c r="A94" s="1">
        <v>45992</v>
      </c>
      <c r="B94">
        <v>31</v>
      </c>
      <c r="C94" t="s">
        <v>40</v>
      </c>
      <c r="D94">
        <v>8</v>
      </c>
      <c r="E94">
        <v>770756</v>
      </c>
      <c r="F94">
        <v>753687</v>
      </c>
      <c r="G94">
        <v>527</v>
      </c>
      <c r="H94" t="str">
        <f t="shared" si="2"/>
        <v>Unique</v>
      </c>
      <c r="I94" s="2">
        <f t="shared" si="3"/>
        <v>97.785421067108132</v>
      </c>
    </row>
    <row r="95" spans="1:9" x14ac:dyDescent="0.3">
      <c r="A95" s="1">
        <v>46023</v>
      </c>
      <c r="B95">
        <v>31</v>
      </c>
      <c r="C95" t="s">
        <v>40</v>
      </c>
      <c r="D95">
        <v>8</v>
      </c>
      <c r="E95">
        <v>300125</v>
      </c>
      <c r="F95">
        <v>282805</v>
      </c>
      <c r="G95">
        <v>983</v>
      </c>
      <c r="H95" t="str">
        <f t="shared" si="2"/>
        <v>Unique</v>
      </c>
      <c r="I95" s="2">
        <f t="shared" si="3"/>
        <v>94.229071220324869</v>
      </c>
    </row>
    <row r="96" spans="1:9" x14ac:dyDescent="0.3">
      <c r="A96" s="1">
        <v>46054</v>
      </c>
      <c r="B96">
        <v>28</v>
      </c>
      <c r="C96" t="s">
        <v>40</v>
      </c>
      <c r="D96">
        <v>8</v>
      </c>
      <c r="E96">
        <v>243955</v>
      </c>
      <c r="F96">
        <v>232502</v>
      </c>
      <c r="G96">
        <v>663</v>
      </c>
      <c r="H96" t="str">
        <f t="shared" si="2"/>
        <v>Unique</v>
      </c>
      <c r="I96" s="2">
        <f t="shared" si="3"/>
        <v>95.30528171179111</v>
      </c>
    </row>
    <row r="97" spans="1:9" x14ac:dyDescent="0.3">
      <c r="A97" s="1">
        <v>46082</v>
      </c>
      <c r="B97">
        <v>31</v>
      </c>
      <c r="C97" t="s">
        <v>40</v>
      </c>
      <c r="D97">
        <v>8</v>
      </c>
      <c r="E97">
        <v>372611</v>
      </c>
      <c r="F97">
        <v>360310</v>
      </c>
      <c r="G97">
        <v>902</v>
      </c>
      <c r="H97" t="str">
        <f t="shared" si="2"/>
        <v>Unique</v>
      </c>
      <c r="I97" s="2">
        <f t="shared" si="3"/>
        <v>96.698701863337362</v>
      </c>
    </row>
    <row r="98" spans="1:9" x14ac:dyDescent="0.3">
      <c r="A98" s="1">
        <v>45748</v>
      </c>
      <c r="B98">
        <v>30</v>
      </c>
      <c r="C98" t="s">
        <v>40</v>
      </c>
      <c r="D98">
        <v>9</v>
      </c>
      <c r="E98">
        <v>140572</v>
      </c>
      <c r="F98">
        <v>137022</v>
      </c>
      <c r="G98">
        <v>268</v>
      </c>
      <c r="H98" t="str">
        <f t="shared" si="2"/>
        <v>Unique</v>
      </c>
      <c r="I98" s="2">
        <f t="shared" si="3"/>
        <v>97.474603761773324</v>
      </c>
    </row>
    <row r="99" spans="1:9" x14ac:dyDescent="0.3">
      <c r="A99" s="1">
        <v>45778</v>
      </c>
      <c r="B99">
        <v>31</v>
      </c>
      <c r="C99" t="s">
        <v>40</v>
      </c>
      <c r="D99">
        <v>9</v>
      </c>
      <c r="E99">
        <v>269319</v>
      </c>
      <c r="F99">
        <v>264196</v>
      </c>
      <c r="G99">
        <v>133</v>
      </c>
      <c r="H99" t="str">
        <f t="shared" si="2"/>
        <v>Unique</v>
      </c>
      <c r="I99" s="2">
        <f t="shared" si="3"/>
        <v>98.097794808387079</v>
      </c>
    </row>
    <row r="100" spans="1:9" x14ac:dyDescent="0.3">
      <c r="A100" s="1">
        <v>45809</v>
      </c>
      <c r="B100">
        <v>30</v>
      </c>
      <c r="C100" t="s">
        <v>40</v>
      </c>
      <c r="D100">
        <v>9</v>
      </c>
      <c r="E100">
        <v>429863</v>
      </c>
      <c r="F100">
        <v>423789</v>
      </c>
      <c r="G100">
        <v>454</v>
      </c>
      <c r="H100" t="str">
        <f t="shared" si="2"/>
        <v>Unique</v>
      </c>
      <c r="I100" s="2">
        <f t="shared" si="3"/>
        <v>98.586991669438873</v>
      </c>
    </row>
    <row r="101" spans="1:9" x14ac:dyDescent="0.3">
      <c r="A101" s="1">
        <v>45839</v>
      </c>
      <c r="B101">
        <v>31</v>
      </c>
      <c r="C101" t="s">
        <v>40</v>
      </c>
      <c r="D101">
        <v>9</v>
      </c>
      <c r="E101">
        <v>640519</v>
      </c>
      <c r="F101">
        <v>615882</v>
      </c>
      <c r="G101">
        <v>758</v>
      </c>
      <c r="H101" t="str">
        <f t="shared" si="2"/>
        <v>Unique</v>
      </c>
      <c r="I101" s="2">
        <f t="shared" si="3"/>
        <v>96.153587949771975</v>
      </c>
    </row>
    <row r="102" spans="1:9" x14ac:dyDescent="0.3">
      <c r="A102" s="1">
        <v>45870</v>
      </c>
      <c r="B102">
        <v>31</v>
      </c>
      <c r="C102" t="s">
        <v>40</v>
      </c>
      <c r="D102">
        <v>9</v>
      </c>
      <c r="E102">
        <v>509323</v>
      </c>
      <c r="F102">
        <v>508221</v>
      </c>
      <c r="G102">
        <v>221</v>
      </c>
      <c r="H102" t="str">
        <f t="shared" si="2"/>
        <v>Unique</v>
      </c>
      <c r="I102" s="2">
        <f t="shared" si="3"/>
        <v>99.783634353838337</v>
      </c>
    </row>
    <row r="103" spans="1:9" x14ac:dyDescent="0.3">
      <c r="A103" s="1">
        <v>45901</v>
      </c>
      <c r="B103">
        <v>30</v>
      </c>
      <c r="C103" t="s">
        <v>40</v>
      </c>
      <c r="D103">
        <v>9</v>
      </c>
      <c r="E103">
        <v>313122</v>
      </c>
      <c r="F103">
        <v>315109</v>
      </c>
      <c r="G103">
        <v>218</v>
      </c>
      <c r="H103" t="str">
        <f t="shared" si="2"/>
        <v>Unique</v>
      </c>
      <c r="I103" s="2">
        <f t="shared" si="3"/>
        <v>100.63457693806248</v>
      </c>
    </row>
    <row r="104" spans="1:9" x14ac:dyDescent="0.3">
      <c r="A104" s="1">
        <v>45931</v>
      </c>
      <c r="B104">
        <v>31</v>
      </c>
      <c r="C104" t="s">
        <v>40</v>
      </c>
      <c r="D104">
        <v>9</v>
      </c>
      <c r="E104">
        <v>236352</v>
      </c>
      <c r="F104">
        <v>227708</v>
      </c>
      <c r="G104">
        <v>595</v>
      </c>
      <c r="H104" t="str">
        <f t="shared" si="2"/>
        <v>Unique</v>
      </c>
      <c r="I104" s="2">
        <f t="shared" si="3"/>
        <v>96.342743027349044</v>
      </c>
    </row>
    <row r="105" spans="1:9" x14ac:dyDescent="0.3">
      <c r="A105" s="1">
        <v>45962</v>
      </c>
      <c r="B105">
        <v>30</v>
      </c>
      <c r="C105" t="s">
        <v>40</v>
      </c>
      <c r="D105">
        <v>9</v>
      </c>
      <c r="E105">
        <v>196029</v>
      </c>
      <c r="F105">
        <v>191891</v>
      </c>
      <c r="G105">
        <v>289</v>
      </c>
      <c r="H105" t="str">
        <f t="shared" si="2"/>
        <v>Unique</v>
      </c>
      <c r="I105" s="2">
        <f t="shared" si="3"/>
        <v>97.889087839044223</v>
      </c>
    </row>
    <row r="106" spans="1:9" x14ac:dyDescent="0.3">
      <c r="A106" s="1">
        <v>45992</v>
      </c>
      <c r="B106">
        <v>31</v>
      </c>
      <c r="C106" t="s">
        <v>40</v>
      </c>
      <c r="D106">
        <v>9</v>
      </c>
      <c r="E106">
        <v>254096</v>
      </c>
      <c r="F106">
        <v>250326</v>
      </c>
      <c r="G106">
        <v>790</v>
      </c>
      <c r="H106" t="str">
        <f t="shared" si="2"/>
        <v>Unique</v>
      </c>
      <c r="I106" s="2">
        <f t="shared" si="3"/>
        <v>98.516308796675261</v>
      </c>
    </row>
    <row r="107" spans="1:9" x14ac:dyDescent="0.3">
      <c r="A107" s="1">
        <v>46023</v>
      </c>
      <c r="B107">
        <v>31</v>
      </c>
      <c r="C107" t="s">
        <v>40</v>
      </c>
      <c r="D107">
        <v>9</v>
      </c>
      <c r="E107">
        <v>117357</v>
      </c>
      <c r="F107">
        <v>114966</v>
      </c>
      <c r="G107">
        <v>390</v>
      </c>
      <c r="H107" t="str">
        <f t="shared" si="2"/>
        <v>Unique</v>
      </c>
      <c r="I107" s="2">
        <f t="shared" si="3"/>
        <v>97.962626856514731</v>
      </c>
    </row>
    <row r="108" spans="1:9" x14ac:dyDescent="0.3">
      <c r="A108" s="1">
        <v>46054</v>
      </c>
      <c r="B108">
        <v>28</v>
      </c>
      <c r="C108" t="s">
        <v>40</v>
      </c>
      <c r="D108">
        <v>9</v>
      </c>
      <c r="E108">
        <v>103604</v>
      </c>
      <c r="F108">
        <v>101644</v>
      </c>
      <c r="G108">
        <v>983</v>
      </c>
      <c r="H108" t="str">
        <f t="shared" si="2"/>
        <v>Unique</v>
      </c>
      <c r="I108" s="2">
        <f t="shared" si="3"/>
        <v>98.108181151306894</v>
      </c>
    </row>
    <row r="109" spans="1:9" x14ac:dyDescent="0.3">
      <c r="A109" s="1">
        <v>46082</v>
      </c>
      <c r="B109">
        <v>31</v>
      </c>
      <c r="C109" t="s">
        <v>40</v>
      </c>
      <c r="D109">
        <v>9</v>
      </c>
      <c r="E109">
        <v>96127</v>
      </c>
      <c r="F109">
        <v>94005</v>
      </c>
      <c r="G109">
        <v>351</v>
      </c>
      <c r="H109" t="str">
        <f t="shared" si="2"/>
        <v>Unique</v>
      </c>
      <c r="I109" s="2">
        <f t="shared" si="3"/>
        <v>97.792503667023837</v>
      </c>
    </row>
    <row r="110" spans="1:9" x14ac:dyDescent="0.3">
      <c r="A110" s="1">
        <v>45748</v>
      </c>
      <c r="B110">
        <v>30</v>
      </c>
      <c r="C110" t="s">
        <v>40</v>
      </c>
      <c r="D110">
        <v>10</v>
      </c>
      <c r="E110">
        <v>258780</v>
      </c>
      <c r="F110">
        <v>250800</v>
      </c>
      <c r="G110">
        <v>760</v>
      </c>
      <c r="H110" t="str">
        <f t="shared" si="2"/>
        <v>Unique</v>
      </c>
      <c r="I110" s="2">
        <f t="shared" si="3"/>
        <v>96.916299559471369</v>
      </c>
    </row>
    <row r="111" spans="1:9" x14ac:dyDescent="0.3">
      <c r="A111" s="1">
        <v>45778</v>
      </c>
      <c r="B111">
        <v>31</v>
      </c>
      <c r="C111" t="s">
        <v>40</v>
      </c>
      <c r="D111">
        <v>10</v>
      </c>
      <c r="E111">
        <v>714965</v>
      </c>
      <c r="F111">
        <v>695400</v>
      </c>
      <c r="G111">
        <v>747</v>
      </c>
      <c r="H111" t="str">
        <f t="shared" si="2"/>
        <v>Unique</v>
      </c>
      <c r="I111" s="2">
        <f t="shared" si="3"/>
        <v>97.26350240920884</v>
      </c>
    </row>
    <row r="112" spans="1:9" x14ac:dyDescent="0.3">
      <c r="A112" s="1">
        <v>45809</v>
      </c>
      <c r="B112">
        <v>30</v>
      </c>
      <c r="C112" t="s">
        <v>40</v>
      </c>
      <c r="D112">
        <v>10</v>
      </c>
      <c r="E112">
        <v>1094593</v>
      </c>
      <c r="F112">
        <v>1079100</v>
      </c>
      <c r="G112">
        <v>560</v>
      </c>
      <c r="H112" t="str">
        <f t="shared" si="2"/>
        <v>Unique</v>
      </c>
      <c r="I112" s="2">
        <f t="shared" si="3"/>
        <v>98.584588061498664</v>
      </c>
    </row>
    <row r="113" spans="1:9" x14ac:dyDescent="0.3">
      <c r="A113" s="1">
        <v>45839</v>
      </c>
      <c r="B113">
        <v>31</v>
      </c>
      <c r="C113" t="s">
        <v>40</v>
      </c>
      <c r="D113">
        <v>10</v>
      </c>
      <c r="E113">
        <v>1264772</v>
      </c>
      <c r="F113">
        <v>1250700</v>
      </c>
      <c r="G113">
        <v>506</v>
      </c>
      <c r="H113" t="str">
        <f t="shared" si="2"/>
        <v>Unique</v>
      </c>
      <c r="I113" s="2">
        <f t="shared" si="3"/>
        <v>98.887388398857652</v>
      </c>
    </row>
    <row r="114" spans="1:9" x14ac:dyDescent="0.3">
      <c r="A114" s="1">
        <v>45870</v>
      </c>
      <c r="B114">
        <v>31</v>
      </c>
      <c r="C114" t="s">
        <v>40</v>
      </c>
      <c r="D114">
        <v>10</v>
      </c>
      <c r="E114">
        <v>786909</v>
      </c>
      <c r="F114">
        <v>775500</v>
      </c>
      <c r="G114">
        <v>497</v>
      </c>
      <c r="H114" t="str">
        <f t="shared" si="2"/>
        <v>Unique</v>
      </c>
      <c r="I114" s="2">
        <f t="shared" si="3"/>
        <v>98.550150017346354</v>
      </c>
    </row>
    <row r="115" spans="1:9" x14ac:dyDescent="0.3">
      <c r="A115" s="1">
        <v>45901</v>
      </c>
      <c r="B115">
        <v>30</v>
      </c>
      <c r="C115" t="s">
        <v>40</v>
      </c>
      <c r="D115">
        <v>10</v>
      </c>
      <c r="E115">
        <v>582525</v>
      </c>
      <c r="F115">
        <v>572100</v>
      </c>
      <c r="G115">
        <v>779</v>
      </c>
      <c r="H115" t="str">
        <f t="shared" si="2"/>
        <v>Unique</v>
      </c>
      <c r="I115" s="2">
        <f t="shared" si="3"/>
        <v>98.210377237028453</v>
      </c>
    </row>
    <row r="116" spans="1:9" x14ac:dyDescent="0.3">
      <c r="A116" s="1">
        <v>45931</v>
      </c>
      <c r="B116">
        <v>31</v>
      </c>
      <c r="C116" t="s">
        <v>40</v>
      </c>
      <c r="D116">
        <v>10</v>
      </c>
      <c r="E116">
        <v>389248</v>
      </c>
      <c r="F116">
        <v>354900</v>
      </c>
      <c r="G116">
        <v>935</v>
      </c>
      <c r="H116" t="str">
        <f t="shared" si="2"/>
        <v>Unique</v>
      </c>
      <c r="I116" s="2">
        <f t="shared" si="3"/>
        <v>91.1758056560342</v>
      </c>
    </row>
    <row r="117" spans="1:9" x14ac:dyDescent="0.3">
      <c r="A117" s="1">
        <v>45962</v>
      </c>
      <c r="B117">
        <v>30</v>
      </c>
      <c r="C117" t="s">
        <v>40</v>
      </c>
      <c r="D117">
        <v>10</v>
      </c>
      <c r="E117">
        <v>363582</v>
      </c>
      <c r="F117">
        <v>326700</v>
      </c>
      <c r="G117">
        <v>828</v>
      </c>
      <c r="H117" t="str">
        <f t="shared" si="2"/>
        <v>Unique</v>
      </c>
      <c r="I117" s="2">
        <f t="shared" si="3"/>
        <v>89.855933462052576</v>
      </c>
    </row>
    <row r="118" spans="1:9" x14ac:dyDescent="0.3">
      <c r="A118" s="1">
        <v>45992</v>
      </c>
      <c r="B118">
        <v>31</v>
      </c>
      <c r="C118" t="s">
        <v>40</v>
      </c>
      <c r="D118">
        <v>10</v>
      </c>
      <c r="E118">
        <v>511622</v>
      </c>
      <c r="F118">
        <v>462000</v>
      </c>
      <c r="G118">
        <v>357</v>
      </c>
      <c r="H118" t="str">
        <f t="shared" si="2"/>
        <v>Unique</v>
      </c>
      <c r="I118" s="2">
        <f t="shared" si="3"/>
        <v>90.301042566582353</v>
      </c>
    </row>
    <row r="119" spans="1:9" x14ac:dyDescent="0.3">
      <c r="A119" s="1">
        <v>46023</v>
      </c>
      <c r="B119">
        <v>31</v>
      </c>
      <c r="C119" t="s">
        <v>40</v>
      </c>
      <c r="D119">
        <v>10</v>
      </c>
      <c r="E119">
        <v>478778</v>
      </c>
      <c r="F119">
        <v>431700</v>
      </c>
      <c r="G119">
        <v>481</v>
      </c>
      <c r="H119" t="str">
        <f t="shared" si="2"/>
        <v>Unique</v>
      </c>
      <c r="I119" s="2">
        <f t="shared" si="3"/>
        <v>90.167050282176703</v>
      </c>
    </row>
    <row r="120" spans="1:9" x14ac:dyDescent="0.3">
      <c r="A120" s="1">
        <v>46054</v>
      </c>
      <c r="B120">
        <v>28</v>
      </c>
      <c r="C120" t="s">
        <v>40</v>
      </c>
      <c r="D120">
        <v>10</v>
      </c>
      <c r="E120">
        <v>361358</v>
      </c>
      <c r="F120">
        <v>323100</v>
      </c>
      <c r="G120">
        <v>249</v>
      </c>
      <c r="H120" t="str">
        <f t="shared" si="2"/>
        <v>Unique</v>
      </c>
      <c r="I120" s="2">
        <f t="shared" si="3"/>
        <v>89.412715368139075</v>
      </c>
    </row>
    <row r="121" spans="1:9" x14ac:dyDescent="0.3">
      <c r="A121" s="1">
        <v>46082</v>
      </c>
      <c r="B121">
        <v>31</v>
      </c>
      <c r="C121" t="s">
        <v>40</v>
      </c>
      <c r="D121">
        <v>10</v>
      </c>
      <c r="E121">
        <v>270088</v>
      </c>
      <c r="F121">
        <v>249900</v>
      </c>
      <c r="G121">
        <v>798</v>
      </c>
      <c r="H121" t="str">
        <f t="shared" si="2"/>
        <v>Unique</v>
      </c>
      <c r="I121" s="2">
        <f t="shared" si="3"/>
        <v>92.525399129172712</v>
      </c>
    </row>
    <row r="122" spans="1:9" x14ac:dyDescent="0.3">
      <c r="A122" s="1">
        <v>45748</v>
      </c>
      <c r="B122">
        <v>30</v>
      </c>
      <c r="C122" t="s">
        <v>40</v>
      </c>
      <c r="D122">
        <v>11</v>
      </c>
      <c r="E122">
        <v>171974</v>
      </c>
      <c r="F122">
        <v>168457</v>
      </c>
      <c r="G122">
        <v>919</v>
      </c>
      <c r="H122" t="str">
        <f t="shared" si="2"/>
        <v>Unique</v>
      </c>
      <c r="I122" s="2">
        <f t="shared" si="3"/>
        <v>97.954923418656307</v>
      </c>
    </row>
    <row r="123" spans="1:9" x14ac:dyDescent="0.3">
      <c r="A123" s="1">
        <v>45778</v>
      </c>
      <c r="B123">
        <v>31</v>
      </c>
      <c r="C123" t="s">
        <v>40</v>
      </c>
      <c r="D123">
        <v>11</v>
      </c>
      <c r="E123">
        <v>196519</v>
      </c>
      <c r="F123">
        <v>191144</v>
      </c>
      <c r="G123">
        <v>722</v>
      </c>
      <c r="H123" t="str">
        <f t="shared" si="2"/>
        <v>Unique</v>
      </c>
      <c r="I123" s="2">
        <f t="shared" si="3"/>
        <v>97.264895506286919</v>
      </c>
    </row>
    <row r="124" spans="1:9" x14ac:dyDescent="0.3">
      <c r="A124" s="1">
        <v>45809</v>
      </c>
      <c r="B124">
        <v>30</v>
      </c>
      <c r="C124" t="s">
        <v>40</v>
      </c>
      <c r="D124">
        <v>11</v>
      </c>
      <c r="E124">
        <v>381766</v>
      </c>
      <c r="F124">
        <v>370909</v>
      </c>
      <c r="G124">
        <v>468</v>
      </c>
      <c r="H124" t="str">
        <f t="shared" si="2"/>
        <v>Unique</v>
      </c>
      <c r="I124" s="2">
        <f t="shared" si="3"/>
        <v>97.156111335215812</v>
      </c>
    </row>
    <row r="125" spans="1:9" x14ac:dyDescent="0.3">
      <c r="A125" s="1">
        <v>45839</v>
      </c>
      <c r="B125">
        <v>31</v>
      </c>
      <c r="C125" t="s">
        <v>40</v>
      </c>
      <c r="D125">
        <v>11</v>
      </c>
      <c r="E125">
        <v>409543</v>
      </c>
      <c r="F125">
        <v>406505</v>
      </c>
      <c r="G125">
        <v>996</v>
      </c>
      <c r="H125" t="str">
        <f t="shared" si="2"/>
        <v>Unique</v>
      </c>
      <c r="I125" s="2">
        <f t="shared" si="3"/>
        <v>99.258197551905411</v>
      </c>
    </row>
    <row r="126" spans="1:9" x14ac:dyDescent="0.3">
      <c r="A126" s="1">
        <v>45870</v>
      </c>
      <c r="B126">
        <v>31</v>
      </c>
      <c r="C126" t="s">
        <v>40</v>
      </c>
      <c r="D126">
        <v>11</v>
      </c>
      <c r="E126">
        <v>241576</v>
      </c>
      <c r="F126">
        <v>239028</v>
      </c>
      <c r="G126">
        <v>484</v>
      </c>
      <c r="H126" t="str">
        <f t="shared" si="2"/>
        <v>Unique</v>
      </c>
      <c r="I126" s="2">
        <f t="shared" si="3"/>
        <v>98.945259462860548</v>
      </c>
    </row>
    <row r="127" spans="1:9" x14ac:dyDescent="0.3">
      <c r="A127" s="1">
        <v>45901</v>
      </c>
      <c r="B127">
        <v>30</v>
      </c>
      <c r="C127" t="s">
        <v>40</v>
      </c>
      <c r="D127">
        <v>11</v>
      </c>
      <c r="E127">
        <v>189969</v>
      </c>
      <c r="F127">
        <v>203462</v>
      </c>
      <c r="G127">
        <v>608</v>
      </c>
      <c r="H127" t="str">
        <f t="shared" si="2"/>
        <v>Unique</v>
      </c>
      <c r="I127" s="2">
        <f t="shared" si="3"/>
        <v>107.10273781511721</v>
      </c>
    </row>
    <row r="128" spans="1:9" x14ac:dyDescent="0.3">
      <c r="A128" s="1">
        <v>45931</v>
      </c>
      <c r="B128">
        <v>31</v>
      </c>
      <c r="C128" t="s">
        <v>40</v>
      </c>
      <c r="D128">
        <v>11</v>
      </c>
      <c r="E128">
        <v>150448</v>
      </c>
      <c r="F128">
        <v>152718</v>
      </c>
      <c r="G128">
        <v>589</v>
      </c>
      <c r="H128" t="str">
        <f t="shared" si="2"/>
        <v>Unique</v>
      </c>
      <c r="I128" s="2">
        <f t="shared" si="3"/>
        <v>101.50882697011592</v>
      </c>
    </row>
    <row r="129" spans="1:9" x14ac:dyDescent="0.3">
      <c r="A129" s="1">
        <v>45962</v>
      </c>
      <c r="B129">
        <v>30</v>
      </c>
      <c r="C129" t="s">
        <v>40</v>
      </c>
      <c r="D129">
        <v>11</v>
      </c>
      <c r="E129">
        <v>143294</v>
      </c>
      <c r="F129">
        <v>144096</v>
      </c>
      <c r="G129">
        <v>223</v>
      </c>
      <c r="H129" t="str">
        <f t="shared" si="2"/>
        <v>Unique</v>
      </c>
      <c r="I129" s="2">
        <f t="shared" si="3"/>
        <v>100.55968847265065</v>
      </c>
    </row>
    <row r="130" spans="1:9" x14ac:dyDescent="0.3">
      <c r="A130" s="1">
        <v>45992</v>
      </c>
      <c r="B130">
        <v>31</v>
      </c>
      <c r="C130" t="s">
        <v>40</v>
      </c>
      <c r="D130">
        <v>11</v>
      </c>
      <c r="E130">
        <v>199338</v>
      </c>
      <c r="F130">
        <v>197919</v>
      </c>
      <c r="G130">
        <v>379</v>
      </c>
      <c r="H130" t="str">
        <f t="shared" ref="H130:H193" si="4">IF(COUNTIFS($D$2:$D$301,D131,$A$2:$A$301,A131)&gt;1,"Duplicate","Unique")</f>
        <v>Unique</v>
      </c>
      <c r="I130" s="2">
        <f t="shared" ref="I130:I193" si="5">F130/E130*100</f>
        <v>99.288143755831797</v>
      </c>
    </row>
    <row r="131" spans="1:9" x14ac:dyDescent="0.3">
      <c r="A131" s="1">
        <v>46023</v>
      </c>
      <c r="B131">
        <v>31</v>
      </c>
      <c r="C131" t="s">
        <v>40</v>
      </c>
      <c r="D131">
        <v>11</v>
      </c>
      <c r="E131">
        <v>90253</v>
      </c>
      <c r="F131">
        <v>87138</v>
      </c>
      <c r="G131">
        <v>832</v>
      </c>
      <c r="H131" t="str">
        <f t="shared" si="4"/>
        <v>Unique</v>
      </c>
      <c r="I131" s="2">
        <f t="shared" si="5"/>
        <v>96.548591182564564</v>
      </c>
    </row>
    <row r="132" spans="1:9" x14ac:dyDescent="0.3">
      <c r="A132" s="1">
        <v>46054</v>
      </c>
      <c r="B132">
        <v>28</v>
      </c>
      <c r="C132" t="s">
        <v>40</v>
      </c>
      <c r="D132">
        <v>11</v>
      </c>
      <c r="E132">
        <v>64874</v>
      </c>
      <c r="F132">
        <v>62945</v>
      </c>
      <c r="G132">
        <v>843</v>
      </c>
      <c r="H132" t="str">
        <f t="shared" si="4"/>
        <v>Unique</v>
      </c>
      <c r="I132" s="2">
        <f t="shared" si="5"/>
        <v>97.026543761753544</v>
      </c>
    </row>
    <row r="133" spans="1:9" x14ac:dyDescent="0.3">
      <c r="A133" s="1">
        <v>46082</v>
      </c>
      <c r="B133">
        <v>31</v>
      </c>
      <c r="C133" t="s">
        <v>40</v>
      </c>
      <c r="D133">
        <v>11</v>
      </c>
      <c r="E133">
        <v>78518</v>
      </c>
      <c r="F133">
        <v>76165</v>
      </c>
      <c r="G133">
        <v>784</v>
      </c>
      <c r="H133" t="str">
        <f t="shared" si="4"/>
        <v>Unique</v>
      </c>
      <c r="I133" s="2">
        <f t="shared" si="5"/>
        <v>97.003234927023101</v>
      </c>
    </row>
    <row r="134" spans="1:9" x14ac:dyDescent="0.3">
      <c r="A134" s="1">
        <v>45748</v>
      </c>
      <c r="B134">
        <v>30</v>
      </c>
      <c r="C134" t="s">
        <v>40</v>
      </c>
      <c r="D134">
        <v>12</v>
      </c>
      <c r="E134">
        <v>97303</v>
      </c>
      <c r="F134">
        <v>95760</v>
      </c>
      <c r="G134">
        <v>1060</v>
      </c>
      <c r="H134" t="str">
        <f t="shared" si="4"/>
        <v>Unique</v>
      </c>
      <c r="I134" s="2">
        <f t="shared" si="5"/>
        <v>98.414231832523143</v>
      </c>
    </row>
    <row r="135" spans="1:9" x14ac:dyDescent="0.3">
      <c r="A135" s="1">
        <v>45778</v>
      </c>
      <c r="B135">
        <v>31</v>
      </c>
      <c r="C135" t="s">
        <v>40</v>
      </c>
      <c r="D135">
        <v>12</v>
      </c>
      <c r="E135">
        <v>333321</v>
      </c>
      <c r="F135">
        <v>329640</v>
      </c>
      <c r="G135">
        <v>377</v>
      </c>
      <c r="H135" t="str">
        <f t="shared" si="4"/>
        <v>Unique</v>
      </c>
      <c r="I135" s="2">
        <f t="shared" si="5"/>
        <v>98.895659139388158</v>
      </c>
    </row>
    <row r="136" spans="1:9" x14ac:dyDescent="0.3">
      <c r="A136" s="1">
        <v>45809</v>
      </c>
      <c r="B136">
        <v>30</v>
      </c>
      <c r="C136" t="s">
        <v>40</v>
      </c>
      <c r="D136">
        <v>12</v>
      </c>
      <c r="E136">
        <v>512447</v>
      </c>
      <c r="F136">
        <v>507120</v>
      </c>
      <c r="G136">
        <v>253</v>
      </c>
      <c r="H136" t="str">
        <f t="shared" si="4"/>
        <v>Unique</v>
      </c>
      <c r="I136" s="2">
        <f t="shared" si="5"/>
        <v>98.960477864052294</v>
      </c>
    </row>
    <row r="137" spans="1:9" x14ac:dyDescent="0.3">
      <c r="A137" s="1">
        <v>45839</v>
      </c>
      <c r="B137">
        <v>31</v>
      </c>
      <c r="C137" t="s">
        <v>40</v>
      </c>
      <c r="D137">
        <v>12</v>
      </c>
      <c r="E137">
        <v>565152</v>
      </c>
      <c r="F137">
        <v>557640</v>
      </c>
      <c r="G137">
        <v>926</v>
      </c>
      <c r="H137" t="str">
        <f t="shared" si="4"/>
        <v>Unique</v>
      </c>
      <c r="I137" s="2">
        <f t="shared" si="5"/>
        <v>98.670800067946317</v>
      </c>
    </row>
    <row r="138" spans="1:9" x14ac:dyDescent="0.3">
      <c r="A138" s="1">
        <v>45870</v>
      </c>
      <c r="B138">
        <v>31</v>
      </c>
      <c r="C138" t="s">
        <v>40</v>
      </c>
      <c r="D138">
        <v>12</v>
      </c>
      <c r="E138">
        <v>370267</v>
      </c>
      <c r="F138">
        <v>366120</v>
      </c>
      <c r="G138">
        <v>727</v>
      </c>
      <c r="H138" t="str">
        <f t="shared" si="4"/>
        <v>Unique</v>
      </c>
      <c r="I138" s="2">
        <f t="shared" si="5"/>
        <v>98.879997407276363</v>
      </c>
    </row>
    <row r="139" spans="1:9" x14ac:dyDescent="0.3">
      <c r="A139" s="1">
        <v>45901</v>
      </c>
      <c r="B139">
        <v>30</v>
      </c>
      <c r="C139" t="s">
        <v>40</v>
      </c>
      <c r="D139">
        <v>12</v>
      </c>
      <c r="E139">
        <v>328380</v>
      </c>
      <c r="F139">
        <v>324480</v>
      </c>
      <c r="G139">
        <v>395</v>
      </c>
      <c r="H139" t="str">
        <f t="shared" si="4"/>
        <v>Unique</v>
      </c>
      <c r="I139" s="2">
        <f t="shared" si="5"/>
        <v>98.812351543942995</v>
      </c>
    </row>
    <row r="140" spans="1:9" x14ac:dyDescent="0.3">
      <c r="A140" s="1">
        <v>45931</v>
      </c>
      <c r="B140">
        <v>31</v>
      </c>
      <c r="C140" t="s">
        <v>40</v>
      </c>
      <c r="D140">
        <v>12</v>
      </c>
      <c r="E140">
        <v>214405</v>
      </c>
      <c r="F140">
        <v>211560</v>
      </c>
      <c r="G140">
        <v>634</v>
      </c>
      <c r="H140" t="str">
        <f t="shared" si="4"/>
        <v>Unique</v>
      </c>
      <c r="I140" s="2">
        <f t="shared" si="5"/>
        <v>98.673071989925603</v>
      </c>
    </row>
    <row r="141" spans="1:9" x14ac:dyDescent="0.3">
      <c r="A141" s="1">
        <v>45962</v>
      </c>
      <c r="B141">
        <v>30</v>
      </c>
      <c r="C141" t="s">
        <v>40</v>
      </c>
      <c r="D141">
        <v>12</v>
      </c>
      <c r="E141">
        <v>114972</v>
      </c>
      <c r="F141">
        <v>112920</v>
      </c>
      <c r="G141">
        <v>398</v>
      </c>
      <c r="H141" t="str">
        <f t="shared" si="4"/>
        <v>Unique</v>
      </c>
      <c r="I141" s="2">
        <f t="shared" si="5"/>
        <v>98.215217618202686</v>
      </c>
    </row>
    <row r="142" spans="1:9" x14ac:dyDescent="0.3">
      <c r="A142" s="1">
        <v>45992</v>
      </c>
      <c r="B142">
        <v>31</v>
      </c>
      <c r="C142" t="s">
        <v>40</v>
      </c>
      <c r="D142">
        <v>12</v>
      </c>
      <c r="E142">
        <v>151310</v>
      </c>
      <c r="F142">
        <v>148800</v>
      </c>
      <c r="G142">
        <v>861</v>
      </c>
      <c r="H142" t="str">
        <f t="shared" si="4"/>
        <v>Unique</v>
      </c>
      <c r="I142" s="2">
        <f t="shared" si="5"/>
        <v>98.341153922410939</v>
      </c>
    </row>
    <row r="143" spans="1:9" x14ac:dyDescent="0.3">
      <c r="A143" s="1">
        <v>46023</v>
      </c>
      <c r="B143">
        <v>31</v>
      </c>
      <c r="C143" t="s">
        <v>40</v>
      </c>
      <c r="D143">
        <v>12</v>
      </c>
      <c r="E143">
        <v>167433</v>
      </c>
      <c r="F143">
        <v>164880</v>
      </c>
      <c r="G143">
        <v>542</v>
      </c>
      <c r="H143" t="str">
        <f t="shared" si="4"/>
        <v>Unique</v>
      </c>
      <c r="I143" s="2">
        <f t="shared" si="5"/>
        <v>98.475210979914351</v>
      </c>
    </row>
    <row r="144" spans="1:9" x14ac:dyDescent="0.3">
      <c r="A144" s="1">
        <v>46054</v>
      </c>
      <c r="B144">
        <v>28</v>
      </c>
      <c r="C144" t="s">
        <v>40</v>
      </c>
      <c r="D144">
        <v>12</v>
      </c>
      <c r="E144">
        <v>122785</v>
      </c>
      <c r="F144">
        <v>120840</v>
      </c>
      <c r="G144">
        <v>230</v>
      </c>
      <c r="H144" t="str">
        <f t="shared" si="4"/>
        <v>Unique</v>
      </c>
      <c r="I144" s="2">
        <f t="shared" si="5"/>
        <v>98.415930284643892</v>
      </c>
    </row>
    <row r="145" spans="1:9" x14ac:dyDescent="0.3">
      <c r="A145" s="1">
        <v>46082</v>
      </c>
      <c r="B145">
        <v>31</v>
      </c>
      <c r="C145" t="s">
        <v>40</v>
      </c>
      <c r="D145">
        <v>12</v>
      </c>
      <c r="E145">
        <v>107521</v>
      </c>
      <c r="F145">
        <v>105720</v>
      </c>
      <c r="G145">
        <v>931</v>
      </c>
      <c r="H145" t="str">
        <f t="shared" si="4"/>
        <v>Unique</v>
      </c>
      <c r="I145" s="2">
        <f t="shared" si="5"/>
        <v>98.324978376317191</v>
      </c>
    </row>
    <row r="146" spans="1:9" x14ac:dyDescent="0.3">
      <c r="A146" s="1">
        <v>45748</v>
      </c>
      <c r="B146">
        <v>30</v>
      </c>
      <c r="C146" t="s">
        <v>40</v>
      </c>
      <c r="D146">
        <v>13</v>
      </c>
      <c r="E146">
        <v>79898</v>
      </c>
      <c r="F146">
        <v>78720</v>
      </c>
      <c r="G146">
        <v>2205</v>
      </c>
      <c r="H146" t="str">
        <f t="shared" si="4"/>
        <v>Unique</v>
      </c>
      <c r="I146" s="2">
        <f t="shared" si="5"/>
        <v>98.525620165711274</v>
      </c>
    </row>
    <row r="147" spans="1:9" x14ac:dyDescent="0.3">
      <c r="A147" s="1">
        <v>45778</v>
      </c>
      <c r="B147">
        <v>31</v>
      </c>
      <c r="C147" t="s">
        <v>40</v>
      </c>
      <c r="D147">
        <v>13</v>
      </c>
      <c r="E147">
        <v>303507</v>
      </c>
      <c r="F147">
        <v>300480</v>
      </c>
      <c r="G147">
        <v>3428</v>
      </c>
      <c r="H147" t="str">
        <f t="shared" si="4"/>
        <v>Unique</v>
      </c>
      <c r="I147" s="2">
        <f t="shared" si="5"/>
        <v>99.002658917257264</v>
      </c>
    </row>
    <row r="148" spans="1:9" x14ac:dyDescent="0.3">
      <c r="A148" s="1">
        <v>45809</v>
      </c>
      <c r="B148">
        <v>30</v>
      </c>
      <c r="C148" t="s">
        <v>40</v>
      </c>
      <c r="D148">
        <v>13</v>
      </c>
      <c r="E148">
        <v>451797</v>
      </c>
      <c r="F148">
        <v>447600</v>
      </c>
      <c r="G148">
        <v>2181</v>
      </c>
      <c r="H148" t="str">
        <f t="shared" si="4"/>
        <v>Unique</v>
      </c>
      <c r="I148" s="2">
        <f t="shared" si="5"/>
        <v>99.071042968412797</v>
      </c>
    </row>
    <row r="149" spans="1:9" x14ac:dyDescent="0.3">
      <c r="A149" s="1">
        <v>45839</v>
      </c>
      <c r="B149">
        <v>31</v>
      </c>
      <c r="C149" t="s">
        <v>40</v>
      </c>
      <c r="D149">
        <v>13</v>
      </c>
      <c r="E149">
        <v>576227</v>
      </c>
      <c r="F149">
        <v>570960</v>
      </c>
      <c r="G149">
        <v>1953</v>
      </c>
      <c r="H149" t="str">
        <f t="shared" si="4"/>
        <v>Unique</v>
      </c>
      <c r="I149" s="2">
        <f t="shared" si="5"/>
        <v>99.085950502145863</v>
      </c>
    </row>
    <row r="150" spans="1:9" x14ac:dyDescent="0.3">
      <c r="A150" s="1">
        <v>45870</v>
      </c>
      <c r="B150">
        <v>31</v>
      </c>
      <c r="C150" t="s">
        <v>40</v>
      </c>
      <c r="D150">
        <v>13</v>
      </c>
      <c r="E150">
        <v>334623</v>
      </c>
      <c r="F150">
        <v>331320</v>
      </c>
      <c r="G150">
        <v>2167</v>
      </c>
      <c r="H150" t="str">
        <f t="shared" si="4"/>
        <v>Unique</v>
      </c>
      <c r="I150" s="2">
        <f t="shared" si="5"/>
        <v>99.012919016325839</v>
      </c>
    </row>
    <row r="151" spans="1:9" x14ac:dyDescent="0.3">
      <c r="A151" s="1">
        <v>45901</v>
      </c>
      <c r="B151">
        <v>30</v>
      </c>
      <c r="C151" t="s">
        <v>40</v>
      </c>
      <c r="D151">
        <v>13</v>
      </c>
      <c r="E151">
        <v>280705</v>
      </c>
      <c r="F151">
        <v>282960</v>
      </c>
      <c r="G151">
        <v>2955</v>
      </c>
      <c r="H151" t="str">
        <f t="shared" si="4"/>
        <v>Unique</v>
      </c>
      <c r="I151" s="2">
        <f t="shared" si="5"/>
        <v>100.80333446144529</v>
      </c>
    </row>
    <row r="152" spans="1:9" x14ac:dyDescent="0.3">
      <c r="A152" s="1">
        <v>45931</v>
      </c>
      <c r="B152">
        <v>31</v>
      </c>
      <c r="C152" t="s">
        <v>40</v>
      </c>
      <c r="D152">
        <v>13</v>
      </c>
      <c r="E152">
        <v>172176</v>
      </c>
      <c r="F152">
        <v>190920</v>
      </c>
      <c r="G152">
        <v>612</v>
      </c>
      <c r="H152" t="str">
        <f t="shared" si="4"/>
        <v>Unique</v>
      </c>
      <c r="I152" s="2">
        <f t="shared" si="5"/>
        <v>110.8865347086702</v>
      </c>
    </row>
    <row r="153" spans="1:9" x14ac:dyDescent="0.3">
      <c r="A153" s="1">
        <v>45962</v>
      </c>
      <c r="B153">
        <v>30</v>
      </c>
      <c r="C153" t="s">
        <v>40</v>
      </c>
      <c r="D153">
        <v>13</v>
      </c>
      <c r="E153">
        <v>110067</v>
      </c>
      <c r="F153">
        <v>121920</v>
      </c>
      <c r="G153">
        <v>2319</v>
      </c>
      <c r="H153" t="str">
        <f t="shared" si="4"/>
        <v>Unique</v>
      </c>
      <c r="I153" s="2">
        <f t="shared" si="5"/>
        <v>110.76889530922074</v>
      </c>
    </row>
    <row r="154" spans="1:9" x14ac:dyDescent="0.3">
      <c r="A154" s="1">
        <v>45992</v>
      </c>
      <c r="B154">
        <v>31</v>
      </c>
      <c r="C154" t="s">
        <v>40</v>
      </c>
      <c r="D154">
        <v>13</v>
      </c>
      <c r="E154">
        <v>169891</v>
      </c>
      <c r="F154">
        <v>188520</v>
      </c>
      <c r="G154">
        <v>2294</v>
      </c>
      <c r="H154" t="str">
        <f t="shared" si="4"/>
        <v>Unique</v>
      </c>
      <c r="I154" s="2">
        <f t="shared" si="5"/>
        <v>110.96526596464793</v>
      </c>
    </row>
    <row r="155" spans="1:9" x14ac:dyDescent="0.3">
      <c r="A155" s="1">
        <v>46023</v>
      </c>
      <c r="B155">
        <v>31</v>
      </c>
      <c r="C155" t="s">
        <v>40</v>
      </c>
      <c r="D155">
        <v>13</v>
      </c>
      <c r="E155">
        <v>156341</v>
      </c>
      <c r="F155">
        <v>174000</v>
      </c>
      <c r="G155">
        <v>3068</v>
      </c>
      <c r="H155" t="str">
        <f t="shared" si="4"/>
        <v>Unique</v>
      </c>
      <c r="I155" s="2">
        <f t="shared" si="5"/>
        <v>111.29518168618597</v>
      </c>
    </row>
    <row r="156" spans="1:9" x14ac:dyDescent="0.3">
      <c r="A156" s="1">
        <v>46054</v>
      </c>
      <c r="B156">
        <v>28</v>
      </c>
      <c r="C156" t="s">
        <v>40</v>
      </c>
      <c r="D156">
        <v>13</v>
      </c>
      <c r="E156">
        <v>119286</v>
      </c>
      <c r="F156">
        <v>132240</v>
      </c>
      <c r="G156">
        <v>1544</v>
      </c>
      <c r="H156" t="str">
        <f t="shared" si="4"/>
        <v>Unique</v>
      </c>
      <c r="I156" s="2">
        <f t="shared" si="5"/>
        <v>110.85961470750969</v>
      </c>
    </row>
    <row r="157" spans="1:9" x14ac:dyDescent="0.3">
      <c r="A157" s="1">
        <v>46082</v>
      </c>
      <c r="B157">
        <v>31</v>
      </c>
      <c r="C157" t="s">
        <v>40</v>
      </c>
      <c r="D157">
        <v>13</v>
      </c>
      <c r="E157">
        <v>92824</v>
      </c>
      <c r="F157">
        <v>92880</v>
      </c>
      <c r="G157">
        <v>3464</v>
      </c>
      <c r="H157" t="str">
        <f t="shared" si="4"/>
        <v>Unique</v>
      </c>
      <c r="I157" s="2">
        <f t="shared" si="5"/>
        <v>100.06032922520038</v>
      </c>
    </row>
    <row r="158" spans="1:9" x14ac:dyDescent="0.3">
      <c r="A158" s="1">
        <v>45748</v>
      </c>
      <c r="B158">
        <v>30</v>
      </c>
      <c r="C158" t="s">
        <v>40</v>
      </c>
      <c r="D158">
        <v>14</v>
      </c>
      <c r="E158">
        <v>74156</v>
      </c>
      <c r="F158">
        <v>72960</v>
      </c>
      <c r="G158">
        <v>1123</v>
      </c>
      <c r="H158" t="str">
        <f t="shared" si="4"/>
        <v>Unique</v>
      </c>
      <c r="I158" s="2">
        <f t="shared" si="5"/>
        <v>98.387183774745139</v>
      </c>
    </row>
    <row r="159" spans="1:9" x14ac:dyDescent="0.3">
      <c r="A159" s="1">
        <v>45778</v>
      </c>
      <c r="B159">
        <v>31</v>
      </c>
      <c r="C159" t="s">
        <v>40</v>
      </c>
      <c r="D159">
        <v>14</v>
      </c>
      <c r="E159">
        <v>268448</v>
      </c>
      <c r="F159">
        <v>265800</v>
      </c>
      <c r="G159">
        <v>3835</v>
      </c>
      <c r="H159" t="str">
        <f t="shared" si="4"/>
        <v>Unique</v>
      </c>
      <c r="I159" s="2">
        <f t="shared" si="5"/>
        <v>99.013589223983786</v>
      </c>
    </row>
    <row r="160" spans="1:9" x14ac:dyDescent="0.3">
      <c r="A160" s="1">
        <v>45809</v>
      </c>
      <c r="B160">
        <v>30</v>
      </c>
      <c r="C160" t="s">
        <v>40</v>
      </c>
      <c r="D160">
        <v>14</v>
      </c>
      <c r="E160">
        <v>440627</v>
      </c>
      <c r="F160">
        <v>436680</v>
      </c>
      <c r="G160">
        <v>3973</v>
      </c>
      <c r="H160" t="str">
        <f t="shared" si="4"/>
        <v>Unique</v>
      </c>
      <c r="I160" s="2">
        <f t="shared" si="5"/>
        <v>99.104231016256378</v>
      </c>
    </row>
    <row r="161" spans="1:9" x14ac:dyDescent="0.3">
      <c r="A161" s="1">
        <v>45839</v>
      </c>
      <c r="B161">
        <v>31</v>
      </c>
      <c r="C161" t="s">
        <v>40</v>
      </c>
      <c r="D161">
        <v>14</v>
      </c>
      <c r="E161">
        <v>548812</v>
      </c>
      <c r="F161">
        <v>543960</v>
      </c>
      <c r="G161">
        <v>3017</v>
      </c>
      <c r="H161" t="str">
        <f t="shared" si="4"/>
        <v>Unique</v>
      </c>
      <c r="I161" s="2">
        <f t="shared" si="5"/>
        <v>99.115908544273807</v>
      </c>
    </row>
    <row r="162" spans="1:9" x14ac:dyDescent="0.3">
      <c r="A162" s="1">
        <v>45870</v>
      </c>
      <c r="B162">
        <v>31</v>
      </c>
      <c r="C162" t="s">
        <v>40</v>
      </c>
      <c r="D162">
        <v>14</v>
      </c>
      <c r="E162">
        <v>317894</v>
      </c>
      <c r="F162">
        <v>314760</v>
      </c>
      <c r="G162">
        <v>3753</v>
      </c>
      <c r="H162" t="str">
        <f t="shared" si="4"/>
        <v>Unique</v>
      </c>
      <c r="I162" s="2">
        <f t="shared" si="5"/>
        <v>99.014136787734273</v>
      </c>
    </row>
    <row r="163" spans="1:9" x14ac:dyDescent="0.3">
      <c r="A163" s="1">
        <v>45901</v>
      </c>
      <c r="B163">
        <v>30</v>
      </c>
      <c r="C163" t="s">
        <v>40</v>
      </c>
      <c r="D163">
        <v>14</v>
      </c>
      <c r="E163">
        <v>297333</v>
      </c>
      <c r="F163">
        <v>293880</v>
      </c>
      <c r="G163">
        <v>1259</v>
      </c>
      <c r="H163" t="str">
        <f t="shared" si="4"/>
        <v>Unique</v>
      </c>
      <c r="I163" s="2">
        <f t="shared" si="5"/>
        <v>98.838675828111917</v>
      </c>
    </row>
    <row r="164" spans="1:9" x14ac:dyDescent="0.3">
      <c r="A164" s="1">
        <v>45931</v>
      </c>
      <c r="B164">
        <v>31</v>
      </c>
      <c r="C164" t="s">
        <v>40</v>
      </c>
      <c r="D164">
        <v>14</v>
      </c>
      <c r="E164">
        <v>162441</v>
      </c>
      <c r="F164">
        <v>160320</v>
      </c>
      <c r="G164">
        <v>353</v>
      </c>
      <c r="H164" t="str">
        <f t="shared" si="4"/>
        <v>Unique</v>
      </c>
      <c r="I164" s="2">
        <f t="shared" si="5"/>
        <v>98.694295159473285</v>
      </c>
    </row>
    <row r="165" spans="1:9" x14ac:dyDescent="0.3">
      <c r="A165" s="1">
        <v>45962</v>
      </c>
      <c r="B165">
        <v>30</v>
      </c>
      <c r="C165" t="s">
        <v>40</v>
      </c>
      <c r="D165">
        <v>14</v>
      </c>
      <c r="E165">
        <v>82963</v>
      </c>
      <c r="F165">
        <v>81600</v>
      </c>
      <c r="G165">
        <v>475</v>
      </c>
      <c r="H165" t="str">
        <f t="shared" si="4"/>
        <v>Unique</v>
      </c>
      <c r="I165" s="2">
        <f t="shared" si="5"/>
        <v>98.357098947723685</v>
      </c>
    </row>
    <row r="166" spans="1:9" x14ac:dyDescent="0.3">
      <c r="A166" s="1">
        <v>45992</v>
      </c>
      <c r="B166">
        <v>31</v>
      </c>
      <c r="C166" t="s">
        <v>40</v>
      </c>
      <c r="D166">
        <v>14</v>
      </c>
      <c r="E166">
        <v>122817</v>
      </c>
      <c r="F166">
        <v>120960</v>
      </c>
      <c r="G166">
        <v>964</v>
      </c>
      <c r="H166" t="str">
        <f t="shared" si="4"/>
        <v>Unique</v>
      </c>
      <c r="I166" s="2">
        <f t="shared" si="5"/>
        <v>98.487994333032063</v>
      </c>
    </row>
    <row r="167" spans="1:9" x14ac:dyDescent="0.3">
      <c r="A167" s="1">
        <v>46023</v>
      </c>
      <c r="B167">
        <v>31</v>
      </c>
      <c r="C167" t="s">
        <v>40</v>
      </c>
      <c r="D167">
        <v>14</v>
      </c>
      <c r="E167">
        <v>131967</v>
      </c>
      <c r="F167">
        <v>130320</v>
      </c>
      <c r="G167">
        <v>2375</v>
      </c>
      <c r="H167" t="str">
        <f t="shared" si="4"/>
        <v>Unique</v>
      </c>
      <c r="I167" s="2">
        <f t="shared" si="5"/>
        <v>98.751960717452093</v>
      </c>
    </row>
    <row r="168" spans="1:9" x14ac:dyDescent="0.3">
      <c r="A168" s="1">
        <v>46054</v>
      </c>
      <c r="B168">
        <v>28</v>
      </c>
      <c r="C168" t="s">
        <v>40</v>
      </c>
      <c r="D168">
        <v>14</v>
      </c>
      <c r="E168">
        <v>94547</v>
      </c>
      <c r="F168">
        <v>93240</v>
      </c>
      <c r="G168">
        <v>1822</v>
      </c>
      <c r="H168" t="str">
        <f t="shared" si="4"/>
        <v>Unique</v>
      </c>
      <c r="I168" s="2">
        <f t="shared" si="5"/>
        <v>98.617618750462725</v>
      </c>
    </row>
    <row r="169" spans="1:9" x14ac:dyDescent="0.3">
      <c r="A169" s="1">
        <v>46082</v>
      </c>
      <c r="B169">
        <v>31</v>
      </c>
      <c r="C169" t="s">
        <v>40</v>
      </c>
      <c r="D169">
        <v>14</v>
      </c>
      <c r="E169">
        <v>79458</v>
      </c>
      <c r="F169">
        <v>78120</v>
      </c>
      <c r="G169">
        <v>505</v>
      </c>
      <c r="H169" t="str">
        <f t="shared" si="4"/>
        <v>Unique</v>
      </c>
      <c r="I169" s="2">
        <f t="shared" si="5"/>
        <v>98.316091520048332</v>
      </c>
    </row>
    <row r="170" spans="1:9" x14ac:dyDescent="0.3">
      <c r="A170" s="1">
        <v>45748</v>
      </c>
      <c r="B170">
        <v>30</v>
      </c>
      <c r="C170" t="s">
        <v>40</v>
      </c>
      <c r="D170">
        <v>15</v>
      </c>
      <c r="E170">
        <v>65681</v>
      </c>
      <c r="F170">
        <v>65022</v>
      </c>
      <c r="G170">
        <v>666</v>
      </c>
      <c r="H170" t="str">
        <f t="shared" si="4"/>
        <v>Unique</v>
      </c>
      <c r="I170" s="2">
        <f t="shared" si="5"/>
        <v>98.996665702410141</v>
      </c>
    </row>
    <row r="171" spans="1:9" x14ac:dyDescent="0.3">
      <c r="A171" s="1">
        <v>45778</v>
      </c>
      <c r="B171">
        <v>31</v>
      </c>
      <c r="C171" t="s">
        <v>40</v>
      </c>
      <c r="D171">
        <v>15</v>
      </c>
      <c r="E171">
        <v>410674</v>
      </c>
      <c r="F171">
        <v>413562</v>
      </c>
      <c r="G171">
        <v>736</v>
      </c>
      <c r="H171" t="str">
        <f t="shared" si="4"/>
        <v>Unique</v>
      </c>
      <c r="I171" s="2">
        <f t="shared" si="5"/>
        <v>100.70323419549325</v>
      </c>
    </row>
    <row r="172" spans="1:9" x14ac:dyDescent="0.3">
      <c r="A172" s="1">
        <v>45809</v>
      </c>
      <c r="B172">
        <v>30</v>
      </c>
      <c r="C172" t="s">
        <v>40</v>
      </c>
      <c r="D172">
        <v>15</v>
      </c>
      <c r="E172">
        <v>693305</v>
      </c>
      <c r="F172">
        <v>698968</v>
      </c>
      <c r="G172">
        <v>919</v>
      </c>
      <c r="H172" t="str">
        <f t="shared" si="4"/>
        <v>Unique</v>
      </c>
      <c r="I172" s="2">
        <f t="shared" si="5"/>
        <v>100.8168122254996</v>
      </c>
    </row>
    <row r="173" spans="1:9" x14ac:dyDescent="0.3">
      <c r="A173" s="1">
        <v>45839</v>
      </c>
      <c r="B173">
        <v>31</v>
      </c>
      <c r="C173" t="s">
        <v>40</v>
      </c>
      <c r="D173">
        <v>15</v>
      </c>
      <c r="E173">
        <v>776700</v>
      </c>
      <c r="F173">
        <v>774886</v>
      </c>
      <c r="G173">
        <v>222</v>
      </c>
      <c r="H173" t="str">
        <f t="shared" si="4"/>
        <v>Unique</v>
      </c>
      <c r="I173" s="2">
        <f t="shared" si="5"/>
        <v>99.766447791940266</v>
      </c>
    </row>
    <row r="174" spans="1:9" x14ac:dyDescent="0.3">
      <c r="A174" s="1">
        <v>45870</v>
      </c>
      <c r="B174">
        <v>31</v>
      </c>
      <c r="C174" t="s">
        <v>40</v>
      </c>
      <c r="D174">
        <v>15</v>
      </c>
      <c r="E174">
        <v>555312</v>
      </c>
      <c r="F174">
        <v>553290</v>
      </c>
      <c r="G174">
        <v>993</v>
      </c>
      <c r="H174" t="str">
        <f t="shared" si="4"/>
        <v>Unique</v>
      </c>
      <c r="I174" s="2">
        <f t="shared" si="5"/>
        <v>99.635880369954194</v>
      </c>
    </row>
    <row r="175" spans="1:9" x14ac:dyDescent="0.3">
      <c r="A175" s="1">
        <v>45901</v>
      </c>
      <c r="B175">
        <v>30</v>
      </c>
      <c r="C175" t="s">
        <v>40</v>
      </c>
      <c r="D175">
        <v>15</v>
      </c>
      <c r="E175">
        <v>538512</v>
      </c>
      <c r="F175">
        <v>535034</v>
      </c>
      <c r="G175">
        <v>680</v>
      </c>
      <c r="H175" t="str">
        <f t="shared" si="4"/>
        <v>Unique</v>
      </c>
      <c r="I175" s="2">
        <f t="shared" si="5"/>
        <v>99.354146240009513</v>
      </c>
    </row>
    <row r="176" spans="1:9" x14ac:dyDescent="0.3">
      <c r="A176" s="1">
        <v>45931</v>
      </c>
      <c r="B176">
        <v>31</v>
      </c>
      <c r="C176" t="s">
        <v>40</v>
      </c>
      <c r="D176">
        <v>15</v>
      </c>
      <c r="E176">
        <v>182395</v>
      </c>
      <c r="F176">
        <v>180214</v>
      </c>
      <c r="G176">
        <v>928</v>
      </c>
      <c r="H176" t="str">
        <f t="shared" si="4"/>
        <v>Unique</v>
      </c>
      <c r="I176" s="2">
        <f t="shared" si="5"/>
        <v>98.804243537377673</v>
      </c>
    </row>
    <row r="177" spans="1:9" x14ac:dyDescent="0.3">
      <c r="A177" s="1">
        <v>45962</v>
      </c>
      <c r="B177">
        <v>30</v>
      </c>
      <c r="C177" t="s">
        <v>40</v>
      </c>
      <c r="D177">
        <v>15</v>
      </c>
      <c r="E177">
        <v>64982</v>
      </c>
      <c r="F177">
        <v>62608</v>
      </c>
      <c r="G177">
        <v>738</v>
      </c>
      <c r="H177" t="str">
        <f t="shared" si="4"/>
        <v>Unique</v>
      </c>
      <c r="I177" s="2">
        <f t="shared" si="5"/>
        <v>96.346680619248403</v>
      </c>
    </row>
    <row r="178" spans="1:9" x14ac:dyDescent="0.3">
      <c r="A178" s="1">
        <v>45992</v>
      </c>
      <c r="B178">
        <v>31</v>
      </c>
      <c r="C178" t="s">
        <v>40</v>
      </c>
      <c r="D178">
        <v>15</v>
      </c>
      <c r="E178">
        <v>46591</v>
      </c>
      <c r="F178">
        <v>44072</v>
      </c>
      <c r="G178">
        <v>963</v>
      </c>
      <c r="H178" t="str">
        <f t="shared" si="4"/>
        <v>Unique</v>
      </c>
      <c r="I178" s="2">
        <f t="shared" si="5"/>
        <v>94.593376403167994</v>
      </c>
    </row>
    <row r="179" spans="1:9" x14ac:dyDescent="0.3">
      <c r="A179" s="1">
        <v>46023</v>
      </c>
      <c r="B179">
        <v>31</v>
      </c>
      <c r="C179" t="s">
        <v>40</v>
      </c>
      <c r="D179">
        <v>15</v>
      </c>
      <c r="E179">
        <v>53796</v>
      </c>
      <c r="F179">
        <v>51382</v>
      </c>
      <c r="G179">
        <v>439</v>
      </c>
      <c r="H179" t="str">
        <f t="shared" si="4"/>
        <v>Unique</v>
      </c>
      <c r="I179" s="2">
        <f t="shared" si="5"/>
        <v>95.512677522492382</v>
      </c>
    </row>
    <row r="180" spans="1:9" x14ac:dyDescent="0.3">
      <c r="A180" s="1">
        <v>46054</v>
      </c>
      <c r="B180">
        <v>28</v>
      </c>
      <c r="C180" t="s">
        <v>40</v>
      </c>
      <c r="D180">
        <v>15</v>
      </c>
      <c r="E180">
        <v>46699</v>
      </c>
      <c r="F180">
        <v>44156</v>
      </c>
      <c r="G180">
        <v>893</v>
      </c>
      <c r="H180" t="str">
        <f t="shared" si="4"/>
        <v>Unique</v>
      </c>
      <c r="I180" s="2">
        <f t="shared" si="5"/>
        <v>94.55448724812095</v>
      </c>
    </row>
    <row r="181" spans="1:9" x14ac:dyDescent="0.3">
      <c r="A181" s="1">
        <v>46082</v>
      </c>
      <c r="B181">
        <v>31</v>
      </c>
      <c r="C181" t="s">
        <v>40</v>
      </c>
      <c r="D181">
        <v>15</v>
      </c>
      <c r="E181">
        <v>38273</v>
      </c>
      <c r="F181">
        <v>35926</v>
      </c>
      <c r="G181">
        <v>306</v>
      </c>
      <c r="H181" t="str">
        <f t="shared" si="4"/>
        <v>Unique</v>
      </c>
      <c r="I181" s="2">
        <f t="shared" si="5"/>
        <v>93.867739659812401</v>
      </c>
    </row>
    <row r="182" spans="1:9" x14ac:dyDescent="0.3">
      <c r="A182" s="1">
        <v>45748</v>
      </c>
      <c r="B182">
        <v>30</v>
      </c>
      <c r="C182" t="s">
        <v>40</v>
      </c>
      <c r="D182">
        <v>16</v>
      </c>
      <c r="E182">
        <v>73091</v>
      </c>
      <c r="F182">
        <v>71310</v>
      </c>
      <c r="G182">
        <v>1565</v>
      </c>
      <c r="H182" t="str">
        <f t="shared" si="4"/>
        <v>Unique</v>
      </c>
      <c r="I182" s="2">
        <f t="shared" si="5"/>
        <v>97.563311488418549</v>
      </c>
    </row>
    <row r="183" spans="1:9" x14ac:dyDescent="0.3">
      <c r="A183" s="1">
        <v>45778</v>
      </c>
      <c r="B183">
        <v>31</v>
      </c>
      <c r="C183" t="s">
        <v>40</v>
      </c>
      <c r="D183">
        <v>16</v>
      </c>
      <c r="E183">
        <v>428322</v>
      </c>
      <c r="F183">
        <v>426274</v>
      </c>
      <c r="G183">
        <v>1655</v>
      </c>
      <c r="H183" t="str">
        <f t="shared" si="4"/>
        <v>Unique</v>
      </c>
      <c r="I183" s="2">
        <f t="shared" si="5"/>
        <v>99.521855052974161</v>
      </c>
    </row>
    <row r="184" spans="1:9" x14ac:dyDescent="0.3">
      <c r="A184" s="1">
        <v>45809</v>
      </c>
      <c r="B184">
        <v>30</v>
      </c>
      <c r="C184" t="s">
        <v>40</v>
      </c>
      <c r="D184">
        <v>16</v>
      </c>
      <c r="E184">
        <v>727064</v>
      </c>
      <c r="F184">
        <v>725368</v>
      </c>
      <c r="G184">
        <v>3253</v>
      </c>
      <c r="H184" t="str">
        <f t="shared" si="4"/>
        <v>Unique</v>
      </c>
      <c r="I184" s="2">
        <f t="shared" si="5"/>
        <v>99.76673305238603</v>
      </c>
    </row>
    <row r="185" spans="1:9" x14ac:dyDescent="0.3">
      <c r="A185" s="1">
        <v>45839</v>
      </c>
      <c r="B185">
        <v>31</v>
      </c>
      <c r="C185" t="s">
        <v>40</v>
      </c>
      <c r="D185">
        <v>16</v>
      </c>
      <c r="E185">
        <v>805352</v>
      </c>
      <c r="F185">
        <v>806478</v>
      </c>
      <c r="G185">
        <v>2552</v>
      </c>
      <c r="H185" t="str">
        <f t="shared" si="4"/>
        <v>Unique</v>
      </c>
      <c r="I185" s="2">
        <f t="shared" si="5"/>
        <v>100.13981464005801</v>
      </c>
    </row>
    <row r="186" spans="1:9" x14ac:dyDescent="0.3">
      <c r="A186" s="1">
        <v>45870</v>
      </c>
      <c r="B186">
        <v>31</v>
      </c>
      <c r="C186" t="s">
        <v>40</v>
      </c>
      <c r="D186">
        <v>16</v>
      </c>
      <c r="E186">
        <v>580775</v>
      </c>
      <c r="F186">
        <v>581134</v>
      </c>
      <c r="G186">
        <v>1660</v>
      </c>
      <c r="H186" t="str">
        <f t="shared" si="4"/>
        <v>Unique</v>
      </c>
      <c r="I186" s="2">
        <f t="shared" si="5"/>
        <v>100.06181395549049</v>
      </c>
    </row>
    <row r="187" spans="1:9" x14ac:dyDescent="0.3">
      <c r="A187" s="1">
        <v>45901</v>
      </c>
      <c r="B187">
        <v>30</v>
      </c>
      <c r="C187" t="s">
        <v>40</v>
      </c>
      <c r="D187">
        <v>16</v>
      </c>
      <c r="E187">
        <v>567000</v>
      </c>
      <c r="F187">
        <v>567424</v>
      </c>
      <c r="G187">
        <v>2327</v>
      </c>
      <c r="H187" t="str">
        <f t="shared" si="4"/>
        <v>Unique</v>
      </c>
      <c r="I187" s="2">
        <f t="shared" si="5"/>
        <v>100.07477954144622</v>
      </c>
    </row>
    <row r="188" spans="1:9" x14ac:dyDescent="0.3">
      <c r="A188" s="1">
        <v>45931</v>
      </c>
      <c r="B188">
        <v>31</v>
      </c>
      <c r="C188" t="s">
        <v>40</v>
      </c>
      <c r="D188">
        <v>16</v>
      </c>
      <c r="E188">
        <v>191935</v>
      </c>
      <c r="F188">
        <v>190720</v>
      </c>
      <c r="G188">
        <v>2312</v>
      </c>
      <c r="H188" t="str">
        <f t="shared" si="4"/>
        <v>Unique</v>
      </c>
      <c r="I188" s="2">
        <f t="shared" si="5"/>
        <v>99.366973194050061</v>
      </c>
    </row>
    <row r="189" spans="1:9" x14ac:dyDescent="0.3">
      <c r="A189" s="1">
        <v>45962</v>
      </c>
      <c r="B189">
        <v>30</v>
      </c>
      <c r="C189" t="s">
        <v>40</v>
      </c>
      <c r="D189">
        <v>16</v>
      </c>
      <c r="E189">
        <v>67539</v>
      </c>
      <c r="F189">
        <v>65346</v>
      </c>
      <c r="G189">
        <v>1549</v>
      </c>
      <c r="H189" t="str">
        <f t="shared" si="4"/>
        <v>Unique</v>
      </c>
      <c r="I189" s="2">
        <f t="shared" si="5"/>
        <v>96.752987162972502</v>
      </c>
    </row>
    <row r="190" spans="1:9" x14ac:dyDescent="0.3">
      <c r="A190" s="1">
        <v>45992</v>
      </c>
      <c r="B190">
        <v>31</v>
      </c>
      <c r="C190" t="s">
        <v>40</v>
      </c>
      <c r="D190">
        <v>16</v>
      </c>
      <c r="E190">
        <v>53908</v>
      </c>
      <c r="F190">
        <v>51492</v>
      </c>
      <c r="G190">
        <v>2529</v>
      </c>
      <c r="H190" t="str">
        <f t="shared" si="4"/>
        <v>Unique</v>
      </c>
      <c r="I190" s="2">
        <f t="shared" si="5"/>
        <v>95.518290420716781</v>
      </c>
    </row>
    <row r="191" spans="1:9" x14ac:dyDescent="0.3">
      <c r="A191" s="1">
        <v>46023</v>
      </c>
      <c r="B191">
        <v>31</v>
      </c>
      <c r="C191" t="s">
        <v>40</v>
      </c>
      <c r="D191">
        <v>16</v>
      </c>
      <c r="E191">
        <v>55229</v>
      </c>
      <c r="F191">
        <v>52996</v>
      </c>
      <c r="G191">
        <v>407</v>
      </c>
      <c r="H191" t="str">
        <f t="shared" si="4"/>
        <v>Unique</v>
      </c>
      <c r="I191" s="2">
        <f t="shared" si="5"/>
        <v>95.956834271849928</v>
      </c>
    </row>
    <row r="192" spans="1:9" x14ac:dyDescent="0.3">
      <c r="A192" s="1">
        <v>46054</v>
      </c>
      <c r="B192">
        <v>28</v>
      </c>
      <c r="C192" t="s">
        <v>40</v>
      </c>
      <c r="D192">
        <v>16</v>
      </c>
      <c r="E192">
        <v>48371</v>
      </c>
      <c r="F192">
        <v>46190</v>
      </c>
      <c r="G192">
        <v>2598</v>
      </c>
      <c r="H192" t="str">
        <f t="shared" si="4"/>
        <v>Unique</v>
      </c>
      <c r="I192" s="2">
        <f t="shared" si="5"/>
        <v>95.491100039279729</v>
      </c>
    </row>
    <row r="193" spans="1:9" x14ac:dyDescent="0.3">
      <c r="A193" s="1">
        <v>46082</v>
      </c>
      <c r="B193">
        <v>31</v>
      </c>
      <c r="C193" t="s">
        <v>40</v>
      </c>
      <c r="D193">
        <v>16</v>
      </c>
      <c r="E193">
        <v>36737</v>
      </c>
      <c r="F193">
        <v>34570</v>
      </c>
      <c r="G193">
        <v>3388</v>
      </c>
      <c r="H193" t="str">
        <f t="shared" si="4"/>
        <v>Unique</v>
      </c>
      <c r="I193" s="2">
        <f t="shared" si="5"/>
        <v>94.101314750796206</v>
      </c>
    </row>
    <row r="194" spans="1:9" x14ac:dyDescent="0.3">
      <c r="A194" s="1">
        <v>45748</v>
      </c>
      <c r="B194">
        <v>30</v>
      </c>
      <c r="C194" t="s">
        <v>40</v>
      </c>
      <c r="D194">
        <v>17</v>
      </c>
      <c r="E194">
        <v>63668</v>
      </c>
      <c r="F194">
        <v>64986</v>
      </c>
      <c r="G194">
        <v>203</v>
      </c>
      <c r="H194" t="str">
        <f t="shared" ref="H194:H257" si="6">IF(COUNTIFS($D$2:$D$301,D195,$A$2:$A$301,A195)&gt;1,"Duplicate","Unique")</f>
        <v>Unique</v>
      </c>
      <c r="I194" s="2">
        <f t="shared" ref="I194:I257" si="7">F194/E194*100</f>
        <v>102.07011371489602</v>
      </c>
    </row>
    <row r="195" spans="1:9" x14ac:dyDescent="0.3">
      <c r="A195" s="1">
        <v>45778</v>
      </c>
      <c r="B195">
        <v>31</v>
      </c>
      <c r="C195" t="s">
        <v>40</v>
      </c>
      <c r="D195">
        <v>17</v>
      </c>
      <c r="E195">
        <v>409122</v>
      </c>
      <c r="F195">
        <v>420252</v>
      </c>
      <c r="G195">
        <v>1122</v>
      </c>
      <c r="H195" t="str">
        <f t="shared" si="6"/>
        <v>Unique</v>
      </c>
      <c r="I195" s="2">
        <f t="shared" si="7"/>
        <v>102.72045991171336</v>
      </c>
    </row>
    <row r="196" spans="1:9" x14ac:dyDescent="0.3">
      <c r="A196" s="1">
        <v>45809</v>
      </c>
      <c r="B196">
        <v>30</v>
      </c>
      <c r="C196" t="s">
        <v>40</v>
      </c>
      <c r="D196">
        <v>17</v>
      </c>
      <c r="E196">
        <v>700960</v>
      </c>
      <c r="F196">
        <v>711634</v>
      </c>
      <c r="G196">
        <v>2381</v>
      </c>
      <c r="H196" t="str">
        <f t="shared" si="6"/>
        <v>Unique</v>
      </c>
      <c r="I196" s="2">
        <f t="shared" si="7"/>
        <v>101.52276877425246</v>
      </c>
    </row>
    <row r="197" spans="1:9" x14ac:dyDescent="0.3">
      <c r="A197" s="1">
        <v>45839</v>
      </c>
      <c r="B197">
        <v>31</v>
      </c>
      <c r="C197" t="s">
        <v>40</v>
      </c>
      <c r="D197">
        <v>17</v>
      </c>
      <c r="E197">
        <v>801871</v>
      </c>
      <c r="F197">
        <v>815826</v>
      </c>
      <c r="G197">
        <v>1593</v>
      </c>
      <c r="H197" t="str">
        <f t="shared" si="6"/>
        <v>Unique</v>
      </c>
      <c r="I197" s="2">
        <f t="shared" si="7"/>
        <v>101.74030486200398</v>
      </c>
    </row>
    <row r="198" spans="1:9" x14ac:dyDescent="0.3">
      <c r="A198" s="1">
        <v>45870</v>
      </c>
      <c r="B198">
        <v>31</v>
      </c>
      <c r="C198" t="s">
        <v>40</v>
      </c>
      <c r="D198">
        <v>17</v>
      </c>
      <c r="E198">
        <v>568713</v>
      </c>
      <c r="F198">
        <v>568096</v>
      </c>
      <c r="G198">
        <v>2299</v>
      </c>
      <c r="H198" t="str">
        <f t="shared" si="6"/>
        <v>Unique</v>
      </c>
      <c r="I198" s="2">
        <f t="shared" si="7"/>
        <v>99.891509425668133</v>
      </c>
    </row>
    <row r="199" spans="1:9" x14ac:dyDescent="0.3">
      <c r="A199" s="1">
        <v>45901</v>
      </c>
      <c r="B199">
        <v>30</v>
      </c>
      <c r="C199" t="s">
        <v>40</v>
      </c>
      <c r="D199">
        <v>17</v>
      </c>
      <c r="E199">
        <v>519121</v>
      </c>
      <c r="F199">
        <v>517522</v>
      </c>
      <c r="G199">
        <v>2870</v>
      </c>
      <c r="H199" t="str">
        <f t="shared" si="6"/>
        <v>Unique</v>
      </c>
      <c r="I199" s="2">
        <f t="shared" si="7"/>
        <v>99.691979326592445</v>
      </c>
    </row>
    <row r="200" spans="1:9" x14ac:dyDescent="0.3">
      <c r="A200" s="1">
        <v>45931</v>
      </c>
      <c r="B200">
        <v>31</v>
      </c>
      <c r="C200" t="s">
        <v>40</v>
      </c>
      <c r="D200">
        <v>17</v>
      </c>
      <c r="E200">
        <v>184179</v>
      </c>
      <c r="F200">
        <v>182192</v>
      </c>
      <c r="G200">
        <v>3395</v>
      </c>
      <c r="H200" t="str">
        <f t="shared" si="6"/>
        <v>Unique</v>
      </c>
      <c r="I200" s="2">
        <f t="shared" si="7"/>
        <v>98.921158221078414</v>
      </c>
    </row>
    <row r="201" spans="1:9" x14ac:dyDescent="0.3">
      <c r="A201" s="1">
        <v>45962</v>
      </c>
      <c r="B201">
        <v>30</v>
      </c>
      <c r="C201" t="s">
        <v>40</v>
      </c>
      <c r="D201">
        <v>17</v>
      </c>
      <c r="E201">
        <v>72612</v>
      </c>
      <c r="F201">
        <v>70412</v>
      </c>
      <c r="G201">
        <v>207</v>
      </c>
      <c r="H201" t="str">
        <f t="shared" si="6"/>
        <v>Unique</v>
      </c>
      <c r="I201" s="2">
        <f t="shared" si="7"/>
        <v>96.970197763455076</v>
      </c>
    </row>
    <row r="202" spans="1:9" x14ac:dyDescent="0.3">
      <c r="A202" s="1">
        <v>45992</v>
      </c>
      <c r="B202">
        <v>31</v>
      </c>
      <c r="C202" t="s">
        <v>40</v>
      </c>
      <c r="D202">
        <v>17</v>
      </c>
      <c r="E202">
        <v>53654</v>
      </c>
      <c r="F202">
        <v>51260</v>
      </c>
      <c r="G202">
        <v>967</v>
      </c>
      <c r="H202" t="str">
        <f t="shared" si="6"/>
        <v>Unique</v>
      </c>
      <c r="I202" s="2">
        <f t="shared" si="7"/>
        <v>95.538077310172582</v>
      </c>
    </row>
    <row r="203" spans="1:9" x14ac:dyDescent="0.3">
      <c r="A203" s="1">
        <v>46023</v>
      </c>
      <c r="B203">
        <v>31</v>
      </c>
      <c r="C203" t="s">
        <v>40</v>
      </c>
      <c r="D203">
        <v>17</v>
      </c>
      <c r="E203">
        <v>69259</v>
      </c>
      <c r="F203">
        <v>66704</v>
      </c>
      <c r="G203">
        <v>3764</v>
      </c>
      <c r="H203" t="str">
        <f t="shared" si="6"/>
        <v>Unique</v>
      </c>
      <c r="I203" s="2">
        <f t="shared" si="7"/>
        <v>96.310948757562201</v>
      </c>
    </row>
    <row r="204" spans="1:9" x14ac:dyDescent="0.3">
      <c r="A204" s="1">
        <v>46054</v>
      </c>
      <c r="B204">
        <v>28</v>
      </c>
      <c r="C204" t="s">
        <v>40</v>
      </c>
      <c r="D204">
        <v>17</v>
      </c>
      <c r="E204">
        <v>51832</v>
      </c>
      <c r="F204">
        <v>49396</v>
      </c>
      <c r="G204">
        <v>3561</v>
      </c>
      <c r="H204" t="str">
        <f t="shared" si="6"/>
        <v>Unique</v>
      </c>
      <c r="I204" s="2">
        <f t="shared" si="7"/>
        <v>95.300200648248193</v>
      </c>
    </row>
    <row r="205" spans="1:9" x14ac:dyDescent="0.3">
      <c r="A205" s="1">
        <v>46082</v>
      </c>
      <c r="B205">
        <v>31</v>
      </c>
      <c r="C205" t="s">
        <v>40</v>
      </c>
      <c r="D205">
        <v>17</v>
      </c>
      <c r="E205">
        <v>40449</v>
      </c>
      <c r="F205">
        <v>38300</v>
      </c>
      <c r="G205">
        <v>371</v>
      </c>
      <c r="H205" t="str">
        <f t="shared" si="6"/>
        <v>Unique</v>
      </c>
      <c r="I205" s="2">
        <f t="shared" si="7"/>
        <v>94.687136888427403</v>
      </c>
    </row>
    <row r="206" spans="1:9" x14ac:dyDescent="0.3">
      <c r="A206" s="1">
        <v>45748</v>
      </c>
      <c r="B206">
        <v>30</v>
      </c>
      <c r="C206" t="s">
        <v>40</v>
      </c>
      <c r="D206">
        <v>18</v>
      </c>
      <c r="E206">
        <v>73049</v>
      </c>
      <c r="F206">
        <v>70940</v>
      </c>
      <c r="G206">
        <v>0</v>
      </c>
      <c r="H206" t="str">
        <f t="shared" si="6"/>
        <v>Unique</v>
      </c>
      <c r="I206" s="2">
        <f t="shared" si="7"/>
        <v>97.112896822680668</v>
      </c>
    </row>
    <row r="207" spans="1:9" x14ac:dyDescent="0.3">
      <c r="A207" s="1">
        <v>45778</v>
      </c>
      <c r="B207">
        <v>31</v>
      </c>
      <c r="C207" t="s">
        <v>40</v>
      </c>
      <c r="D207">
        <v>18</v>
      </c>
      <c r="E207">
        <v>154355</v>
      </c>
      <c r="F207">
        <v>150951</v>
      </c>
      <c r="G207">
        <v>0</v>
      </c>
      <c r="H207" t="str">
        <f t="shared" si="6"/>
        <v>Unique</v>
      </c>
      <c r="I207" s="2">
        <f t="shared" si="7"/>
        <v>97.794694049431513</v>
      </c>
    </row>
    <row r="208" spans="1:9" x14ac:dyDescent="0.3">
      <c r="A208" s="1">
        <v>45809</v>
      </c>
      <c r="B208">
        <v>30</v>
      </c>
      <c r="C208" t="s">
        <v>40</v>
      </c>
      <c r="D208">
        <v>18</v>
      </c>
      <c r="E208">
        <v>306695</v>
      </c>
      <c r="F208">
        <v>300171</v>
      </c>
      <c r="G208">
        <v>0</v>
      </c>
      <c r="H208" t="str">
        <f t="shared" si="6"/>
        <v>Unique</v>
      </c>
      <c r="I208" s="2">
        <f t="shared" si="7"/>
        <v>97.872805229951581</v>
      </c>
    </row>
    <row r="209" spans="1:9" x14ac:dyDescent="0.3">
      <c r="A209" s="1">
        <v>45839</v>
      </c>
      <c r="B209">
        <v>31</v>
      </c>
      <c r="C209" t="s">
        <v>40</v>
      </c>
      <c r="D209">
        <v>18</v>
      </c>
      <c r="E209">
        <v>438606</v>
      </c>
      <c r="F209">
        <v>430253</v>
      </c>
      <c r="G209">
        <v>0</v>
      </c>
      <c r="H209" t="str">
        <f t="shared" si="6"/>
        <v>Unique</v>
      </c>
      <c r="I209" s="2">
        <f t="shared" si="7"/>
        <v>98.095557288317991</v>
      </c>
    </row>
    <row r="210" spans="1:9" x14ac:dyDescent="0.3">
      <c r="A210" s="1">
        <v>45870</v>
      </c>
      <c r="B210">
        <v>31</v>
      </c>
      <c r="C210" t="s">
        <v>40</v>
      </c>
      <c r="D210">
        <v>18</v>
      </c>
      <c r="E210">
        <v>406878</v>
      </c>
      <c r="F210">
        <v>398629</v>
      </c>
      <c r="G210">
        <v>0</v>
      </c>
      <c r="H210" t="str">
        <f t="shared" si="6"/>
        <v>Unique</v>
      </c>
      <c r="I210" s="2">
        <f t="shared" si="7"/>
        <v>97.972610954635059</v>
      </c>
    </row>
    <row r="211" spans="1:9" x14ac:dyDescent="0.3">
      <c r="A211" s="1">
        <v>45901</v>
      </c>
      <c r="B211">
        <v>30</v>
      </c>
      <c r="C211" t="s">
        <v>40</v>
      </c>
      <c r="D211">
        <v>18</v>
      </c>
      <c r="E211">
        <v>248114</v>
      </c>
      <c r="F211">
        <v>243049</v>
      </c>
      <c r="G211">
        <v>0</v>
      </c>
      <c r="H211" t="str">
        <f t="shared" si="6"/>
        <v>Unique</v>
      </c>
      <c r="I211" s="2">
        <f t="shared" si="7"/>
        <v>97.958599675955398</v>
      </c>
    </row>
    <row r="212" spans="1:9" x14ac:dyDescent="0.3">
      <c r="A212" s="1">
        <v>45931</v>
      </c>
      <c r="B212">
        <v>31</v>
      </c>
      <c r="C212" t="s">
        <v>40</v>
      </c>
      <c r="D212">
        <v>18</v>
      </c>
      <c r="E212">
        <v>134565</v>
      </c>
      <c r="F212">
        <v>131227</v>
      </c>
      <c r="G212">
        <v>0</v>
      </c>
      <c r="H212" t="str">
        <f t="shared" si="6"/>
        <v>Unique</v>
      </c>
      <c r="I212" s="2">
        <f t="shared" si="7"/>
        <v>97.519414409393235</v>
      </c>
    </row>
    <row r="213" spans="1:9" x14ac:dyDescent="0.3">
      <c r="A213" s="1">
        <v>45962</v>
      </c>
      <c r="B213">
        <v>30</v>
      </c>
      <c r="C213" t="s">
        <v>40</v>
      </c>
      <c r="D213">
        <v>18</v>
      </c>
      <c r="E213">
        <v>118513</v>
      </c>
      <c r="F213">
        <v>115746</v>
      </c>
      <c r="G213">
        <v>0</v>
      </c>
      <c r="H213" t="str">
        <f t="shared" si="6"/>
        <v>Unique</v>
      </c>
      <c r="I213" s="2">
        <f t="shared" si="7"/>
        <v>97.665235037506434</v>
      </c>
    </row>
    <row r="214" spans="1:9" x14ac:dyDescent="0.3">
      <c r="A214" s="1">
        <v>45992</v>
      </c>
      <c r="B214">
        <v>31</v>
      </c>
      <c r="C214" t="s">
        <v>40</v>
      </c>
      <c r="D214">
        <v>18</v>
      </c>
      <c r="E214">
        <v>194705</v>
      </c>
      <c r="F214">
        <v>191232</v>
      </c>
      <c r="G214">
        <v>0</v>
      </c>
      <c r="H214" t="str">
        <f t="shared" si="6"/>
        <v>Unique</v>
      </c>
      <c r="I214" s="2">
        <f t="shared" si="7"/>
        <v>98.216275904573592</v>
      </c>
    </row>
    <row r="215" spans="1:9" x14ac:dyDescent="0.3">
      <c r="A215" s="1">
        <v>46023</v>
      </c>
      <c r="B215">
        <v>31</v>
      </c>
      <c r="C215" t="s">
        <v>40</v>
      </c>
      <c r="D215">
        <v>18</v>
      </c>
      <c r="E215">
        <v>64339</v>
      </c>
      <c r="F215">
        <v>61840</v>
      </c>
      <c r="G215">
        <v>0</v>
      </c>
      <c r="H215" t="str">
        <f t="shared" si="6"/>
        <v>Unique</v>
      </c>
      <c r="I215" s="2">
        <f t="shared" si="7"/>
        <v>96.115886165467288</v>
      </c>
    </row>
    <row r="216" spans="1:9" x14ac:dyDescent="0.3">
      <c r="A216" s="1">
        <v>46054</v>
      </c>
      <c r="B216">
        <v>28</v>
      </c>
      <c r="C216" t="s">
        <v>40</v>
      </c>
      <c r="D216">
        <v>18</v>
      </c>
      <c r="E216">
        <v>43925</v>
      </c>
      <c r="F216">
        <v>42031</v>
      </c>
      <c r="G216">
        <v>0</v>
      </c>
      <c r="H216" t="str">
        <f t="shared" si="6"/>
        <v>Unique</v>
      </c>
      <c r="I216" s="2">
        <f t="shared" si="7"/>
        <v>95.688104723961303</v>
      </c>
    </row>
    <row r="217" spans="1:9" x14ac:dyDescent="0.3">
      <c r="A217" s="1">
        <v>46082</v>
      </c>
      <c r="B217">
        <v>31</v>
      </c>
      <c r="C217" t="s">
        <v>40</v>
      </c>
      <c r="D217">
        <v>18</v>
      </c>
      <c r="E217">
        <v>61228</v>
      </c>
      <c r="F217">
        <v>58870</v>
      </c>
      <c r="G217">
        <v>0</v>
      </c>
      <c r="H217" t="str">
        <f t="shared" si="6"/>
        <v>Unique</v>
      </c>
      <c r="I217" s="2">
        <f t="shared" si="7"/>
        <v>96.148820800940754</v>
      </c>
    </row>
    <row r="218" spans="1:9" x14ac:dyDescent="0.3">
      <c r="A218" s="1">
        <v>45748</v>
      </c>
      <c r="B218">
        <v>30</v>
      </c>
      <c r="C218" t="s">
        <v>40</v>
      </c>
      <c r="D218">
        <v>19</v>
      </c>
      <c r="E218">
        <v>144094</v>
      </c>
      <c r="F218">
        <v>150910</v>
      </c>
      <c r="G218">
        <v>0</v>
      </c>
      <c r="H218" t="str">
        <f t="shared" si="6"/>
        <v>Unique</v>
      </c>
      <c r="I218" s="2">
        <f t="shared" si="7"/>
        <v>104.73024553416519</v>
      </c>
    </row>
    <row r="219" spans="1:9" x14ac:dyDescent="0.3">
      <c r="A219" s="1">
        <v>45778</v>
      </c>
      <c r="B219">
        <v>31</v>
      </c>
      <c r="C219" t="s">
        <v>40</v>
      </c>
      <c r="D219">
        <v>19</v>
      </c>
      <c r="E219">
        <v>289033</v>
      </c>
      <c r="F219">
        <v>297003</v>
      </c>
      <c r="G219">
        <v>0</v>
      </c>
      <c r="H219" t="str">
        <f t="shared" si="6"/>
        <v>Unique</v>
      </c>
      <c r="I219" s="2">
        <f t="shared" si="7"/>
        <v>102.75747060024287</v>
      </c>
    </row>
    <row r="220" spans="1:9" x14ac:dyDescent="0.3">
      <c r="A220" s="1">
        <v>45809</v>
      </c>
      <c r="B220">
        <v>30</v>
      </c>
      <c r="C220" t="s">
        <v>40</v>
      </c>
      <c r="D220">
        <v>19</v>
      </c>
      <c r="E220">
        <v>896088</v>
      </c>
      <c r="F220">
        <v>912130</v>
      </c>
      <c r="G220">
        <v>0</v>
      </c>
      <c r="H220" t="str">
        <f t="shared" si="6"/>
        <v>Unique</v>
      </c>
      <c r="I220" s="2">
        <f t="shared" si="7"/>
        <v>101.79022595995035</v>
      </c>
    </row>
    <row r="221" spans="1:9" x14ac:dyDescent="0.3">
      <c r="A221" s="1">
        <v>45839</v>
      </c>
      <c r="B221">
        <v>31</v>
      </c>
      <c r="C221" t="s">
        <v>40</v>
      </c>
      <c r="D221">
        <v>19</v>
      </c>
      <c r="E221">
        <v>1143510</v>
      </c>
      <c r="F221">
        <v>1162156</v>
      </c>
      <c r="G221">
        <v>0</v>
      </c>
      <c r="H221" t="str">
        <f t="shared" si="6"/>
        <v>Unique</v>
      </c>
      <c r="I221" s="2">
        <f t="shared" si="7"/>
        <v>101.63059352344972</v>
      </c>
    </row>
    <row r="222" spans="1:9" x14ac:dyDescent="0.3">
      <c r="A222" s="1">
        <v>45870</v>
      </c>
      <c r="B222">
        <v>31</v>
      </c>
      <c r="C222" t="s">
        <v>40</v>
      </c>
      <c r="D222">
        <v>19</v>
      </c>
      <c r="E222">
        <v>712766</v>
      </c>
      <c r="F222">
        <v>725434</v>
      </c>
      <c r="G222">
        <v>0</v>
      </c>
      <c r="H222" t="str">
        <f t="shared" si="6"/>
        <v>Unique</v>
      </c>
      <c r="I222" s="2">
        <f t="shared" si="7"/>
        <v>101.77730138642977</v>
      </c>
    </row>
    <row r="223" spans="1:9" x14ac:dyDescent="0.3">
      <c r="A223" s="1">
        <v>45901</v>
      </c>
      <c r="B223">
        <v>30</v>
      </c>
      <c r="C223" t="s">
        <v>40</v>
      </c>
      <c r="D223">
        <v>19</v>
      </c>
      <c r="E223">
        <v>413154</v>
      </c>
      <c r="F223">
        <v>422571</v>
      </c>
      <c r="G223">
        <v>0</v>
      </c>
      <c r="H223" t="str">
        <f t="shared" si="6"/>
        <v>Unique</v>
      </c>
      <c r="I223" s="2">
        <f t="shared" si="7"/>
        <v>102.27929537170159</v>
      </c>
    </row>
    <row r="224" spans="1:9" x14ac:dyDescent="0.3">
      <c r="A224" s="1">
        <v>45931</v>
      </c>
      <c r="B224">
        <v>31</v>
      </c>
      <c r="C224" t="s">
        <v>40</v>
      </c>
      <c r="D224">
        <v>19</v>
      </c>
      <c r="E224">
        <v>234365</v>
      </c>
      <c r="F224">
        <v>241172</v>
      </c>
      <c r="G224">
        <v>0</v>
      </c>
      <c r="H224" t="str">
        <f t="shared" si="6"/>
        <v>Unique</v>
      </c>
      <c r="I224" s="2">
        <f t="shared" si="7"/>
        <v>102.90444392294071</v>
      </c>
    </row>
    <row r="225" spans="1:9" x14ac:dyDescent="0.3">
      <c r="A225" s="1">
        <v>45962</v>
      </c>
      <c r="B225">
        <v>30</v>
      </c>
      <c r="C225" t="s">
        <v>40</v>
      </c>
      <c r="D225">
        <v>19</v>
      </c>
      <c r="E225">
        <v>230171</v>
      </c>
      <c r="F225">
        <v>236136</v>
      </c>
      <c r="G225">
        <v>0</v>
      </c>
      <c r="H225" t="str">
        <f t="shared" si="6"/>
        <v>Unique</v>
      </c>
      <c r="I225" s="2">
        <f t="shared" si="7"/>
        <v>102.59155149866839</v>
      </c>
    </row>
    <row r="226" spans="1:9" x14ac:dyDescent="0.3">
      <c r="A226" s="1">
        <v>45992</v>
      </c>
      <c r="B226">
        <v>31</v>
      </c>
      <c r="C226" t="s">
        <v>40</v>
      </c>
      <c r="D226">
        <v>19</v>
      </c>
      <c r="E226">
        <v>364063</v>
      </c>
      <c r="F226">
        <v>370684</v>
      </c>
      <c r="G226">
        <v>0</v>
      </c>
      <c r="H226" t="str">
        <f t="shared" si="6"/>
        <v>Unique</v>
      </c>
      <c r="I226" s="2">
        <f t="shared" si="7"/>
        <v>101.81864127911928</v>
      </c>
    </row>
    <row r="227" spans="1:9" x14ac:dyDescent="0.3">
      <c r="A227" s="1">
        <v>46023</v>
      </c>
      <c r="B227">
        <v>31</v>
      </c>
      <c r="C227" t="s">
        <v>40</v>
      </c>
      <c r="D227">
        <v>19</v>
      </c>
      <c r="E227">
        <v>138437</v>
      </c>
      <c r="F227">
        <v>144683</v>
      </c>
      <c r="G227">
        <v>0</v>
      </c>
      <c r="H227" t="str">
        <f t="shared" si="6"/>
        <v>Unique</v>
      </c>
      <c r="I227" s="2">
        <f t="shared" si="7"/>
        <v>104.51179959114975</v>
      </c>
    </row>
    <row r="228" spans="1:9" x14ac:dyDescent="0.3">
      <c r="A228" s="1">
        <v>46054</v>
      </c>
      <c r="B228">
        <v>28</v>
      </c>
      <c r="C228" t="s">
        <v>40</v>
      </c>
      <c r="D228">
        <v>19</v>
      </c>
      <c r="E228">
        <v>94205</v>
      </c>
      <c r="F228">
        <v>100234</v>
      </c>
      <c r="G228">
        <v>0</v>
      </c>
      <c r="H228" t="str">
        <f t="shared" si="6"/>
        <v>Unique</v>
      </c>
      <c r="I228" s="2">
        <f t="shared" si="7"/>
        <v>106.39987261822621</v>
      </c>
    </row>
    <row r="229" spans="1:9" x14ac:dyDescent="0.3">
      <c r="A229" s="1">
        <v>46082</v>
      </c>
      <c r="B229">
        <v>31</v>
      </c>
      <c r="C229" t="s">
        <v>40</v>
      </c>
      <c r="D229">
        <v>19</v>
      </c>
      <c r="E229">
        <v>120404</v>
      </c>
      <c r="F229">
        <v>126585</v>
      </c>
      <c r="G229">
        <v>0</v>
      </c>
      <c r="H229" t="str">
        <f t="shared" si="6"/>
        <v>Unique</v>
      </c>
      <c r="I229" s="2">
        <f t="shared" si="7"/>
        <v>105.13355038038603</v>
      </c>
    </row>
    <row r="230" spans="1:9" x14ac:dyDescent="0.3">
      <c r="A230" s="1">
        <v>45748</v>
      </c>
      <c r="B230">
        <v>30</v>
      </c>
      <c r="C230" t="s">
        <v>40</v>
      </c>
      <c r="D230">
        <v>20</v>
      </c>
      <c r="E230">
        <v>50670</v>
      </c>
      <c r="F230">
        <v>55212</v>
      </c>
      <c r="G230">
        <v>288</v>
      </c>
      <c r="H230" t="str">
        <f t="shared" si="6"/>
        <v>Unique</v>
      </c>
      <c r="I230" s="2">
        <f t="shared" si="7"/>
        <v>108.96388395500296</v>
      </c>
    </row>
    <row r="231" spans="1:9" x14ac:dyDescent="0.3">
      <c r="A231" s="1">
        <v>45778</v>
      </c>
      <c r="B231">
        <v>31</v>
      </c>
      <c r="C231" t="s">
        <v>40</v>
      </c>
      <c r="D231">
        <v>20</v>
      </c>
      <c r="E231">
        <v>251507</v>
      </c>
      <c r="F231">
        <v>246334</v>
      </c>
      <c r="G231">
        <v>174</v>
      </c>
      <c r="H231" t="str">
        <f t="shared" si="6"/>
        <v>Unique</v>
      </c>
      <c r="I231" s="2">
        <f t="shared" si="7"/>
        <v>97.943198400044523</v>
      </c>
    </row>
    <row r="232" spans="1:9" x14ac:dyDescent="0.3">
      <c r="A232" s="1">
        <v>45809</v>
      </c>
      <c r="B232">
        <v>30</v>
      </c>
      <c r="C232" t="s">
        <v>40</v>
      </c>
      <c r="D232">
        <v>20</v>
      </c>
      <c r="E232">
        <v>413424</v>
      </c>
      <c r="F232">
        <v>405863</v>
      </c>
      <c r="G232">
        <v>204</v>
      </c>
      <c r="H232" t="str">
        <f t="shared" si="6"/>
        <v>Unique</v>
      </c>
      <c r="I232" s="2">
        <f t="shared" si="7"/>
        <v>98.171126978598238</v>
      </c>
    </row>
    <row r="233" spans="1:9" x14ac:dyDescent="0.3">
      <c r="A233" s="1">
        <v>45839</v>
      </c>
      <c r="B233">
        <v>31</v>
      </c>
      <c r="C233" t="s">
        <v>40</v>
      </c>
      <c r="D233">
        <v>20</v>
      </c>
      <c r="E233">
        <v>519827</v>
      </c>
      <c r="F233">
        <v>510362</v>
      </c>
      <c r="G233">
        <v>168</v>
      </c>
      <c r="H233" t="str">
        <f t="shared" si="6"/>
        <v>Unique</v>
      </c>
      <c r="I233" s="2">
        <f t="shared" si="7"/>
        <v>98.179201926794875</v>
      </c>
    </row>
    <row r="234" spans="1:9" x14ac:dyDescent="0.3">
      <c r="A234" s="1">
        <v>45870</v>
      </c>
      <c r="B234">
        <v>31</v>
      </c>
      <c r="C234" t="s">
        <v>40</v>
      </c>
      <c r="D234">
        <v>20</v>
      </c>
      <c r="E234">
        <v>346487</v>
      </c>
      <c r="F234">
        <v>339781</v>
      </c>
      <c r="G234">
        <v>194</v>
      </c>
      <c r="H234" t="str">
        <f t="shared" si="6"/>
        <v>Unique</v>
      </c>
      <c r="I234" s="2">
        <f t="shared" si="7"/>
        <v>98.064573851255602</v>
      </c>
    </row>
    <row r="235" spans="1:9" x14ac:dyDescent="0.3">
      <c r="A235" s="1">
        <v>45901</v>
      </c>
      <c r="B235">
        <v>30</v>
      </c>
      <c r="C235" t="s">
        <v>40</v>
      </c>
      <c r="D235">
        <v>20</v>
      </c>
      <c r="E235">
        <v>350327</v>
      </c>
      <c r="F235">
        <v>343584</v>
      </c>
      <c r="G235">
        <v>299</v>
      </c>
      <c r="H235" t="str">
        <f t="shared" si="6"/>
        <v>Unique</v>
      </c>
      <c r="I235" s="2">
        <f t="shared" si="7"/>
        <v>98.075226859476999</v>
      </c>
    </row>
    <row r="236" spans="1:9" x14ac:dyDescent="0.3">
      <c r="A236" s="1">
        <v>45931</v>
      </c>
      <c r="B236">
        <v>31</v>
      </c>
      <c r="C236" t="s">
        <v>40</v>
      </c>
      <c r="D236">
        <v>20</v>
      </c>
      <c r="E236">
        <v>103871</v>
      </c>
      <c r="F236">
        <v>101218</v>
      </c>
      <c r="G236">
        <v>207</v>
      </c>
      <c r="H236" t="str">
        <f t="shared" si="6"/>
        <v>Unique</v>
      </c>
      <c r="I236" s="2">
        <f t="shared" si="7"/>
        <v>97.445870358425353</v>
      </c>
    </row>
    <row r="237" spans="1:9" x14ac:dyDescent="0.3">
      <c r="A237" s="1">
        <v>45962</v>
      </c>
      <c r="B237">
        <v>30</v>
      </c>
      <c r="C237" t="s">
        <v>40</v>
      </c>
      <c r="D237">
        <v>20</v>
      </c>
      <c r="E237">
        <v>21762</v>
      </c>
      <c r="F237">
        <v>20852</v>
      </c>
      <c r="G237">
        <v>254</v>
      </c>
      <c r="H237" t="str">
        <f t="shared" si="6"/>
        <v>Unique</v>
      </c>
      <c r="I237" s="2">
        <f t="shared" si="7"/>
        <v>95.818399044205492</v>
      </c>
    </row>
    <row r="238" spans="1:9" x14ac:dyDescent="0.3">
      <c r="A238" s="1">
        <v>45992</v>
      </c>
      <c r="B238">
        <v>31</v>
      </c>
      <c r="C238" t="s">
        <v>40</v>
      </c>
      <c r="D238">
        <v>20</v>
      </c>
      <c r="E238">
        <v>13222</v>
      </c>
      <c r="F238">
        <v>12645</v>
      </c>
      <c r="G238">
        <v>223</v>
      </c>
      <c r="H238" t="str">
        <f t="shared" si="6"/>
        <v>Unique</v>
      </c>
      <c r="I238" s="2">
        <f t="shared" si="7"/>
        <v>95.636061110270759</v>
      </c>
    </row>
    <row r="239" spans="1:9" x14ac:dyDescent="0.3">
      <c r="A239" s="1">
        <v>46023</v>
      </c>
      <c r="B239">
        <v>31</v>
      </c>
      <c r="C239" t="s">
        <v>40</v>
      </c>
      <c r="D239">
        <v>20</v>
      </c>
      <c r="E239">
        <v>20538</v>
      </c>
      <c r="F239">
        <v>19720</v>
      </c>
      <c r="G239">
        <v>176</v>
      </c>
      <c r="H239" t="str">
        <f t="shared" si="6"/>
        <v>Unique</v>
      </c>
      <c r="I239" s="2">
        <f t="shared" si="7"/>
        <v>96.017138961924246</v>
      </c>
    </row>
    <row r="240" spans="1:9" x14ac:dyDescent="0.3">
      <c r="A240" s="1">
        <v>46054</v>
      </c>
      <c r="B240">
        <v>28</v>
      </c>
      <c r="C240" t="s">
        <v>40</v>
      </c>
      <c r="D240">
        <v>20</v>
      </c>
      <c r="E240">
        <v>27208</v>
      </c>
      <c r="F240">
        <v>26233</v>
      </c>
      <c r="G240">
        <v>277</v>
      </c>
      <c r="H240" t="str">
        <f t="shared" si="6"/>
        <v>Unique</v>
      </c>
      <c r="I240" s="2">
        <f t="shared" si="7"/>
        <v>96.416495148485737</v>
      </c>
    </row>
    <row r="241" spans="1:9" x14ac:dyDescent="0.3">
      <c r="A241" s="1">
        <v>46082</v>
      </c>
      <c r="B241">
        <v>31</v>
      </c>
      <c r="C241" t="s">
        <v>40</v>
      </c>
      <c r="D241">
        <v>20</v>
      </c>
      <c r="E241">
        <v>24203</v>
      </c>
      <c r="F241">
        <v>23291</v>
      </c>
      <c r="G241">
        <v>245</v>
      </c>
      <c r="H241" t="str">
        <f t="shared" si="6"/>
        <v>Unique</v>
      </c>
      <c r="I241" s="2">
        <f t="shared" si="7"/>
        <v>96.231872081973307</v>
      </c>
    </row>
    <row r="242" spans="1:9" x14ac:dyDescent="0.3">
      <c r="A242" s="1">
        <v>45748</v>
      </c>
      <c r="B242">
        <v>30</v>
      </c>
      <c r="C242" t="s">
        <v>40</v>
      </c>
      <c r="D242">
        <v>21</v>
      </c>
      <c r="E242">
        <v>50540</v>
      </c>
      <c r="F242">
        <v>49032</v>
      </c>
      <c r="G242">
        <v>747</v>
      </c>
      <c r="H242" t="str">
        <f t="shared" si="6"/>
        <v>Unique</v>
      </c>
      <c r="I242" s="2">
        <f t="shared" si="7"/>
        <v>97.016224772457463</v>
      </c>
    </row>
    <row r="243" spans="1:9" x14ac:dyDescent="0.3">
      <c r="A243" s="1">
        <v>45778</v>
      </c>
      <c r="B243">
        <v>31</v>
      </c>
      <c r="C243" t="s">
        <v>40</v>
      </c>
      <c r="D243">
        <v>21</v>
      </c>
      <c r="E243">
        <v>222317</v>
      </c>
      <c r="F243">
        <v>217894</v>
      </c>
      <c r="G243">
        <v>301</v>
      </c>
      <c r="H243" t="str">
        <f t="shared" si="6"/>
        <v>Unique</v>
      </c>
      <c r="I243" s="2">
        <f t="shared" si="7"/>
        <v>98.010498522380203</v>
      </c>
    </row>
    <row r="244" spans="1:9" x14ac:dyDescent="0.3">
      <c r="A244" s="1">
        <v>45809</v>
      </c>
      <c r="B244">
        <v>30</v>
      </c>
      <c r="C244" t="s">
        <v>40</v>
      </c>
      <c r="D244">
        <v>21</v>
      </c>
      <c r="E244">
        <v>348898</v>
      </c>
      <c r="F244">
        <v>343038</v>
      </c>
      <c r="G244">
        <v>505</v>
      </c>
      <c r="H244" t="str">
        <f t="shared" si="6"/>
        <v>Unique</v>
      </c>
      <c r="I244" s="2">
        <f t="shared" si="7"/>
        <v>98.320426027091017</v>
      </c>
    </row>
    <row r="245" spans="1:9" x14ac:dyDescent="0.3">
      <c r="A245" s="1">
        <v>45839</v>
      </c>
      <c r="B245">
        <v>31</v>
      </c>
      <c r="C245" t="s">
        <v>40</v>
      </c>
      <c r="D245">
        <v>21</v>
      </c>
      <c r="E245">
        <v>460469</v>
      </c>
      <c r="F245">
        <v>453002</v>
      </c>
      <c r="G245">
        <v>910</v>
      </c>
      <c r="H245" t="str">
        <f t="shared" si="6"/>
        <v>Unique</v>
      </c>
      <c r="I245" s="2">
        <f t="shared" si="7"/>
        <v>98.378392465073645</v>
      </c>
    </row>
    <row r="246" spans="1:9" x14ac:dyDescent="0.3">
      <c r="A246" s="1">
        <v>45870</v>
      </c>
      <c r="B246">
        <v>31</v>
      </c>
      <c r="C246" t="s">
        <v>40</v>
      </c>
      <c r="D246">
        <v>21</v>
      </c>
      <c r="E246">
        <v>327055</v>
      </c>
      <c r="F246">
        <v>321516</v>
      </c>
      <c r="G246">
        <v>266</v>
      </c>
      <c r="H246" t="str">
        <f t="shared" si="6"/>
        <v>Unique</v>
      </c>
      <c r="I246" s="2">
        <f t="shared" si="7"/>
        <v>98.306401064041211</v>
      </c>
    </row>
    <row r="247" spans="1:9" x14ac:dyDescent="0.3">
      <c r="A247" s="1">
        <v>45901</v>
      </c>
      <c r="B247">
        <v>30</v>
      </c>
      <c r="C247" t="s">
        <v>40</v>
      </c>
      <c r="D247">
        <v>21</v>
      </c>
      <c r="E247">
        <v>320352</v>
      </c>
      <c r="F247">
        <v>315162</v>
      </c>
      <c r="G247">
        <v>724</v>
      </c>
      <c r="H247" t="str">
        <f t="shared" si="6"/>
        <v>Unique</v>
      </c>
      <c r="I247" s="2">
        <f t="shared" si="7"/>
        <v>98.379907102187587</v>
      </c>
    </row>
    <row r="248" spans="1:9" x14ac:dyDescent="0.3">
      <c r="A248" s="1">
        <v>45931</v>
      </c>
      <c r="B248">
        <v>31</v>
      </c>
      <c r="C248" t="s">
        <v>40</v>
      </c>
      <c r="D248">
        <v>21</v>
      </c>
      <c r="E248">
        <v>78126</v>
      </c>
      <c r="F248">
        <v>76485</v>
      </c>
      <c r="G248">
        <v>890</v>
      </c>
      <c r="H248" t="str">
        <f t="shared" si="6"/>
        <v>Unique</v>
      </c>
      <c r="I248" s="2">
        <f t="shared" si="7"/>
        <v>97.899546885799865</v>
      </c>
    </row>
    <row r="249" spans="1:9" x14ac:dyDescent="0.3">
      <c r="A249" s="1">
        <v>45962</v>
      </c>
      <c r="B249">
        <v>30</v>
      </c>
      <c r="C249" t="s">
        <v>40</v>
      </c>
      <c r="D249">
        <v>21</v>
      </c>
      <c r="E249">
        <v>22053</v>
      </c>
      <c r="F249">
        <v>21226</v>
      </c>
      <c r="G249">
        <v>338</v>
      </c>
      <c r="H249" t="str">
        <f t="shared" si="6"/>
        <v>Unique</v>
      </c>
      <c r="I249" s="2">
        <f t="shared" si="7"/>
        <v>96.249943318369375</v>
      </c>
    </row>
    <row r="250" spans="1:9" x14ac:dyDescent="0.3">
      <c r="A250" s="1">
        <v>45992</v>
      </c>
      <c r="B250">
        <v>31</v>
      </c>
      <c r="C250" t="s">
        <v>40</v>
      </c>
      <c r="D250">
        <v>21</v>
      </c>
      <c r="E250">
        <v>11986</v>
      </c>
      <c r="F250">
        <v>11446</v>
      </c>
      <c r="G250">
        <v>214</v>
      </c>
      <c r="H250" t="str">
        <f t="shared" si="6"/>
        <v>Unique</v>
      </c>
      <c r="I250" s="2">
        <f t="shared" si="7"/>
        <v>95.494743867845827</v>
      </c>
    </row>
    <row r="251" spans="1:9" x14ac:dyDescent="0.3">
      <c r="A251" s="1">
        <v>46023</v>
      </c>
      <c r="B251">
        <v>31</v>
      </c>
      <c r="C251" t="s">
        <v>40</v>
      </c>
      <c r="D251">
        <v>21</v>
      </c>
      <c r="E251">
        <v>18441</v>
      </c>
      <c r="F251">
        <v>17667</v>
      </c>
      <c r="G251">
        <v>272</v>
      </c>
      <c r="H251" t="str">
        <f t="shared" si="6"/>
        <v>Unique</v>
      </c>
      <c r="I251" s="2">
        <f t="shared" si="7"/>
        <v>95.802830649097132</v>
      </c>
    </row>
    <row r="252" spans="1:9" x14ac:dyDescent="0.3">
      <c r="A252" s="1">
        <v>46054</v>
      </c>
      <c r="B252">
        <v>28</v>
      </c>
      <c r="C252" t="s">
        <v>40</v>
      </c>
      <c r="D252">
        <v>21</v>
      </c>
      <c r="E252">
        <v>25740</v>
      </c>
      <c r="F252">
        <v>24744</v>
      </c>
      <c r="G252">
        <v>547</v>
      </c>
      <c r="H252" t="str">
        <f t="shared" si="6"/>
        <v>Unique</v>
      </c>
      <c r="I252" s="2">
        <f t="shared" si="7"/>
        <v>96.130536130536129</v>
      </c>
    </row>
    <row r="253" spans="1:9" x14ac:dyDescent="0.3">
      <c r="A253" s="1">
        <v>46082</v>
      </c>
      <c r="B253">
        <v>31</v>
      </c>
      <c r="C253" t="s">
        <v>40</v>
      </c>
      <c r="D253">
        <v>21</v>
      </c>
      <c r="E253">
        <v>23679</v>
      </c>
      <c r="F253">
        <v>22730</v>
      </c>
      <c r="G253">
        <v>598</v>
      </c>
      <c r="H253" t="str">
        <f t="shared" si="6"/>
        <v>Unique</v>
      </c>
      <c r="I253" s="2">
        <f t="shared" si="7"/>
        <v>95.992229401579451</v>
      </c>
    </row>
    <row r="254" spans="1:9" x14ac:dyDescent="0.3">
      <c r="A254" s="1">
        <v>45748</v>
      </c>
      <c r="B254">
        <v>30</v>
      </c>
      <c r="C254" t="s">
        <v>40</v>
      </c>
      <c r="D254">
        <v>22</v>
      </c>
      <c r="E254">
        <v>57100</v>
      </c>
      <c r="F254">
        <v>55212</v>
      </c>
      <c r="G254">
        <v>1404</v>
      </c>
      <c r="H254" t="str">
        <f t="shared" si="6"/>
        <v>Unique</v>
      </c>
      <c r="I254" s="2">
        <f t="shared" si="7"/>
        <v>96.693520140105079</v>
      </c>
    </row>
    <row r="255" spans="1:9" x14ac:dyDescent="0.3">
      <c r="A255" s="1">
        <v>45778</v>
      </c>
      <c r="B255">
        <v>31</v>
      </c>
      <c r="C255" t="s">
        <v>40</v>
      </c>
      <c r="D255">
        <v>22</v>
      </c>
      <c r="E255">
        <v>171724</v>
      </c>
      <c r="F255">
        <v>169017</v>
      </c>
      <c r="G255">
        <v>689</v>
      </c>
      <c r="H255" t="str">
        <f t="shared" si="6"/>
        <v>Unique</v>
      </c>
      <c r="I255" s="2">
        <f t="shared" si="7"/>
        <v>98.423633271994589</v>
      </c>
    </row>
    <row r="256" spans="1:9" x14ac:dyDescent="0.3">
      <c r="A256" s="1">
        <v>45809</v>
      </c>
      <c r="B256">
        <v>30</v>
      </c>
      <c r="C256" t="s">
        <v>40</v>
      </c>
      <c r="D256">
        <v>22</v>
      </c>
      <c r="E256">
        <v>228064</v>
      </c>
      <c r="F256">
        <v>222654</v>
      </c>
      <c r="G256">
        <v>838</v>
      </c>
      <c r="H256" t="str">
        <f t="shared" si="6"/>
        <v>Unique</v>
      </c>
      <c r="I256" s="2">
        <f t="shared" si="7"/>
        <v>97.627858846639541</v>
      </c>
    </row>
    <row r="257" spans="1:9" x14ac:dyDescent="0.3">
      <c r="A257" s="1">
        <v>45839</v>
      </c>
      <c r="B257">
        <v>31</v>
      </c>
      <c r="C257" t="s">
        <v>40</v>
      </c>
      <c r="D257">
        <v>22</v>
      </c>
      <c r="E257">
        <v>271084</v>
      </c>
      <c r="F257">
        <v>267435</v>
      </c>
      <c r="G257">
        <v>771</v>
      </c>
      <c r="H257" t="str">
        <f t="shared" si="6"/>
        <v>Unique</v>
      </c>
      <c r="I257" s="2">
        <f t="shared" si="7"/>
        <v>98.653922769326101</v>
      </c>
    </row>
    <row r="258" spans="1:9" x14ac:dyDescent="0.3">
      <c r="A258" s="1">
        <v>45870</v>
      </c>
      <c r="B258">
        <v>31</v>
      </c>
      <c r="C258" t="s">
        <v>40</v>
      </c>
      <c r="D258">
        <v>22</v>
      </c>
      <c r="E258">
        <v>228996</v>
      </c>
      <c r="F258">
        <v>225236</v>
      </c>
      <c r="G258">
        <v>664</v>
      </c>
      <c r="H258" t="str">
        <f t="shared" ref="H258:H301" si="8">IF(COUNTIFS($D$2:$D$301,D259,$A$2:$A$301,A259)&gt;1,"Duplicate","Unique")</f>
        <v>Unique</v>
      </c>
      <c r="I258" s="2">
        <f t="shared" ref="I258:I301" si="9">F258/E258*100</f>
        <v>98.358049922269387</v>
      </c>
    </row>
    <row r="259" spans="1:9" x14ac:dyDescent="0.3">
      <c r="A259" s="1">
        <v>45901</v>
      </c>
      <c r="B259">
        <v>30</v>
      </c>
      <c r="C259" t="s">
        <v>40</v>
      </c>
      <c r="D259">
        <v>22</v>
      </c>
      <c r="E259">
        <v>204970</v>
      </c>
      <c r="F259">
        <v>201857</v>
      </c>
      <c r="G259">
        <v>688</v>
      </c>
      <c r="H259" t="str">
        <f t="shared" si="8"/>
        <v>Unique</v>
      </c>
      <c r="I259" s="2">
        <f t="shared" si="9"/>
        <v>98.481241157242522</v>
      </c>
    </row>
    <row r="260" spans="1:9" x14ac:dyDescent="0.3">
      <c r="A260" s="1">
        <v>45931</v>
      </c>
      <c r="B260">
        <v>31</v>
      </c>
      <c r="C260" t="s">
        <v>40</v>
      </c>
      <c r="D260">
        <v>22</v>
      </c>
      <c r="E260">
        <v>73840</v>
      </c>
      <c r="F260">
        <v>72194</v>
      </c>
      <c r="G260">
        <v>417</v>
      </c>
      <c r="H260" t="str">
        <f t="shared" si="8"/>
        <v>Unique</v>
      </c>
      <c r="I260" s="2">
        <f t="shared" si="9"/>
        <v>97.770855904658731</v>
      </c>
    </row>
    <row r="261" spans="1:9" x14ac:dyDescent="0.3">
      <c r="A261" s="1">
        <v>45962</v>
      </c>
      <c r="B261">
        <v>30</v>
      </c>
      <c r="C261" t="s">
        <v>40</v>
      </c>
      <c r="D261">
        <v>22</v>
      </c>
      <c r="E261">
        <v>41982</v>
      </c>
      <c r="F261">
        <v>40403</v>
      </c>
      <c r="G261">
        <v>286</v>
      </c>
      <c r="H261" t="str">
        <f t="shared" si="8"/>
        <v>Unique</v>
      </c>
      <c r="I261" s="2">
        <f t="shared" si="9"/>
        <v>96.238864275165554</v>
      </c>
    </row>
    <row r="262" spans="1:9" x14ac:dyDescent="0.3">
      <c r="A262" s="1">
        <v>45992</v>
      </c>
      <c r="B262">
        <v>31</v>
      </c>
      <c r="C262" t="s">
        <v>40</v>
      </c>
      <c r="D262">
        <v>22</v>
      </c>
      <c r="E262">
        <v>54167</v>
      </c>
      <c r="F262">
        <v>52561</v>
      </c>
      <c r="G262">
        <v>574</v>
      </c>
      <c r="H262" t="str">
        <f t="shared" si="8"/>
        <v>Unique</v>
      </c>
      <c r="I262" s="2">
        <f t="shared" si="9"/>
        <v>97.035095168645114</v>
      </c>
    </row>
    <row r="263" spans="1:9" x14ac:dyDescent="0.3">
      <c r="A263" s="1">
        <v>46023</v>
      </c>
      <c r="B263">
        <v>31</v>
      </c>
      <c r="C263" t="s">
        <v>40</v>
      </c>
      <c r="D263">
        <v>22</v>
      </c>
      <c r="E263">
        <v>59175</v>
      </c>
      <c r="F263">
        <v>57832</v>
      </c>
      <c r="G263">
        <v>390</v>
      </c>
      <c r="H263" t="str">
        <f t="shared" si="8"/>
        <v>Unique</v>
      </c>
      <c r="I263" s="2">
        <f t="shared" si="9"/>
        <v>97.730460498521339</v>
      </c>
    </row>
    <row r="264" spans="1:9" x14ac:dyDescent="0.3">
      <c r="A264" s="1">
        <v>46054</v>
      </c>
      <c r="B264">
        <v>28</v>
      </c>
      <c r="C264" t="s">
        <v>40</v>
      </c>
      <c r="D264">
        <v>22</v>
      </c>
      <c r="E264">
        <v>50343</v>
      </c>
      <c r="F264">
        <v>49218</v>
      </c>
      <c r="G264">
        <v>394</v>
      </c>
      <c r="H264" t="str">
        <f t="shared" si="8"/>
        <v>Unique</v>
      </c>
      <c r="I264" s="2">
        <f t="shared" si="9"/>
        <v>97.765329837316017</v>
      </c>
    </row>
    <row r="265" spans="1:9" x14ac:dyDescent="0.3">
      <c r="A265" s="1">
        <v>46082</v>
      </c>
      <c r="B265">
        <v>31</v>
      </c>
      <c r="C265" t="s">
        <v>40</v>
      </c>
      <c r="D265">
        <v>22</v>
      </c>
      <c r="E265">
        <v>30691</v>
      </c>
      <c r="F265">
        <v>29755</v>
      </c>
      <c r="G265">
        <v>355</v>
      </c>
      <c r="H265" t="str">
        <f t="shared" si="8"/>
        <v>Unique</v>
      </c>
      <c r="I265" s="2">
        <f t="shared" si="9"/>
        <v>96.950246000456161</v>
      </c>
    </row>
    <row r="266" spans="1:9" x14ac:dyDescent="0.3">
      <c r="A266" s="1">
        <v>45748</v>
      </c>
      <c r="B266">
        <v>30</v>
      </c>
      <c r="C266" t="s">
        <v>40</v>
      </c>
      <c r="D266">
        <v>23</v>
      </c>
      <c r="E266">
        <v>70083</v>
      </c>
      <c r="F266">
        <v>68638</v>
      </c>
      <c r="G266">
        <v>450</v>
      </c>
      <c r="H266" t="str">
        <f t="shared" si="8"/>
        <v>Unique</v>
      </c>
      <c r="I266" s="2">
        <f t="shared" si="9"/>
        <v>97.938159039995426</v>
      </c>
    </row>
    <row r="267" spans="1:9" x14ac:dyDescent="0.3">
      <c r="A267" s="1">
        <v>45778</v>
      </c>
      <c r="B267">
        <v>31</v>
      </c>
      <c r="C267" t="s">
        <v>40</v>
      </c>
      <c r="D267">
        <v>23</v>
      </c>
      <c r="E267">
        <v>210941</v>
      </c>
      <c r="F267">
        <v>207567</v>
      </c>
      <c r="G267">
        <v>488</v>
      </c>
      <c r="H267" t="str">
        <f t="shared" si="8"/>
        <v>Unique</v>
      </c>
      <c r="I267" s="2">
        <f t="shared" si="9"/>
        <v>98.400500613915739</v>
      </c>
    </row>
    <row r="268" spans="1:9" x14ac:dyDescent="0.3">
      <c r="A268" s="1">
        <v>45809</v>
      </c>
      <c r="B268">
        <v>30</v>
      </c>
      <c r="C268" t="s">
        <v>40</v>
      </c>
      <c r="D268">
        <v>23</v>
      </c>
      <c r="E268">
        <v>279699</v>
      </c>
      <c r="F268">
        <v>278762</v>
      </c>
      <c r="G268">
        <v>830</v>
      </c>
      <c r="H268" t="str">
        <f t="shared" si="8"/>
        <v>Unique</v>
      </c>
      <c r="I268" s="2">
        <f t="shared" si="9"/>
        <v>99.664997014647895</v>
      </c>
    </row>
    <row r="269" spans="1:9" x14ac:dyDescent="0.3">
      <c r="A269" s="1">
        <v>45839</v>
      </c>
      <c r="B269">
        <v>31</v>
      </c>
      <c r="C269" t="s">
        <v>40</v>
      </c>
      <c r="D269">
        <v>23</v>
      </c>
      <c r="E269">
        <v>337061</v>
      </c>
      <c r="F269">
        <v>322060</v>
      </c>
      <c r="G269">
        <v>506</v>
      </c>
      <c r="H269" t="str">
        <f t="shared" si="8"/>
        <v>Unique</v>
      </c>
      <c r="I269" s="2">
        <f t="shared" si="9"/>
        <v>95.549470273926673</v>
      </c>
    </row>
    <row r="270" spans="1:9" x14ac:dyDescent="0.3">
      <c r="A270" s="1">
        <v>45870</v>
      </c>
      <c r="B270">
        <v>31</v>
      </c>
      <c r="C270" t="s">
        <v>40</v>
      </c>
      <c r="D270">
        <v>23</v>
      </c>
      <c r="E270">
        <v>293213</v>
      </c>
      <c r="F270">
        <v>298180</v>
      </c>
      <c r="G270">
        <v>701</v>
      </c>
      <c r="H270" t="str">
        <f t="shared" si="8"/>
        <v>Unique</v>
      </c>
      <c r="I270" s="2">
        <f t="shared" si="9"/>
        <v>101.69399037559725</v>
      </c>
    </row>
    <row r="271" spans="1:9" x14ac:dyDescent="0.3">
      <c r="A271" s="1">
        <v>45901</v>
      </c>
      <c r="B271">
        <v>30</v>
      </c>
      <c r="C271" t="s">
        <v>40</v>
      </c>
      <c r="D271">
        <v>23</v>
      </c>
      <c r="E271">
        <v>265924</v>
      </c>
      <c r="F271">
        <v>259620</v>
      </c>
      <c r="G271">
        <v>985</v>
      </c>
      <c r="H271" t="str">
        <f t="shared" si="8"/>
        <v>Unique</v>
      </c>
      <c r="I271" s="2">
        <f t="shared" si="9"/>
        <v>97.629397873076513</v>
      </c>
    </row>
    <row r="272" spans="1:9" x14ac:dyDescent="0.3">
      <c r="A272" s="1">
        <v>45931</v>
      </c>
      <c r="B272">
        <v>31</v>
      </c>
      <c r="C272" t="s">
        <v>40</v>
      </c>
      <c r="D272">
        <v>23</v>
      </c>
      <c r="E272">
        <v>81058</v>
      </c>
      <c r="F272">
        <v>79220</v>
      </c>
      <c r="G272">
        <v>355</v>
      </c>
      <c r="H272" t="str">
        <f t="shared" si="8"/>
        <v>Unique</v>
      </c>
      <c r="I272" s="2">
        <f t="shared" si="9"/>
        <v>97.732487848207455</v>
      </c>
    </row>
    <row r="273" spans="1:9" x14ac:dyDescent="0.3">
      <c r="A273" s="1">
        <v>45962</v>
      </c>
      <c r="B273">
        <v>30</v>
      </c>
      <c r="C273" t="s">
        <v>40</v>
      </c>
      <c r="D273">
        <v>23</v>
      </c>
      <c r="E273">
        <v>46318</v>
      </c>
      <c r="F273">
        <v>45069</v>
      </c>
      <c r="G273">
        <v>842</v>
      </c>
      <c r="H273" t="str">
        <f t="shared" si="8"/>
        <v>Unique</v>
      </c>
      <c r="I273" s="2">
        <f t="shared" si="9"/>
        <v>97.303424154756243</v>
      </c>
    </row>
    <row r="274" spans="1:9" x14ac:dyDescent="0.3">
      <c r="A274" s="1">
        <v>45992</v>
      </c>
      <c r="B274">
        <v>31</v>
      </c>
      <c r="C274" t="s">
        <v>40</v>
      </c>
      <c r="D274">
        <v>23</v>
      </c>
      <c r="E274">
        <v>64385</v>
      </c>
      <c r="F274">
        <v>62931</v>
      </c>
      <c r="G274">
        <v>993</v>
      </c>
      <c r="H274" t="str">
        <f t="shared" si="8"/>
        <v>Unique</v>
      </c>
      <c r="I274" s="2">
        <f t="shared" si="9"/>
        <v>97.741710025627086</v>
      </c>
    </row>
    <row r="275" spans="1:9" x14ac:dyDescent="0.3">
      <c r="A275" s="1">
        <v>46023</v>
      </c>
      <c r="B275">
        <v>31</v>
      </c>
      <c r="C275" t="s">
        <v>40</v>
      </c>
      <c r="D275">
        <v>23</v>
      </c>
      <c r="E275">
        <v>65293</v>
      </c>
      <c r="F275">
        <v>63880</v>
      </c>
      <c r="G275">
        <v>536</v>
      </c>
      <c r="H275" t="str">
        <f t="shared" si="8"/>
        <v>Unique</v>
      </c>
      <c r="I275" s="2">
        <f t="shared" si="9"/>
        <v>97.835908902945192</v>
      </c>
    </row>
    <row r="276" spans="1:9" x14ac:dyDescent="0.3">
      <c r="A276" s="1">
        <v>46054</v>
      </c>
      <c r="B276">
        <v>28</v>
      </c>
      <c r="C276" t="s">
        <v>40</v>
      </c>
      <c r="D276">
        <v>23</v>
      </c>
      <c r="E276">
        <v>55756</v>
      </c>
      <c r="F276">
        <v>54480</v>
      </c>
      <c r="G276">
        <v>721</v>
      </c>
      <c r="H276" t="str">
        <f t="shared" si="8"/>
        <v>Unique</v>
      </c>
      <c r="I276" s="2">
        <f t="shared" si="9"/>
        <v>97.711457062916992</v>
      </c>
    </row>
    <row r="277" spans="1:9" x14ac:dyDescent="0.3">
      <c r="A277" s="1">
        <v>46082</v>
      </c>
      <c r="B277">
        <v>31</v>
      </c>
      <c r="C277" t="s">
        <v>40</v>
      </c>
      <c r="D277">
        <v>23</v>
      </c>
      <c r="E277">
        <v>32158</v>
      </c>
      <c r="F277">
        <v>31160</v>
      </c>
      <c r="G277">
        <v>205</v>
      </c>
      <c r="H277" t="str">
        <f t="shared" si="8"/>
        <v>Unique</v>
      </c>
      <c r="I277" s="2">
        <f t="shared" si="9"/>
        <v>96.896573169973252</v>
      </c>
    </row>
    <row r="278" spans="1:9" x14ac:dyDescent="0.3">
      <c r="A278" s="1">
        <v>45748</v>
      </c>
      <c r="B278">
        <v>30</v>
      </c>
      <c r="C278" t="s">
        <v>40</v>
      </c>
      <c r="D278">
        <v>24</v>
      </c>
      <c r="E278">
        <v>83272</v>
      </c>
      <c r="F278">
        <v>80100</v>
      </c>
      <c r="G278">
        <v>1466</v>
      </c>
      <c r="H278" t="str">
        <f t="shared" si="8"/>
        <v>Unique</v>
      </c>
      <c r="I278" s="2">
        <f t="shared" si="9"/>
        <v>96.190796426169655</v>
      </c>
    </row>
    <row r="279" spans="1:9" x14ac:dyDescent="0.3">
      <c r="A279" s="1">
        <v>45778</v>
      </c>
      <c r="B279">
        <v>31</v>
      </c>
      <c r="C279" t="s">
        <v>40</v>
      </c>
      <c r="D279">
        <v>24</v>
      </c>
      <c r="E279">
        <v>153501</v>
      </c>
      <c r="F279">
        <v>150255</v>
      </c>
      <c r="G279">
        <v>447</v>
      </c>
      <c r="H279" t="str">
        <f t="shared" si="8"/>
        <v>Unique</v>
      </c>
      <c r="I279" s="2">
        <f t="shared" si="9"/>
        <v>97.885355795727719</v>
      </c>
    </row>
    <row r="280" spans="1:9" x14ac:dyDescent="0.3">
      <c r="A280" s="1">
        <v>45809</v>
      </c>
      <c r="B280">
        <v>30</v>
      </c>
      <c r="C280" t="s">
        <v>40</v>
      </c>
      <c r="D280">
        <v>24</v>
      </c>
      <c r="E280">
        <v>250536</v>
      </c>
      <c r="F280">
        <v>249495</v>
      </c>
      <c r="G280">
        <v>3646</v>
      </c>
      <c r="H280" t="str">
        <f t="shared" si="8"/>
        <v>Unique</v>
      </c>
      <c r="I280" s="2">
        <f t="shared" si="9"/>
        <v>99.584490851614134</v>
      </c>
    </row>
    <row r="281" spans="1:9" x14ac:dyDescent="0.3">
      <c r="A281" s="1">
        <v>45839</v>
      </c>
      <c r="B281">
        <v>31</v>
      </c>
      <c r="C281" t="s">
        <v>40</v>
      </c>
      <c r="D281">
        <v>24</v>
      </c>
      <c r="E281">
        <v>345420</v>
      </c>
      <c r="F281">
        <v>337710</v>
      </c>
      <c r="G281">
        <v>3028</v>
      </c>
      <c r="H281" t="str">
        <f t="shared" si="8"/>
        <v>Unique</v>
      </c>
      <c r="I281" s="2">
        <f t="shared" si="9"/>
        <v>97.767934688205656</v>
      </c>
    </row>
    <row r="282" spans="1:9" x14ac:dyDescent="0.3">
      <c r="A282" s="1">
        <v>45870</v>
      </c>
      <c r="B282">
        <v>31</v>
      </c>
      <c r="C282" t="s">
        <v>40</v>
      </c>
      <c r="D282">
        <v>24</v>
      </c>
      <c r="E282">
        <v>227488</v>
      </c>
      <c r="F282">
        <v>224708</v>
      </c>
      <c r="G282">
        <v>2763</v>
      </c>
      <c r="H282" t="str">
        <f t="shared" si="8"/>
        <v>Unique</v>
      </c>
      <c r="I282" s="2">
        <f t="shared" si="9"/>
        <v>98.777957518638345</v>
      </c>
    </row>
    <row r="283" spans="1:9" x14ac:dyDescent="0.3">
      <c r="A283" s="1">
        <v>45901</v>
      </c>
      <c r="B283">
        <v>30</v>
      </c>
      <c r="C283" t="s">
        <v>40</v>
      </c>
      <c r="D283">
        <v>24</v>
      </c>
      <c r="E283">
        <v>204536</v>
      </c>
      <c r="F283">
        <v>202133</v>
      </c>
      <c r="G283">
        <v>1540</v>
      </c>
      <c r="H283" t="str">
        <f t="shared" si="8"/>
        <v>Unique</v>
      </c>
      <c r="I283" s="2">
        <f t="shared" si="9"/>
        <v>98.825145695623263</v>
      </c>
    </row>
    <row r="284" spans="1:9" x14ac:dyDescent="0.3">
      <c r="A284" s="1">
        <v>45931</v>
      </c>
      <c r="B284">
        <v>31</v>
      </c>
      <c r="C284" t="s">
        <v>40</v>
      </c>
      <c r="D284">
        <v>24</v>
      </c>
      <c r="E284">
        <v>89306</v>
      </c>
      <c r="F284">
        <v>87578</v>
      </c>
      <c r="G284">
        <v>484</v>
      </c>
      <c r="H284" t="str">
        <f t="shared" si="8"/>
        <v>Unique</v>
      </c>
      <c r="I284" s="2">
        <f t="shared" si="9"/>
        <v>98.06507961391172</v>
      </c>
    </row>
    <row r="285" spans="1:9" x14ac:dyDescent="0.3">
      <c r="A285" s="1">
        <v>45962</v>
      </c>
      <c r="B285">
        <v>30</v>
      </c>
      <c r="C285" t="s">
        <v>40</v>
      </c>
      <c r="D285">
        <v>24</v>
      </c>
      <c r="E285">
        <v>65678</v>
      </c>
      <c r="F285">
        <v>65318</v>
      </c>
      <c r="G285">
        <v>3837</v>
      </c>
      <c r="H285" t="str">
        <f t="shared" si="8"/>
        <v>Unique</v>
      </c>
      <c r="I285" s="2">
        <f t="shared" si="9"/>
        <v>99.451871250647088</v>
      </c>
    </row>
    <row r="286" spans="1:9" x14ac:dyDescent="0.3">
      <c r="A286" s="1">
        <v>45992</v>
      </c>
      <c r="B286">
        <v>31</v>
      </c>
      <c r="C286" t="s">
        <v>40</v>
      </c>
      <c r="D286">
        <v>24</v>
      </c>
      <c r="E286">
        <v>70598</v>
      </c>
      <c r="F286">
        <v>66997</v>
      </c>
      <c r="G286">
        <v>813</v>
      </c>
      <c r="H286" t="str">
        <f t="shared" si="8"/>
        <v>Unique</v>
      </c>
      <c r="I286" s="2">
        <f t="shared" si="9"/>
        <v>94.899288931697782</v>
      </c>
    </row>
    <row r="287" spans="1:9" x14ac:dyDescent="0.3">
      <c r="A287" s="1">
        <v>46023</v>
      </c>
      <c r="B287">
        <v>31</v>
      </c>
      <c r="C287" t="s">
        <v>40</v>
      </c>
      <c r="D287">
        <v>24</v>
      </c>
      <c r="E287">
        <v>74438</v>
      </c>
      <c r="F287">
        <v>75143</v>
      </c>
      <c r="G287">
        <v>454</v>
      </c>
      <c r="H287" t="str">
        <f t="shared" si="8"/>
        <v>Unique</v>
      </c>
      <c r="I287" s="2">
        <f t="shared" si="9"/>
        <v>100.94709691286707</v>
      </c>
    </row>
    <row r="288" spans="1:9" x14ac:dyDescent="0.3">
      <c r="A288" s="1">
        <v>46054</v>
      </c>
      <c r="B288">
        <v>28</v>
      </c>
      <c r="C288" t="s">
        <v>40</v>
      </c>
      <c r="D288">
        <v>24</v>
      </c>
      <c r="E288">
        <v>59183</v>
      </c>
      <c r="F288">
        <v>59160</v>
      </c>
      <c r="G288">
        <v>393</v>
      </c>
      <c r="H288" t="str">
        <f t="shared" si="8"/>
        <v>Unique</v>
      </c>
      <c r="I288" s="2">
        <f t="shared" si="9"/>
        <v>99.961137488805903</v>
      </c>
    </row>
    <row r="289" spans="1:9" x14ac:dyDescent="0.3">
      <c r="A289" s="1">
        <v>46082</v>
      </c>
      <c r="B289">
        <v>31</v>
      </c>
      <c r="C289" t="s">
        <v>40</v>
      </c>
      <c r="D289">
        <v>24</v>
      </c>
      <c r="E289">
        <v>62143</v>
      </c>
      <c r="F289">
        <v>61950</v>
      </c>
      <c r="G289">
        <v>3710</v>
      </c>
      <c r="H289" t="str">
        <f t="shared" si="8"/>
        <v>Unique</v>
      </c>
      <c r="I289" s="2">
        <f t="shared" si="9"/>
        <v>99.689426001319532</v>
      </c>
    </row>
    <row r="290" spans="1:9" x14ac:dyDescent="0.3">
      <c r="A290" s="1">
        <v>45748</v>
      </c>
      <c r="B290">
        <v>30</v>
      </c>
      <c r="C290" t="s">
        <v>40</v>
      </c>
      <c r="D290">
        <v>25</v>
      </c>
      <c r="E290">
        <v>1009776</v>
      </c>
      <c r="F290">
        <v>970280</v>
      </c>
      <c r="G290">
        <v>557</v>
      </c>
      <c r="H290" t="str">
        <f t="shared" si="8"/>
        <v>Unique</v>
      </c>
      <c r="I290" s="2">
        <f t="shared" si="9"/>
        <v>96.088637479995569</v>
      </c>
    </row>
    <row r="291" spans="1:9" x14ac:dyDescent="0.3">
      <c r="A291" s="1">
        <v>45778</v>
      </c>
      <c r="B291">
        <v>31</v>
      </c>
      <c r="C291" t="s">
        <v>40</v>
      </c>
      <c r="D291">
        <v>25</v>
      </c>
      <c r="E291">
        <v>1399165</v>
      </c>
      <c r="F291">
        <v>1358748</v>
      </c>
      <c r="G291">
        <v>615</v>
      </c>
      <c r="H291" t="str">
        <f t="shared" si="8"/>
        <v>Unique</v>
      </c>
      <c r="I291" s="2">
        <f t="shared" si="9"/>
        <v>97.111348554316322</v>
      </c>
    </row>
    <row r="292" spans="1:9" x14ac:dyDescent="0.3">
      <c r="A292" s="1">
        <v>45809</v>
      </c>
      <c r="B292">
        <v>30</v>
      </c>
      <c r="C292" t="s">
        <v>40</v>
      </c>
      <c r="D292">
        <v>25</v>
      </c>
      <c r="E292">
        <v>2466331</v>
      </c>
      <c r="F292">
        <v>2403665</v>
      </c>
      <c r="G292">
        <v>210</v>
      </c>
      <c r="H292" t="str">
        <f t="shared" si="8"/>
        <v>Unique</v>
      </c>
      <c r="I292" s="2">
        <f t="shared" si="9"/>
        <v>97.459140723609281</v>
      </c>
    </row>
    <row r="293" spans="1:9" x14ac:dyDescent="0.3">
      <c r="A293" s="1">
        <v>45839</v>
      </c>
      <c r="B293">
        <v>31</v>
      </c>
      <c r="C293" t="s">
        <v>40</v>
      </c>
      <c r="D293">
        <v>25</v>
      </c>
      <c r="E293">
        <v>2993395</v>
      </c>
      <c r="F293">
        <v>2919780</v>
      </c>
      <c r="G293">
        <v>14</v>
      </c>
      <c r="H293" t="str">
        <f t="shared" si="8"/>
        <v>Unique</v>
      </c>
      <c r="I293" s="2">
        <f t="shared" si="9"/>
        <v>97.540752222810553</v>
      </c>
    </row>
    <row r="294" spans="1:9" x14ac:dyDescent="0.3">
      <c r="A294" s="1">
        <v>45870</v>
      </c>
      <c r="B294">
        <v>31</v>
      </c>
      <c r="C294" t="s">
        <v>40</v>
      </c>
      <c r="D294">
        <v>25</v>
      </c>
      <c r="E294">
        <v>2148147</v>
      </c>
      <c r="F294">
        <v>2097476</v>
      </c>
      <c r="G294">
        <v>166</v>
      </c>
      <c r="H294" t="str">
        <f t="shared" si="8"/>
        <v>Unique</v>
      </c>
      <c r="I294" s="2">
        <f t="shared" si="9"/>
        <v>97.641176325456314</v>
      </c>
    </row>
    <row r="295" spans="1:9" x14ac:dyDescent="0.3">
      <c r="A295" s="1">
        <v>45901</v>
      </c>
      <c r="B295">
        <v>30</v>
      </c>
      <c r="C295" t="s">
        <v>40</v>
      </c>
      <c r="D295">
        <v>25</v>
      </c>
      <c r="E295">
        <v>1644366</v>
      </c>
      <c r="F295">
        <v>1600225</v>
      </c>
      <c r="G295">
        <v>365</v>
      </c>
      <c r="H295" t="str">
        <f t="shared" si="8"/>
        <v>Unique</v>
      </c>
      <c r="I295" s="2">
        <f t="shared" si="9"/>
        <v>97.315621947911836</v>
      </c>
    </row>
    <row r="296" spans="1:9" x14ac:dyDescent="0.3">
      <c r="A296" s="1">
        <v>45931</v>
      </c>
      <c r="B296">
        <v>31</v>
      </c>
      <c r="C296" t="s">
        <v>40</v>
      </c>
      <c r="D296">
        <v>25</v>
      </c>
      <c r="E296">
        <v>972341</v>
      </c>
      <c r="F296">
        <v>940703</v>
      </c>
      <c r="G296">
        <v>201</v>
      </c>
      <c r="H296" t="str">
        <f t="shared" si="8"/>
        <v>Unique</v>
      </c>
      <c r="I296" s="2">
        <f t="shared" si="9"/>
        <v>96.746203235284739</v>
      </c>
    </row>
    <row r="297" spans="1:9" x14ac:dyDescent="0.3">
      <c r="A297" s="1">
        <v>45962</v>
      </c>
      <c r="B297">
        <v>30</v>
      </c>
      <c r="C297" t="s">
        <v>40</v>
      </c>
      <c r="D297">
        <v>25</v>
      </c>
      <c r="E297">
        <v>740848</v>
      </c>
      <c r="F297">
        <v>708646</v>
      </c>
      <c r="G297">
        <v>162</v>
      </c>
      <c r="H297" t="str">
        <f t="shared" si="8"/>
        <v>Unique</v>
      </c>
      <c r="I297" s="2">
        <f t="shared" si="9"/>
        <v>95.653359393559811</v>
      </c>
    </row>
    <row r="298" spans="1:9" x14ac:dyDescent="0.3">
      <c r="A298" s="1">
        <v>45992</v>
      </c>
      <c r="B298">
        <v>31</v>
      </c>
      <c r="C298" t="s">
        <v>40</v>
      </c>
      <c r="D298">
        <v>25</v>
      </c>
      <c r="E298">
        <v>765627</v>
      </c>
      <c r="F298">
        <v>734937</v>
      </c>
      <c r="G298">
        <v>258</v>
      </c>
      <c r="H298" t="str">
        <f t="shared" si="8"/>
        <v>Unique</v>
      </c>
      <c r="I298" s="2">
        <f t="shared" si="9"/>
        <v>95.991520675211291</v>
      </c>
    </row>
    <row r="299" spans="1:9" x14ac:dyDescent="0.3">
      <c r="A299" s="1">
        <v>46023</v>
      </c>
      <c r="B299">
        <v>31</v>
      </c>
      <c r="C299" t="s">
        <v>40</v>
      </c>
      <c r="D299">
        <v>25</v>
      </c>
      <c r="E299">
        <v>494693</v>
      </c>
      <c r="F299">
        <v>469743</v>
      </c>
      <c r="G299">
        <v>485</v>
      </c>
      <c r="H299" t="str">
        <f t="shared" si="8"/>
        <v>Unique</v>
      </c>
      <c r="I299" s="2">
        <f t="shared" si="9"/>
        <v>94.956467950830117</v>
      </c>
    </row>
    <row r="300" spans="1:9" x14ac:dyDescent="0.3">
      <c r="A300" s="1">
        <v>46054</v>
      </c>
      <c r="B300">
        <v>28</v>
      </c>
      <c r="C300" t="s">
        <v>40</v>
      </c>
      <c r="D300">
        <v>25</v>
      </c>
      <c r="E300">
        <v>439473</v>
      </c>
      <c r="F300">
        <v>414841</v>
      </c>
      <c r="G300">
        <v>481</v>
      </c>
      <c r="H300" t="str">
        <f t="shared" si="8"/>
        <v>Unique</v>
      </c>
      <c r="I300" s="2">
        <f t="shared" si="9"/>
        <v>94.39510504627134</v>
      </c>
    </row>
    <row r="301" spans="1:9" x14ac:dyDescent="0.3">
      <c r="A301" s="1">
        <v>46082</v>
      </c>
      <c r="B301">
        <v>31</v>
      </c>
      <c r="C301" t="s">
        <v>40</v>
      </c>
      <c r="D301">
        <v>25</v>
      </c>
      <c r="E301">
        <v>605307</v>
      </c>
      <c r="F301">
        <v>574430</v>
      </c>
      <c r="G301">
        <v>778</v>
      </c>
      <c r="H301" t="str">
        <f t="shared" si="8"/>
        <v>Unique</v>
      </c>
      <c r="I301" s="2">
        <f t="shared" si="9"/>
        <v>94.898952101991213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95D8A-8E48-4C9E-9911-1EEE588B8083}">
  <dimension ref="A2:C15"/>
  <sheetViews>
    <sheetView zoomScale="85" workbookViewId="0">
      <selection activeCell="C5" sqref="C5"/>
    </sheetView>
  </sheetViews>
  <sheetFormatPr defaultRowHeight="14.4" x14ac:dyDescent="0.3"/>
  <cols>
    <col min="1" max="1" width="13" bestFit="1" customWidth="1"/>
    <col min="2" max="2" width="27.6640625" bestFit="1" customWidth="1"/>
    <col min="3" max="3" width="26.109375" bestFit="1" customWidth="1"/>
  </cols>
  <sheetData>
    <row r="2" spans="1:3" x14ac:dyDescent="0.3">
      <c r="A2" s="3" t="s">
        <v>87</v>
      </c>
      <c r="B2" t="s">
        <v>121</v>
      </c>
      <c r="C2" t="s">
        <v>120</v>
      </c>
    </row>
    <row r="3" spans="1:3" x14ac:dyDescent="0.3">
      <c r="A3" s="4" t="s">
        <v>107</v>
      </c>
      <c r="B3" s="7">
        <v>3337916</v>
      </c>
      <c r="C3" s="7">
        <v>3340908</v>
      </c>
    </row>
    <row r="4" spans="1:3" x14ac:dyDescent="0.3">
      <c r="A4" s="4" t="s">
        <v>108</v>
      </c>
      <c r="B4" s="7">
        <v>2689152</v>
      </c>
      <c r="C4" s="7">
        <v>2663306</v>
      </c>
    </row>
    <row r="5" spans="1:3" x14ac:dyDescent="0.3">
      <c r="A5" s="4" t="s">
        <v>109</v>
      </c>
      <c r="B5" s="7">
        <v>2932734</v>
      </c>
      <c r="C5" s="7">
        <v>2922268</v>
      </c>
    </row>
    <row r="6" spans="1:3" x14ac:dyDescent="0.3">
      <c r="A6" s="4" t="s">
        <v>110</v>
      </c>
      <c r="B6" s="7">
        <v>4415663</v>
      </c>
      <c r="C6" s="7">
        <v>4381983</v>
      </c>
    </row>
    <row r="7" spans="1:3" x14ac:dyDescent="0.3">
      <c r="A7" s="4" t="s">
        <v>111</v>
      </c>
      <c r="B7" s="7">
        <v>9087361</v>
      </c>
      <c r="C7" s="7">
        <v>9073742</v>
      </c>
    </row>
    <row r="8" spans="1:3" x14ac:dyDescent="0.3">
      <c r="A8" s="4" t="s">
        <v>112</v>
      </c>
      <c r="B8" s="7">
        <v>16257131</v>
      </c>
      <c r="C8" s="7">
        <v>16289880</v>
      </c>
    </row>
    <row r="9" spans="1:3" x14ac:dyDescent="0.3">
      <c r="A9" s="4" t="s">
        <v>113</v>
      </c>
      <c r="B9" s="7">
        <v>19729007</v>
      </c>
      <c r="C9" s="7">
        <v>19788820</v>
      </c>
    </row>
    <row r="10" spans="1:3" x14ac:dyDescent="0.3">
      <c r="A10" s="4" t="s">
        <v>114</v>
      </c>
      <c r="B10" s="7">
        <v>13349445</v>
      </c>
      <c r="C10" s="7">
        <v>13420828</v>
      </c>
    </row>
    <row r="11" spans="1:3" x14ac:dyDescent="0.3">
      <c r="A11" s="4" t="s">
        <v>115</v>
      </c>
      <c r="B11" s="7">
        <v>10492025</v>
      </c>
      <c r="C11" s="7">
        <v>10373158</v>
      </c>
    </row>
    <row r="12" spans="1:3" x14ac:dyDescent="0.3">
      <c r="A12" s="4" t="s">
        <v>116</v>
      </c>
      <c r="B12" s="7">
        <v>5172699</v>
      </c>
      <c r="C12" s="7">
        <v>5111076</v>
      </c>
    </row>
    <row r="13" spans="1:3" x14ac:dyDescent="0.3">
      <c r="A13" s="4" t="s">
        <v>117</v>
      </c>
      <c r="B13" s="7">
        <v>4079834</v>
      </c>
      <c r="C13" s="7">
        <v>3989093</v>
      </c>
    </row>
    <row r="14" spans="1:3" x14ac:dyDescent="0.3">
      <c r="A14" s="4" t="s">
        <v>118</v>
      </c>
      <c r="B14" s="7">
        <v>4978078</v>
      </c>
      <c r="C14" s="7">
        <v>4957820</v>
      </c>
    </row>
    <row r="15" spans="1:3" x14ac:dyDescent="0.3">
      <c r="A15" s="4" t="s">
        <v>88</v>
      </c>
      <c r="B15" s="7">
        <v>96521045</v>
      </c>
      <c r="C15" s="7">
        <v>96312882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A8DA8-D391-4373-B38E-48B20B4C15F6}">
  <dimension ref="A1:O301"/>
  <sheetViews>
    <sheetView topLeftCell="J1" workbookViewId="0"/>
  </sheetViews>
  <sheetFormatPr defaultRowHeight="14.4" x14ac:dyDescent="0.3"/>
  <cols>
    <col min="1" max="1" width="12.33203125" bestFit="1" customWidth="1"/>
    <col min="2" max="2" width="13.88671875" bestFit="1" customWidth="1"/>
    <col min="3" max="3" width="14.33203125" bestFit="1" customWidth="1"/>
    <col min="4" max="4" width="15.44140625" bestFit="1" customWidth="1"/>
    <col min="5" max="5" width="10.109375" bestFit="1" customWidth="1"/>
    <col min="6" max="6" width="21.5546875" bestFit="1" customWidth="1"/>
    <col min="7" max="7" width="15.33203125" bestFit="1" customWidth="1"/>
    <col min="8" max="8" width="16.5546875" bestFit="1" customWidth="1"/>
    <col min="9" max="9" width="6.44140625" bestFit="1" customWidth="1"/>
    <col min="10" max="10" width="19.88671875" bestFit="1" customWidth="1"/>
    <col min="11" max="11" width="11.109375" bestFit="1" customWidth="1"/>
    <col min="12" max="12" width="15.44140625" bestFit="1" customWidth="1"/>
    <col min="13" max="13" width="10.6640625" bestFit="1" customWidth="1"/>
    <col min="14" max="14" width="5" bestFit="1" customWidth="1"/>
    <col min="15" max="15" width="6" bestFit="1" customWidth="1"/>
  </cols>
  <sheetData>
    <row r="1" spans="1:15" x14ac:dyDescent="0.3">
      <c r="A1" t="s">
        <v>41</v>
      </c>
      <c r="B1" t="s">
        <v>42</v>
      </c>
      <c r="C1" t="s">
        <v>43</v>
      </c>
      <c r="D1" t="s">
        <v>36</v>
      </c>
      <c r="E1" t="s">
        <v>0</v>
      </c>
      <c r="F1" t="s">
        <v>38</v>
      </c>
      <c r="G1" t="s">
        <v>44</v>
      </c>
      <c r="H1" t="s">
        <v>45</v>
      </c>
      <c r="I1" t="s">
        <v>46</v>
      </c>
      <c r="J1" t="s">
        <v>47</v>
      </c>
      <c r="K1" t="s">
        <v>48</v>
      </c>
      <c r="L1" t="s">
        <v>49</v>
      </c>
      <c r="M1" t="s">
        <v>50</v>
      </c>
      <c r="N1" t="s">
        <v>51</v>
      </c>
      <c r="O1" t="s">
        <v>52</v>
      </c>
    </row>
    <row r="2" spans="1:15" x14ac:dyDescent="0.3">
      <c r="A2">
        <v>1</v>
      </c>
      <c r="B2" s="1">
        <v>45789</v>
      </c>
      <c r="C2" s="1">
        <v>45748</v>
      </c>
      <c r="D2" t="s">
        <v>40</v>
      </c>
      <c r="E2">
        <v>1</v>
      </c>
      <c r="F2">
        <v>209819</v>
      </c>
      <c r="G2">
        <v>2.67</v>
      </c>
      <c r="H2">
        <v>560218</v>
      </c>
      <c r="I2">
        <v>560</v>
      </c>
      <c r="J2">
        <v>559657</v>
      </c>
      <c r="K2" s="1">
        <v>45804</v>
      </c>
      <c r="L2" t="s">
        <v>53</v>
      </c>
      <c r="M2" t="s">
        <v>54</v>
      </c>
      <c r="N2" t="s">
        <v>54</v>
      </c>
      <c r="O2" t="s">
        <v>54</v>
      </c>
    </row>
    <row r="3" spans="1:15" x14ac:dyDescent="0.3">
      <c r="A3">
        <v>2</v>
      </c>
      <c r="B3" s="1">
        <v>45818</v>
      </c>
      <c r="C3" s="1">
        <v>45778</v>
      </c>
      <c r="D3" t="s">
        <v>40</v>
      </c>
      <c r="E3">
        <v>1</v>
      </c>
      <c r="F3">
        <v>274677</v>
      </c>
      <c r="G3">
        <v>2.67</v>
      </c>
      <c r="H3">
        <v>733387</v>
      </c>
      <c r="I3">
        <v>733</v>
      </c>
      <c r="J3">
        <v>732654</v>
      </c>
      <c r="K3" s="1">
        <v>45833</v>
      </c>
      <c r="L3" t="s">
        <v>53</v>
      </c>
      <c r="M3" t="s">
        <v>54</v>
      </c>
      <c r="N3" t="s">
        <v>54</v>
      </c>
      <c r="O3" t="s">
        <v>54</v>
      </c>
    </row>
    <row r="4" spans="1:15" x14ac:dyDescent="0.3">
      <c r="A4">
        <v>3</v>
      </c>
      <c r="B4" s="1">
        <v>45845</v>
      </c>
      <c r="C4" s="1">
        <v>45809</v>
      </c>
      <c r="D4" t="s">
        <v>40</v>
      </c>
      <c r="E4">
        <v>1</v>
      </c>
      <c r="F4">
        <v>611235</v>
      </c>
      <c r="G4">
        <v>2.67</v>
      </c>
      <c r="H4">
        <v>1631997</v>
      </c>
      <c r="I4">
        <v>1632</v>
      </c>
      <c r="J4">
        <v>1630365</v>
      </c>
      <c r="K4" s="1">
        <v>45860</v>
      </c>
      <c r="L4" t="s">
        <v>53</v>
      </c>
      <c r="M4" t="s">
        <v>54</v>
      </c>
      <c r="N4" t="s">
        <v>54</v>
      </c>
      <c r="O4" t="s">
        <v>54</v>
      </c>
    </row>
    <row r="5" spans="1:15" x14ac:dyDescent="0.3">
      <c r="A5">
        <v>4</v>
      </c>
      <c r="B5" s="1">
        <v>45880</v>
      </c>
      <c r="C5" s="1">
        <v>45839</v>
      </c>
      <c r="D5" t="s">
        <v>40</v>
      </c>
      <c r="E5">
        <v>1</v>
      </c>
      <c r="F5">
        <v>897647</v>
      </c>
      <c r="G5">
        <v>2.67</v>
      </c>
      <c r="H5">
        <v>2396716</v>
      </c>
      <c r="I5">
        <v>2397</v>
      </c>
      <c r="J5">
        <v>2394320</v>
      </c>
      <c r="K5" s="1">
        <v>45895</v>
      </c>
      <c r="L5" t="s">
        <v>53</v>
      </c>
      <c r="M5" t="s">
        <v>54</v>
      </c>
      <c r="N5" t="s">
        <v>54</v>
      </c>
      <c r="O5" t="s">
        <v>54</v>
      </c>
    </row>
    <row r="6" spans="1:15" x14ac:dyDescent="0.3">
      <c r="A6">
        <v>5</v>
      </c>
      <c r="B6" s="1">
        <v>45915</v>
      </c>
      <c r="C6" s="1">
        <v>45870</v>
      </c>
      <c r="D6" t="s">
        <v>40</v>
      </c>
      <c r="E6">
        <v>1</v>
      </c>
      <c r="F6">
        <v>448823</v>
      </c>
      <c r="G6">
        <v>2.67</v>
      </c>
      <c r="H6">
        <v>1198357</v>
      </c>
      <c r="I6">
        <v>1198</v>
      </c>
      <c r="J6">
        <v>1197158</v>
      </c>
      <c r="K6" s="1">
        <v>45930</v>
      </c>
      <c r="L6" t="s">
        <v>53</v>
      </c>
      <c r="M6" t="s">
        <v>54</v>
      </c>
      <c r="N6" t="s">
        <v>54</v>
      </c>
      <c r="O6" t="s">
        <v>54</v>
      </c>
    </row>
    <row r="7" spans="1:15" x14ac:dyDescent="0.3">
      <c r="A7">
        <v>6</v>
      </c>
      <c r="B7" s="1">
        <v>45938</v>
      </c>
      <c r="C7" s="1">
        <v>45901</v>
      </c>
      <c r="D7" t="s">
        <v>40</v>
      </c>
      <c r="E7">
        <v>1</v>
      </c>
      <c r="F7">
        <v>217455</v>
      </c>
      <c r="G7">
        <v>2.67</v>
      </c>
      <c r="H7">
        <v>580604</v>
      </c>
      <c r="I7">
        <v>581</v>
      </c>
      <c r="J7">
        <v>580023</v>
      </c>
      <c r="K7" s="1">
        <v>45953</v>
      </c>
      <c r="L7" t="s">
        <v>53</v>
      </c>
      <c r="M7" t="s">
        <v>54</v>
      </c>
      <c r="N7" t="s">
        <v>54</v>
      </c>
      <c r="O7" t="s">
        <v>54</v>
      </c>
    </row>
    <row r="8" spans="1:15" x14ac:dyDescent="0.3">
      <c r="A8">
        <v>7</v>
      </c>
      <c r="B8" s="1">
        <v>45970</v>
      </c>
      <c r="C8" s="1">
        <v>45931</v>
      </c>
      <c r="D8" t="s">
        <v>40</v>
      </c>
      <c r="E8">
        <v>1</v>
      </c>
      <c r="F8">
        <v>152769</v>
      </c>
      <c r="G8">
        <v>2.67</v>
      </c>
      <c r="H8">
        <v>407893</v>
      </c>
      <c r="I8">
        <v>408</v>
      </c>
      <c r="J8">
        <v>407485</v>
      </c>
      <c r="K8" s="1">
        <v>45985</v>
      </c>
      <c r="L8" t="s">
        <v>53</v>
      </c>
      <c r="M8" t="s">
        <v>54</v>
      </c>
      <c r="N8" t="s">
        <v>54</v>
      </c>
      <c r="O8" t="s">
        <v>54</v>
      </c>
    </row>
    <row r="9" spans="1:15" x14ac:dyDescent="0.3">
      <c r="A9">
        <v>8</v>
      </c>
      <c r="B9" s="1">
        <v>45997</v>
      </c>
      <c r="C9" s="1">
        <v>45962</v>
      </c>
      <c r="D9" t="s">
        <v>40</v>
      </c>
      <c r="E9">
        <v>1</v>
      </c>
      <c r="F9">
        <v>216193</v>
      </c>
      <c r="G9">
        <v>2.67</v>
      </c>
      <c r="H9">
        <v>577234</v>
      </c>
      <c r="I9">
        <v>577</v>
      </c>
      <c r="J9">
        <v>576657</v>
      </c>
      <c r="K9" s="1">
        <v>46012</v>
      </c>
      <c r="L9" t="s">
        <v>53</v>
      </c>
      <c r="M9" t="s">
        <v>54</v>
      </c>
      <c r="N9" t="s">
        <v>54</v>
      </c>
      <c r="O9" t="s">
        <v>54</v>
      </c>
    </row>
    <row r="10" spans="1:15" x14ac:dyDescent="0.3">
      <c r="A10">
        <v>9</v>
      </c>
      <c r="B10" s="1">
        <v>46049</v>
      </c>
      <c r="C10" s="1">
        <v>45992</v>
      </c>
      <c r="D10" t="s">
        <v>40</v>
      </c>
      <c r="E10">
        <v>1</v>
      </c>
      <c r="F10">
        <v>355304</v>
      </c>
      <c r="G10">
        <v>2.67</v>
      </c>
      <c r="H10">
        <v>948661</v>
      </c>
      <c r="I10">
        <v>949</v>
      </c>
      <c r="J10">
        <v>947713</v>
      </c>
      <c r="K10" s="1">
        <v>46064</v>
      </c>
      <c r="L10" t="s">
        <v>53</v>
      </c>
      <c r="M10" t="s">
        <v>54</v>
      </c>
      <c r="N10" t="s">
        <v>54</v>
      </c>
      <c r="O10" t="s">
        <v>54</v>
      </c>
    </row>
    <row r="11" spans="1:15" x14ac:dyDescent="0.3">
      <c r="A11">
        <v>10</v>
      </c>
      <c r="B11" s="1">
        <v>46074</v>
      </c>
      <c r="C11" s="1">
        <v>46023</v>
      </c>
      <c r="D11" t="s">
        <v>40</v>
      </c>
      <c r="E11">
        <v>1</v>
      </c>
      <c r="F11">
        <v>83708</v>
      </c>
      <c r="G11">
        <v>2.67</v>
      </c>
      <c r="H11">
        <v>223501</v>
      </c>
      <c r="I11">
        <v>224</v>
      </c>
      <c r="J11">
        <v>223277</v>
      </c>
      <c r="K11" s="1">
        <v>46089</v>
      </c>
      <c r="L11" t="s">
        <v>53</v>
      </c>
      <c r="M11" t="s">
        <v>54</v>
      </c>
      <c r="N11" t="s">
        <v>54</v>
      </c>
      <c r="O11" t="s">
        <v>54</v>
      </c>
    </row>
    <row r="12" spans="1:15" x14ac:dyDescent="0.3">
      <c r="A12">
        <v>11</v>
      </c>
      <c r="B12" s="1">
        <v>46105</v>
      </c>
      <c r="C12" s="1">
        <v>46054</v>
      </c>
      <c r="D12" t="s">
        <v>40</v>
      </c>
      <c r="E12">
        <v>1</v>
      </c>
      <c r="F12">
        <v>101267</v>
      </c>
      <c r="G12">
        <v>2.67</v>
      </c>
      <c r="H12">
        <v>270383</v>
      </c>
      <c r="I12">
        <v>270</v>
      </c>
      <c r="J12">
        <v>270112</v>
      </c>
      <c r="K12" s="1">
        <v>46120</v>
      </c>
      <c r="L12" t="s">
        <v>53</v>
      </c>
      <c r="M12" t="s">
        <v>54</v>
      </c>
      <c r="N12" t="s">
        <v>54</v>
      </c>
      <c r="O12" t="s">
        <v>54</v>
      </c>
    </row>
    <row r="13" spans="1:15" x14ac:dyDescent="0.3">
      <c r="A13">
        <v>12</v>
      </c>
      <c r="B13" s="1">
        <v>46105</v>
      </c>
      <c r="C13" s="1">
        <v>46082</v>
      </c>
      <c r="D13" t="s">
        <v>40</v>
      </c>
      <c r="E13">
        <v>1</v>
      </c>
      <c r="F13">
        <v>95418</v>
      </c>
      <c r="G13">
        <v>2.67</v>
      </c>
      <c r="H13">
        <v>254765</v>
      </c>
      <c r="I13">
        <v>255</v>
      </c>
      <c r="J13">
        <v>254510</v>
      </c>
      <c r="K13" s="1">
        <v>46120</v>
      </c>
      <c r="L13" t="s">
        <v>53</v>
      </c>
      <c r="M13" t="s">
        <v>54</v>
      </c>
      <c r="N13" t="s">
        <v>54</v>
      </c>
      <c r="O13" t="s">
        <v>54</v>
      </c>
    </row>
    <row r="14" spans="1:15" x14ac:dyDescent="0.3">
      <c r="A14">
        <v>1</v>
      </c>
      <c r="B14" s="1">
        <v>45782</v>
      </c>
      <c r="C14" s="1">
        <v>45748</v>
      </c>
      <c r="D14" t="s">
        <v>40</v>
      </c>
      <c r="E14">
        <v>2</v>
      </c>
      <c r="F14">
        <v>59664</v>
      </c>
      <c r="G14">
        <v>4</v>
      </c>
      <c r="H14">
        <v>238656</v>
      </c>
      <c r="I14">
        <v>239</v>
      </c>
      <c r="J14">
        <v>238417</v>
      </c>
      <c r="K14" s="1">
        <v>45797</v>
      </c>
      <c r="L14" t="s">
        <v>53</v>
      </c>
      <c r="M14" t="s">
        <v>54</v>
      </c>
      <c r="N14" t="s">
        <v>54</v>
      </c>
      <c r="O14" t="s">
        <v>54</v>
      </c>
    </row>
    <row r="15" spans="1:15" x14ac:dyDescent="0.3">
      <c r="A15">
        <v>2</v>
      </c>
      <c r="B15" s="1">
        <v>45805</v>
      </c>
      <c r="C15" s="1">
        <v>45778</v>
      </c>
      <c r="D15" t="s">
        <v>40</v>
      </c>
      <c r="E15">
        <v>2</v>
      </c>
      <c r="F15">
        <v>142434</v>
      </c>
      <c r="G15">
        <v>4</v>
      </c>
      <c r="H15">
        <v>569736</v>
      </c>
      <c r="I15">
        <v>570</v>
      </c>
      <c r="J15">
        <v>569166</v>
      </c>
      <c r="K15" s="1">
        <v>45820</v>
      </c>
      <c r="L15" t="s">
        <v>53</v>
      </c>
      <c r="M15" t="s">
        <v>54</v>
      </c>
      <c r="N15" t="s">
        <v>54</v>
      </c>
      <c r="O15" t="s">
        <v>54</v>
      </c>
    </row>
    <row r="16" spans="1:15" x14ac:dyDescent="0.3">
      <c r="A16">
        <v>3</v>
      </c>
      <c r="B16" s="1">
        <v>45834</v>
      </c>
      <c r="C16" s="1">
        <v>45809</v>
      </c>
      <c r="D16" t="s">
        <v>40</v>
      </c>
      <c r="E16">
        <v>2</v>
      </c>
      <c r="F16">
        <v>209574</v>
      </c>
      <c r="G16">
        <v>4</v>
      </c>
      <c r="H16">
        <v>838296</v>
      </c>
      <c r="I16">
        <v>838</v>
      </c>
      <c r="J16">
        <v>837458</v>
      </c>
      <c r="K16" s="1">
        <v>45849</v>
      </c>
      <c r="L16" t="s">
        <v>53</v>
      </c>
      <c r="M16" t="s">
        <v>54</v>
      </c>
      <c r="N16" t="s">
        <v>54</v>
      </c>
      <c r="O16" t="s">
        <v>54</v>
      </c>
    </row>
    <row r="17" spans="1:15" x14ac:dyDescent="0.3">
      <c r="A17">
        <v>4</v>
      </c>
      <c r="B17" s="1">
        <v>45854</v>
      </c>
      <c r="C17" s="1">
        <v>45839</v>
      </c>
      <c r="D17" t="s">
        <v>40</v>
      </c>
      <c r="E17">
        <v>2</v>
      </c>
      <c r="F17">
        <v>247152</v>
      </c>
      <c r="G17">
        <v>4</v>
      </c>
      <c r="H17">
        <v>988608</v>
      </c>
      <c r="I17">
        <v>989</v>
      </c>
      <c r="J17">
        <v>987619</v>
      </c>
      <c r="K17" s="1">
        <v>45869</v>
      </c>
      <c r="L17" t="s">
        <v>53</v>
      </c>
      <c r="M17" t="s">
        <v>54</v>
      </c>
      <c r="N17" t="s">
        <v>54</v>
      </c>
      <c r="O17" t="s">
        <v>54</v>
      </c>
    </row>
    <row r="18" spans="1:15" x14ac:dyDescent="0.3">
      <c r="A18">
        <v>5</v>
      </c>
      <c r="B18" s="1">
        <v>45887</v>
      </c>
      <c r="C18" s="1">
        <v>45870</v>
      </c>
      <c r="D18" t="s">
        <v>40</v>
      </c>
      <c r="E18">
        <v>2</v>
      </c>
      <c r="F18">
        <v>170958</v>
      </c>
      <c r="G18">
        <v>4</v>
      </c>
      <c r="H18">
        <v>683832</v>
      </c>
      <c r="I18">
        <v>684</v>
      </c>
      <c r="J18">
        <v>683148</v>
      </c>
      <c r="K18" s="1">
        <v>45902</v>
      </c>
      <c r="L18" t="s">
        <v>55</v>
      </c>
      <c r="M18" t="s">
        <v>54</v>
      </c>
      <c r="N18" t="s">
        <v>54</v>
      </c>
      <c r="O18" t="s">
        <v>54</v>
      </c>
    </row>
    <row r="19" spans="1:15" x14ac:dyDescent="0.3">
      <c r="A19">
        <v>6</v>
      </c>
      <c r="B19" s="1">
        <v>45912</v>
      </c>
      <c r="C19" s="1">
        <v>45901</v>
      </c>
      <c r="D19" t="s">
        <v>40</v>
      </c>
      <c r="E19">
        <v>2</v>
      </c>
      <c r="F19">
        <v>151764</v>
      </c>
      <c r="G19">
        <v>4</v>
      </c>
      <c r="H19">
        <v>607056</v>
      </c>
      <c r="I19">
        <v>607</v>
      </c>
      <c r="J19">
        <v>606449</v>
      </c>
      <c r="K19" s="1">
        <v>45927</v>
      </c>
      <c r="L19" t="s">
        <v>53</v>
      </c>
      <c r="M19" t="s">
        <v>54</v>
      </c>
      <c r="N19" t="s">
        <v>54</v>
      </c>
      <c r="O19" t="s">
        <v>54</v>
      </c>
    </row>
    <row r="20" spans="1:15" x14ac:dyDescent="0.3">
      <c r="A20">
        <v>7</v>
      </c>
      <c r="B20" s="1">
        <v>45946</v>
      </c>
      <c r="C20" s="1">
        <v>45931</v>
      </c>
      <c r="D20" t="s">
        <v>40</v>
      </c>
      <c r="E20">
        <v>2</v>
      </c>
      <c r="F20">
        <v>64434</v>
      </c>
      <c r="G20">
        <v>4</v>
      </c>
      <c r="H20">
        <v>257736</v>
      </c>
      <c r="I20">
        <v>258</v>
      </c>
      <c r="J20">
        <v>257478</v>
      </c>
      <c r="K20" s="1">
        <v>45961</v>
      </c>
      <c r="L20" t="s">
        <v>53</v>
      </c>
      <c r="M20" t="s">
        <v>54</v>
      </c>
      <c r="N20" t="s">
        <v>54</v>
      </c>
      <c r="O20" t="s">
        <v>54</v>
      </c>
    </row>
    <row r="21" spans="1:15" x14ac:dyDescent="0.3">
      <c r="A21">
        <v>8</v>
      </c>
      <c r="B21" s="1">
        <v>45992</v>
      </c>
      <c r="C21" s="1">
        <v>45962</v>
      </c>
      <c r="D21" t="s">
        <v>40</v>
      </c>
      <c r="E21">
        <v>2</v>
      </c>
      <c r="F21">
        <v>36330</v>
      </c>
      <c r="G21">
        <v>4</v>
      </c>
      <c r="H21">
        <v>145320</v>
      </c>
      <c r="I21">
        <v>145</v>
      </c>
      <c r="J21">
        <v>145175</v>
      </c>
      <c r="K21" s="1">
        <v>46007</v>
      </c>
      <c r="L21" t="s">
        <v>55</v>
      </c>
      <c r="M21" t="s">
        <v>54</v>
      </c>
      <c r="N21" t="s">
        <v>54</v>
      </c>
      <c r="O21" t="s">
        <v>54</v>
      </c>
    </row>
    <row r="22" spans="1:15" x14ac:dyDescent="0.3">
      <c r="A22">
        <v>9</v>
      </c>
      <c r="B22" s="1">
        <v>46003</v>
      </c>
      <c r="C22" s="1">
        <v>45992</v>
      </c>
      <c r="D22" t="s">
        <v>40</v>
      </c>
      <c r="E22">
        <v>2</v>
      </c>
      <c r="F22">
        <v>26292</v>
      </c>
      <c r="G22">
        <v>4</v>
      </c>
      <c r="H22">
        <v>105168</v>
      </c>
      <c r="I22">
        <v>105</v>
      </c>
      <c r="J22">
        <v>105063</v>
      </c>
      <c r="K22" s="1">
        <v>46018</v>
      </c>
      <c r="L22" t="s">
        <v>55</v>
      </c>
      <c r="M22" t="s">
        <v>54</v>
      </c>
      <c r="N22" t="s">
        <v>54</v>
      </c>
      <c r="O22" t="s">
        <v>54</v>
      </c>
    </row>
    <row r="23" spans="1:15" x14ac:dyDescent="0.3">
      <c r="A23">
        <v>10</v>
      </c>
      <c r="B23" s="1">
        <v>46029</v>
      </c>
      <c r="C23" s="1">
        <v>46023</v>
      </c>
      <c r="D23" t="s">
        <v>40</v>
      </c>
      <c r="E23">
        <v>2</v>
      </c>
      <c r="F23">
        <v>28206</v>
      </c>
      <c r="G23">
        <v>4</v>
      </c>
      <c r="H23">
        <v>112824</v>
      </c>
      <c r="I23">
        <v>113</v>
      </c>
      <c r="J23">
        <v>112711</v>
      </c>
      <c r="K23" s="1">
        <v>46044</v>
      </c>
      <c r="L23" t="s">
        <v>53</v>
      </c>
      <c r="M23" t="s">
        <v>54</v>
      </c>
      <c r="N23" t="s">
        <v>54</v>
      </c>
      <c r="O23" t="s">
        <v>54</v>
      </c>
    </row>
    <row r="24" spans="1:15" x14ac:dyDescent="0.3">
      <c r="A24">
        <v>11</v>
      </c>
      <c r="B24" s="1">
        <v>46074</v>
      </c>
      <c r="C24" s="1">
        <v>46054</v>
      </c>
      <c r="D24" t="s">
        <v>40</v>
      </c>
      <c r="E24">
        <v>2</v>
      </c>
      <c r="F24">
        <v>24264</v>
      </c>
      <c r="G24">
        <v>4</v>
      </c>
      <c r="H24">
        <v>97056</v>
      </c>
      <c r="I24">
        <v>97</v>
      </c>
      <c r="J24">
        <v>96959</v>
      </c>
      <c r="K24" s="1">
        <v>46089</v>
      </c>
      <c r="L24" t="s">
        <v>53</v>
      </c>
      <c r="M24" t="s">
        <v>54</v>
      </c>
      <c r="N24" t="s">
        <v>54</v>
      </c>
      <c r="O24" t="s">
        <v>54</v>
      </c>
    </row>
    <row r="25" spans="1:15" x14ac:dyDescent="0.3">
      <c r="A25">
        <v>12</v>
      </c>
      <c r="B25" s="1">
        <v>46112</v>
      </c>
      <c r="C25" s="1">
        <v>46082</v>
      </c>
      <c r="D25" t="s">
        <v>40</v>
      </c>
      <c r="E25">
        <v>2</v>
      </c>
      <c r="F25">
        <v>36072</v>
      </c>
      <c r="G25">
        <v>4</v>
      </c>
      <c r="H25">
        <v>144288</v>
      </c>
      <c r="I25">
        <v>144</v>
      </c>
      <c r="J25">
        <v>144144</v>
      </c>
      <c r="K25" s="1">
        <v>46127</v>
      </c>
      <c r="L25" t="s">
        <v>53</v>
      </c>
      <c r="M25" t="s">
        <v>54</v>
      </c>
      <c r="N25" t="s">
        <v>54</v>
      </c>
      <c r="O25" t="s">
        <v>54</v>
      </c>
    </row>
    <row r="26" spans="1:15" x14ac:dyDescent="0.3">
      <c r="A26">
        <v>1</v>
      </c>
      <c r="B26" s="1">
        <v>45782</v>
      </c>
      <c r="C26" s="1">
        <v>45748</v>
      </c>
      <c r="D26" t="s">
        <v>40</v>
      </c>
      <c r="E26">
        <v>3</v>
      </c>
      <c r="F26">
        <v>261840</v>
      </c>
      <c r="G26">
        <v>3.9</v>
      </c>
      <c r="H26">
        <v>1021176</v>
      </c>
      <c r="I26">
        <v>1021</v>
      </c>
      <c r="J26">
        <v>1020155</v>
      </c>
      <c r="K26" s="1">
        <v>45797</v>
      </c>
      <c r="L26" t="s">
        <v>53</v>
      </c>
      <c r="M26" t="s">
        <v>54</v>
      </c>
      <c r="N26" t="s">
        <v>54</v>
      </c>
      <c r="O26" t="s">
        <v>54</v>
      </c>
    </row>
    <row r="27" spans="1:15" x14ac:dyDescent="0.3">
      <c r="A27">
        <v>2</v>
      </c>
      <c r="B27" s="1">
        <v>45805</v>
      </c>
      <c r="C27" s="1">
        <v>45778</v>
      </c>
      <c r="D27" t="s">
        <v>40</v>
      </c>
      <c r="E27">
        <v>3</v>
      </c>
      <c r="F27">
        <v>579600</v>
      </c>
      <c r="G27">
        <v>3.9</v>
      </c>
      <c r="H27">
        <v>2260440</v>
      </c>
      <c r="I27">
        <v>2260</v>
      </c>
      <c r="J27">
        <v>2258180</v>
      </c>
      <c r="K27" s="1">
        <v>45820</v>
      </c>
      <c r="L27" t="s">
        <v>53</v>
      </c>
      <c r="M27" t="s">
        <v>54</v>
      </c>
      <c r="N27" t="s">
        <v>54</v>
      </c>
      <c r="O27" t="s">
        <v>54</v>
      </c>
    </row>
    <row r="28" spans="1:15" x14ac:dyDescent="0.3">
      <c r="A28">
        <v>3</v>
      </c>
      <c r="B28" s="1">
        <v>45834</v>
      </c>
      <c r="C28" s="1">
        <v>45809</v>
      </c>
      <c r="D28" t="s">
        <v>40</v>
      </c>
      <c r="E28">
        <v>3</v>
      </c>
      <c r="F28">
        <v>887940</v>
      </c>
      <c r="G28">
        <v>3.9</v>
      </c>
      <c r="H28">
        <v>3462966</v>
      </c>
      <c r="I28">
        <v>3463</v>
      </c>
      <c r="J28">
        <v>3459503</v>
      </c>
      <c r="K28" s="1">
        <v>45849</v>
      </c>
      <c r="L28" t="s">
        <v>53</v>
      </c>
      <c r="M28" t="s">
        <v>54</v>
      </c>
      <c r="N28" t="s">
        <v>54</v>
      </c>
      <c r="O28" t="s">
        <v>54</v>
      </c>
    </row>
    <row r="29" spans="1:15" x14ac:dyDescent="0.3">
      <c r="A29">
        <v>4</v>
      </c>
      <c r="B29" s="1">
        <v>45854</v>
      </c>
      <c r="C29" s="1">
        <v>45839</v>
      </c>
      <c r="D29" t="s">
        <v>40</v>
      </c>
      <c r="E29">
        <v>3</v>
      </c>
      <c r="F29">
        <v>1208880</v>
      </c>
      <c r="G29">
        <v>3.9</v>
      </c>
      <c r="H29">
        <v>4714632</v>
      </c>
      <c r="I29">
        <v>4715</v>
      </c>
      <c r="J29">
        <v>4709917</v>
      </c>
      <c r="K29" s="1">
        <v>45869</v>
      </c>
      <c r="L29" t="s">
        <v>53</v>
      </c>
      <c r="M29" t="s">
        <v>54</v>
      </c>
      <c r="N29" t="s">
        <v>54</v>
      </c>
      <c r="O29" t="s">
        <v>54</v>
      </c>
    </row>
    <row r="30" spans="1:15" x14ac:dyDescent="0.3">
      <c r="A30">
        <v>5</v>
      </c>
      <c r="B30" s="1">
        <v>45887</v>
      </c>
      <c r="C30" s="1">
        <v>45870</v>
      </c>
      <c r="D30" t="s">
        <v>40</v>
      </c>
      <c r="E30">
        <v>3</v>
      </c>
      <c r="F30">
        <v>834270</v>
      </c>
      <c r="G30">
        <v>3.9</v>
      </c>
      <c r="H30">
        <v>3253653</v>
      </c>
      <c r="I30">
        <v>3254</v>
      </c>
      <c r="J30">
        <v>3250399</v>
      </c>
      <c r="K30" s="1">
        <v>45902</v>
      </c>
      <c r="L30" t="s">
        <v>55</v>
      </c>
      <c r="M30" t="s">
        <v>54</v>
      </c>
      <c r="N30" t="s">
        <v>54</v>
      </c>
      <c r="O30" t="s">
        <v>54</v>
      </c>
    </row>
    <row r="31" spans="1:15" x14ac:dyDescent="0.3">
      <c r="A31">
        <v>6</v>
      </c>
      <c r="B31" s="1">
        <v>45912</v>
      </c>
      <c r="C31" s="1">
        <v>45901</v>
      </c>
      <c r="D31" t="s">
        <v>40</v>
      </c>
      <c r="E31">
        <v>3</v>
      </c>
      <c r="F31">
        <v>597360</v>
      </c>
      <c r="G31">
        <v>3.9</v>
      </c>
      <c r="H31">
        <v>2329704</v>
      </c>
      <c r="I31">
        <v>2330</v>
      </c>
      <c r="J31">
        <v>2327374</v>
      </c>
      <c r="K31" s="1">
        <v>45927</v>
      </c>
      <c r="L31" t="s">
        <v>53</v>
      </c>
      <c r="M31" t="s">
        <v>54</v>
      </c>
      <c r="N31" t="s">
        <v>54</v>
      </c>
      <c r="O31" t="s">
        <v>54</v>
      </c>
    </row>
    <row r="32" spans="1:15" x14ac:dyDescent="0.3">
      <c r="A32">
        <v>7</v>
      </c>
      <c r="B32" s="1">
        <v>45946</v>
      </c>
      <c r="C32" s="1">
        <v>45931</v>
      </c>
      <c r="D32" t="s">
        <v>40</v>
      </c>
      <c r="E32">
        <v>3</v>
      </c>
      <c r="F32">
        <v>237390</v>
      </c>
      <c r="G32">
        <v>3.9</v>
      </c>
      <c r="H32">
        <v>925821</v>
      </c>
      <c r="I32">
        <v>926</v>
      </c>
      <c r="J32">
        <v>924895</v>
      </c>
      <c r="K32" s="1">
        <v>45961</v>
      </c>
      <c r="L32" t="s">
        <v>53</v>
      </c>
      <c r="M32" t="s">
        <v>54</v>
      </c>
      <c r="N32" t="s">
        <v>54</v>
      </c>
      <c r="O32" t="s">
        <v>54</v>
      </c>
    </row>
    <row r="33" spans="1:15" x14ac:dyDescent="0.3">
      <c r="A33">
        <v>8</v>
      </c>
      <c r="B33" s="1">
        <v>45992</v>
      </c>
      <c r="C33" s="1">
        <v>45962</v>
      </c>
      <c r="D33" t="s">
        <v>40</v>
      </c>
      <c r="E33">
        <v>3</v>
      </c>
      <c r="F33">
        <v>150810</v>
      </c>
      <c r="G33">
        <v>3.9</v>
      </c>
      <c r="H33">
        <v>588159</v>
      </c>
      <c r="I33">
        <v>588</v>
      </c>
      <c r="J33">
        <v>587571</v>
      </c>
      <c r="K33" s="1">
        <v>46007</v>
      </c>
      <c r="L33" t="s">
        <v>55</v>
      </c>
      <c r="M33" t="s">
        <v>54</v>
      </c>
      <c r="N33" t="s">
        <v>54</v>
      </c>
      <c r="O33" t="s">
        <v>54</v>
      </c>
    </row>
    <row r="34" spans="1:15" x14ac:dyDescent="0.3">
      <c r="A34">
        <v>9</v>
      </c>
      <c r="B34" s="1">
        <v>46003</v>
      </c>
      <c r="C34" s="1">
        <v>45992</v>
      </c>
      <c r="D34" t="s">
        <v>40</v>
      </c>
      <c r="E34">
        <v>3</v>
      </c>
      <c r="F34">
        <v>175080</v>
      </c>
      <c r="G34">
        <v>3.9</v>
      </c>
      <c r="H34">
        <v>682812</v>
      </c>
      <c r="I34">
        <v>683</v>
      </c>
      <c r="J34">
        <v>682129</v>
      </c>
      <c r="K34" s="1">
        <v>46018</v>
      </c>
      <c r="L34" t="s">
        <v>55</v>
      </c>
      <c r="M34" t="s">
        <v>54</v>
      </c>
      <c r="N34" t="s">
        <v>54</v>
      </c>
      <c r="O34" t="s">
        <v>54</v>
      </c>
    </row>
    <row r="35" spans="1:15" x14ac:dyDescent="0.3">
      <c r="A35">
        <v>10</v>
      </c>
      <c r="B35" s="1">
        <v>46029</v>
      </c>
      <c r="C35" s="1">
        <v>46023</v>
      </c>
      <c r="D35" t="s">
        <v>40</v>
      </c>
      <c r="E35">
        <v>3</v>
      </c>
      <c r="F35">
        <v>200040</v>
      </c>
      <c r="G35">
        <v>3.9</v>
      </c>
      <c r="H35">
        <v>780156</v>
      </c>
      <c r="I35">
        <v>780</v>
      </c>
      <c r="J35">
        <v>779376</v>
      </c>
      <c r="K35" s="1">
        <v>46044</v>
      </c>
      <c r="L35" t="s">
        <v>55</v>
      </c>
      <c r="M35" t="s">
        <v>54</v>
      </c>
      <c r="N35" t="s">
        <v>54</v>
      </c>
      <c r="O35" t="s">
        <v>54</v>
      </c>
    </row>
    <row r="36" spans="1:15" x14ac:dyDescent="0.3">
      <c r="A36">
        <v>11</v>
      </c>
      <c r="B36" s="1">
        <v>46074</v>
      </c>
      <c r="C36" s="1">
        <v>46054</v>
      </c>
      <c r="D36" t="s">
        <v>40</v>
      </c>
      <c r="E36">
        <v>3</v>
      </c>
      <c r="F36">
        <v>155580</v>
      </c>
      <c r="G36">
        <v>3.9</v>
      </c>
      <c r="H36">
        <v>606762</v>
      </c>
      <c r="I36">
        <v>607</v>
      </c>
      <c r="J36">
        <v>606155</v>
      </c>
      <c r="K36" s="1">
        <v>46089</v>
      </c>
      <c r="L36" t="s">
        <v>55</v>
      </c>
      <c r="M36" t="s">
        <v>54</v>
      </c>
      <c r="N36" t="s">
        <v>54</v>
      </c>
      <c r="O36" t="s">
        <v>54</v>
      </c>
    </row>
    <row r="37" spans="1:15" x14ac:dyDescent="0.3">
      <c r="A37">
        <v>12</v>
      </c>
      <c r="B37" s="1">
        <v>46112</v>
      </c>
      <c r="C37" s="1">
        <v>46082</v>
      </c>
      <c r="D37" t="s">
        <v>40</v>
      </c>
      <c r="E37">
        <v>3</v>
      </c>
      <c r="F37">
        <v>160590</v>
      </c>
      <c r="G37">
        <v>3.9</v>
      </c>
      <c r="H37">
        <v>626301</v>
      </c>
      <c r="I37">
        <v>626</v>
      </c>
      <c r="J37">
        <v>625675</v>
      </c>
      <c r="K37" s="1">
        <v>46127</v>
      </c>
      <c r="L37" t="s">
        <v>53</v>
      </c>
      <c r="M37" t="s">
        <v>54</v>
      </c>
      <c r="N37" t="s">
        <v>54</v>
      </c>
      <c r="O37" t="s">
        <v>54</v>
      </c>
    </row>
    <row r="38" spans="1:15" x14ac:dyDescent="0.3">
      <c r="A38">
        <v>1</v>
      </c>
      <c r="B38" s="1">
        <v>45754</v>
      </c>
      <c r="C38" s="1">
        <v>45748</v>
      </c>
      <c r="D38" t="s">
        <v>40</v>
      </c>
      <c r="E38">
        <v>4</v>
      </c>
      <c r="F38">
        <v>261840</v>
      </c>
      <c r="G38">
        <v>2.7</v>
      </c>
      <c r="H38">
        <v>706968</v>
      </c>
      <c r="I38">
        <v>707</v>
      </c>
      <c r="J38">
        <v>706261</v>
      </c>
      <c r="K38" s="1">
        <v>45814</v>
      </c>
      <c r="L38" t="s">
        <v>53</v>
      </c>
      <c r="M38" t="s">
        <v>54</v>
      </c>
      <c r="N38" t="s">
        <v>54</v>
      </c>
      <c r="O38" t="s">
        <v>54</v>
      </c>
    </row>
    <row r="39" spans="1:15" x14ac:dyDescent="0.3">
      <c r="A39">
        <v>2</v>
      </c>
      <c r="B39" s="1">
        <v>45817</v>
      </c>
      <c r="C39" s="1">
        <v>45778</v>
      </c>
      <c r="D39" t="s">
        <v>40</v>
      </c>
      <c r="E39">
        <v>4</v>
      </c>
      <c r="F39">
        <v>579600</v>
      </c>
      <c r="G39">
        <v>2.7</v>
      </c>
      <c r="H39">
        <v>1564920</v>
      </c>
      <c r="I39">
        <v>1565</v>
      </c>
      <c r="J39">
        <v>1563355</v>
      </c>
      <c r="K39" s="1">
        <v>45877</v>
      </c>
      <c r="L39" t="s">
        <v>53</v>
      </c>
      <c r="M39" t="s">
        <v>54</v>
      </c>
      <c r="N39" t="s">
        <v>54</v>
      </c>
      <c r="O39" t="s">
        <v>54</v>
      </c>
    </row>
    <row r="40" spans="1:15" x14ac:dyDescent="0.3">
      <c r="A40">
        <v>3</v>
      </c>
      <c r="B40" s="1">
        <v>45817</v>
      </c>
      <c r="C40" s="1">
        <v>45809</v>
      </c>
      <c r="D40" t="s">
        <v>40</v>
      </c>
      <c r="E40">
        <v>4</v>
      </c>
      <c r="F40">
        <v>887940</v>
      </c>
      <c r="G40">
        <v>2.7</v>
      </c>
      <c r="H40">
        <v>2397438</v>
      </c>
      <c r="I40">
        <v>2397</v>
      </c>
      <c r="J40">
        <v>2395041</v>
      </c>
      <c r="K40" s="1">
        <v>45877</v>
      </c>
      <c r="L40" t="s">
        <v>53</v>
      </c>
      <c r="M40" t="s">
        <v>54</v>
      </c>
      <c r="N40" t="s">
        <v>54</v>
      </c>
      <c r="O40" t="s">
        <v>54</v>
      </c>
    </row>
    <row r="41" spans="1:15" x14ac:dyDescent="0.3">
      <c r="A41">
        <v>4</v>
      </c>
      <c r="B41" s="1">
        <v>45852</v>
      </c>
      <c r="C41" s="1">
        <v>45839</v>
      </c>
      <c r="D41" t="s">
        <v>40</v>
      </c>
      <c r="E41">
        <v>4</v>
      </c>
      <c r="F41">
        <v>1208880</v>
      </c>
      <c r="G41">
        <v>2.7</v>
      </c>
      <c r="H41">
        <v>3263976</v>
      </c>
      <c r="I41">
        <v>3264</v>
      </c>
      <c r="J41">
        <v>3260712</v>
      </c>
      <c r="K41" s="1">
        <v>45912</v>
      </c>
      <c r="L41" t="s">
        <v>53</v>
      </c>
      <c r="M41" t="s">
        <v>54</v>
      </c>
      <c r="N41" t="s">
        <v>54</v>
      </c>
      <c r="O41" t="s">
        <v>54</v>
      </c>
    </row>
    <row r="42" spans="1:15" x14ac:dyDescent="0.3">
      <c r="A42">
        <v>5</v>
      </c>
      <c r="B42" s="1">
        <v>45883</v>
      </c>
      <c r="C42" s="1">
        <v>45870</v>
      </c>
      <c r="D42" t="s">
        <v>40</v>
      </c>
      <c r="E42">
        <v>4</v>
      </c>
      <c r="F42">
        <v>834270</v>
      </c>
      <c r="G42">
        <v>2.7</v>
      </c>
      <c r="H42">
        <v>2252529</v>
      </c>
      <c r="I42">
        <v>2253</v>
      </c>
      <c r="J42">
        <v>2250276</v>
      </c>
      <c r="K42" s="1">
        <v>45943</v>
      </c>
      <c r="L42" t="s">
        <v>53</v>
      </c>
      <c r="M42" t="s">
        <v>54</v>
      </c>
      <c r="N42" t="s">
        <v>54</v>
      </c>
      <c r="O42" t="s">
        <v>54</v>
      </c>
    </row>
    <row r="43" spans="1:15" x14ac:dyDescent="0.3">
      <c r="A43">
        <v>6</v>
      </c>
      <c r="B43" s="1">
        <v>45908</v>
      </c>
      <c r="C43" s="1">
        <v>45901</v>
      </c>
      <c r="D43" t="s">
        <v>40</v>
      </c>
      <c r="E43">
        <v>4</v>
      </c>
      <c r="F43">
        <v>597360</v>
      </c>
      <c r="G43">
        <v>2.7</v>
      </c>
      <c r="H43">
        <v>1612872</v>
      </c>
      <c r="I43">
        <v>1613</v>
      </c>
      <c r="J43">
        <v>1611259</v>
      </c>
      <c r="K43" s="1">
        <v>45968</v>
      </c>
      <c r="L43" t="s">
        <v>53</v>
      </c>
      <c r="M43" t="s">
        <v>54</v>
      </c>
      <c r="N43" t="s">
        <v>54</v>
      </c>
      <c r="O43" t="s">
        <v>54</v>
      </c>
    </row>
    <row r="44" spans="1:15" x14ac:dyDescent="0.3">
      <c r="A44">
        <v>7</v>
      </c>
      <c r="B44" s="1">
        <v>45938</v>
      </c>
      <c r="C44" s="1">
        <v>45931</v>
      </c>
      <c r="D44" t="s">
        <v>40</v>
      </c>
      <c r="E44">
        <v>4</v>
      </c>
      <c r="F44">
        <v>237390</v>
      </c>
      <c r="G44">
        <v>2.7</v>
      </c>
      <c r="H44">
        <v>640953</v>
      </c>
      <c r="I44">
        <v>641</v>
      </c>
      <c r="J44">
        <v>640312</v>
      </c>
      <c r="K44" s="1">
        <v>45998</v>
      </c>
      <c r="L44" t="s">
        <v>53</v>
      </c>
      <c r="M44" t="s">
        <v>54</v>
      </c>
      <c r="N44" t="s">
        <v>54</v>
      </c>
      <c r="O44" t="s">
        <v>54</v>
      </c>
    </row>
    <row r="45" spans="1:15" x14ac:dyDescent="0.3">
      <c r="A45">
        <v>8</v>
      </c>
      <c r="B45" s="1">
        <v>45973</v>
      </c>
      <c r="C45" s="1">
        <v>45962</v>
      </c>
      <c r="D45" t="s">
        <v>40</v>
      </c>
      <c r="E45">
        <v>4</v>
      </c>
      <c r="F45">
        <v>150810</v>
      </c>
      <c r="G45">
        <v>2.7</v>
      </c>
      <c r="H45">
        <v>407187</v>
      </c>
      <c r="I45">
        <v>407</v>
      </c>
      <c r="J45">
        <v>406780</v>
      </c>
      <c r="K45" s="1">
        <v>46033</v>
      </c>
      <c r="L45" t="s">
        <v>53</v>
      </c>
      <c r="M45" t="s">
        <v>54</v>
      </c>
      <c r="N45" t="s">
        <v>54</v>
      </c>
      <c r="O45" t="s">
        <v>54</v>
      </c>
    </row>
    <row r="46" spans="1:15" x14ac:dyDescent="0.3">
      <c r="A46">
        <v>9</v>
      </c>
      <c r="B46" s="1">
        <v>46003</v>
      </c>
      <c r="C46" s="1">
        <v>45992</v>
      </c>
      <c r="D46" t="s">
        <v>40</v>
      </c>
      <c r="E46">
        <v>4</v>
      </c>
      <c r="F46">
        <v>175080</v>
      </c>
      <c r="G46">
        <v>2.7</v>
      </c>
      <c r="H46">
        <v>472716</v>
      </c>
      <c r="I46">
        <v>473</v>
      </c>
      <c r="J46">
        <v>472243</v>
      </c>
      <c r="K46" s="1">
        <v>46063</v>
      </c>
      <c r="L46" t="s">
        <v>53</v>
      </c>
      <c r="M46" t="s">
        <v>54</v>
      </c>
      <c r="N46" t="s">
        <v>54</v>
      </c>
      <c r="O46" t="s">
        <v>54</v>
      </c>
    </row>
    <row r="47" spans="1:15" x14ac:dyDescent="0.3">
      <c r="A47">
        <v>10</v>
      </c>
      <c r="B47" s="1">
        <v>46029</v>
      </c>
      <c r="C47" s="1">
        <v>46023</v>
      </c>
      <c r="D47" t="s">
        <v>40</v>
      </c>
      <c r="E47">
        <v>4</v>
      </c>
      <c r="F47">
        <v>200040</v>
      </c>
      <c r="G47">
        <v>2.7</v>
      </c>
      <c r="H47">
        <v>540108</v>
      </c>
      <c r="I47">
        <v>540</v>
      </c>
      <c r="J47">
        <v>539568</v>
      </c>
      <c r="K47" s="1">
        <v>46089</v>
      </c>
      <c r="L47" t="s">
        <v>53</v>
      </c>
      <c r="M47" t="s">
        <v>54</v>
      </c>
      <c r="N47" t="s">
        <v>54</v>
      </c>
      <c r="O47" t="s">
        <v>54</v>
      </c>
    </row>
    <row r="48" spans="1:15" x14ac:dyDescent="0.3">
      <c r="A48">
        <v>11</v>
      </c>
      <c r="B48" s="1">
        <v>46072</v>
      </c>
      <c r="C48" s="1">
        <v>46054</v>
      </c>
      <c r="D48" t="s">
        <v>40</v>
      </c>
      <c r="E48">
        <v>4</v>
      </c>
      <c r="F48">
        <v>155580</v>
      </c>
      <c r="G48">
        <v>2.7</v>
      </c>
      <c r="H48">
        <v>420066</v>
      </c>
      <c r="I48">
        <v>420</v>
      </c>
      <c r="J48">
        <v>419646</v>
      </c>
      <c r="K48" s="1">
        <v>46132</v>
      </c>
      <c r="L48" t="s">
        <v>53</v>
      </c>
      <c r="M48" t="s">
        <v>54</v>
      </c>
      <c r="N48" t="s">
        <v>54</v>
      </c>
      <c r="O48" t="s">
        <v>54</v>
      </c>
    </row>
    <row r="49" spans="1:15" x14ac:dyDescent="0.3">
      <c r="A49">
        <v>12</v>
      </c>
      <c r="B49" s="1">
        <v>46088</v>
      </c>
      <c r="C49" s="1">
        <v>46082</v>
      </c>
      <c r="D49" t="s">
        <v>40</v>
      </c>
      <c r="E49">
        <v>4</v>
      </c>
      <c r="F49">
        <v>160590</v>
      </c>
      <c r="G49">
        <v>2.7</v>
      </c>
      <c r="H49">
        <v>433593</v>
      </c>
      <c r="I49">
        <v>434</v>
      </c>
      <c r="J49">
        <v>433159</v>
      </c>
      <c r="K49" s="1">
        <v>46148</v>
      </c>
      <c r="L49" t="s">
        <v>53</v>
      </c>
      <c r="M49" t="s">
        <v>54</v>
      </c>
      <c r="N49" t="s">
        <v>54</v>
      </c>
      <c r="O49" t="s">
        <v>54</v>
      </c>
    </row>
    <row r="50" spans="1:15" x14ac:dyDescent="0.3">
      <c r="A50">
        <v>1</v>
      </c>
      <c r="B50" s="1">
        <v>45754</v>
      </c>
      <c r="C50" s="1">
        <v>45748</v>
      </c>
      <c r="D50" t="s">
        <v>40</v>
      </c>
      <c r="E50">
        <v>5</v>
      </c>
      <c r="F50">
        <v>110052</v>
      </c>
      <c r="G50">
        <v>2.89</v>
      </c>
      <c r="H50">
        <v>318050</v>
      </c>
      <c r="I50">
        <v>318</v>
      </c>
      <c r="J50">
        <v>317732</v>
      </c>
      <c r="K50" s="1">
        <v>45769</v>
      </c>
      <c r="L50" t="s">
        <v>53</v>
      </c>
      <c r="M50" t="s">
        <v>54</v>
      </c>
      <c r="N50" t="s">
        <v>54</v>
      </c>
      <c r="O50" t="s">
        <v>54</v>
      </c>
    </row>
    <row r="51" spans="1:15" x14ac:dyDescent="0.3">
      <c r="A51">
        <v>2</v>
      </c>
      <c r="B51" s="1">
        <v>45785</v>
      </c>
      <c r="C51" s="1">
        <v>45778</v>
      </c>
      <c r="D51" t="s">
        <v>40</v>
      </c>
      <c r="E51">
        <v>5</v>
      </c>
      <c r="F51">
        <v>224220</v>
      </c>
      <c r="G51">
        <v>2.89</v>
      </c>
      <c r="H51">
        <v>647996</v>
      </c>
      <c r="I51">
        <v>648</v>
      </c>
      <c r="J51">
        <v>647348</v>
      </c>
      <c r="K51" s="1">
        <v>45800</v>
      </c>
      <c r="L51" t="s">
        <v>53</v>
      </c>
      <c r="M51" t="s">
        <v>54</v>
      </c>
      <c r="N51" t="s">
        <v>54</v>
      </c>
      <c r="O51" t="s">
        <v>54</v>
      </c>
    </row>
    <row r="52" spans="1:15" x14ac:dyDescent="0.3">
      <c r="A52">
        <v>3</v>
      </c>
      <c r="B52" s="1">
        <v>45817</v>
      </c>
      <c r="C52" s="1">
        <v>45809</v>
      </c>
      <c r="D52" t="s">
        <v>40</v>
      </c>
      <c r="E52">
        <v>5</v>
      </c>
      <c r="F52">
        <v>309600</v>
      </c>
      <c r="G52">
        <v>2.89</v>
      </c>
      <c r="H52">
        <v>894744</v>
      </c>
      <c r="I52">
        <v>895</v>
      </c>
      <c r="J52">
        <v>893849</v>
      </c>
      <c r="K52" s="1">
        <v>45832</v>
      </c>
      <c r="L52" t="s">
        <v>53</v>
      </c>
      <c r="M52" t="s">
        <v>54</v>
      </c>
      <c r="N52" t="s">
        <v>54</v>
      </c>
      <c r="O52" t="s">
        <v>54</v>
      </c>
    </row>
    <row r="53" spans="1:15" x14ac:dyDescent="0.3">
      <c r="A53">
        <v>4</v>
      </c>
      <c r="B53" s="1">
        <v>46085</v>
      </c>
      <c r="C53" s="1">
        <v>45839</v>
      </c>
      <c r="D53" t="s">
        <v>40</v>
      </c>
      <c r="E53">
        <v>5</v>
      </c>
      <c r="F53">
        <v>484140</v>
      </c>
      <c r="G53">
        <v>2.89</v>
      </c>
      <c r="H53">
        <v>1399165</v>
      </c>
      <c r="I53">
        <v>1399</v>
      </c>
      <c r="J53">
        <v>1397765</v>
      </c>
      <c r="K53" s="1">
        <v>46100</v>
      </c>
      <c r="L53" t="s">
        <v>53</v>
      </c>
      <c r="M53" t="s">
        <v>54</v>
      </c>
      <c r="N53" t="s">
        <v>54</v>
      </c>
      <c r="O53" t="s">
        <v>54</v>
      </c>
    </row>
    <row r="54" spans="1:15" x14ac:dyDescent="0.3">
      <c r="A54">
        <v>5</v>
      </c>
      <c r="B54" s="1">
        <v>46085</v>
      </c>
      <c r="C54" s="1">
        <v>45870</v>
      </c>
      <c r="D54" t="s">
        <v>40</v>
      </c>
      <c r="E54">
        <v>5</v>
      </c>
      <c r="F54">
        <v>358464</v>
      </c>
      <c r="G54">
        <v>2.89</v>
      </c>
      <c r="H54">
        <v>1035961</v>
      </c>
      <c r="I54">
        <v>1036</v>
      </c>
      <c r="J54">
        <v>1034925</v>
      </c>
      <c r="K54" s="1">
        <v>46100</v>
      </c>
      <c r="L54" t="s">
        <v>55</v>
      </c>
      <c r="M54" t="s">
        <v>54</v>
      </c>
      <c r="N54" t="s">
        <v>54</v>
      </c>
      <c r="O54" t="s">
        <v>54</v>
      </c>
    </row>
    <row r="55" spans="1:15" x14ac:dyDescent="0.3">
      <c r="A55">
        <v>6</v>
      </c>
      <c r="B55" s="1">
        <v>46070</v>
      </c>
      <c r="C55" s="1">
        <v>45901</v>
      </c>
      <c r="D55" t="s">
        <v>40</v>
      </c>
      <c r="E55">
        <v>5</v>
      </c>
      <c r="F55">
        <v>304452</v>
      </c>
      <c r="G55">
        <v>2.89</v>
      </c>
      <c r="H55">
        <v>879866</v>
      </c>
      <c r="I55">
        <v>880</v>
      </c>
      <c r="J55">
        <v>878986</v>
      </c>
      <c r="K55" s="1">
        <v>46085</v>
      </c>
      <c r="L55" t="s">
        <v>53</v>
      </c>
      <c r="M55" t="s">
        <v>54</v>
      </c>
      <c r="N55" t="s">
        <v>54</v>
      </c>
      <c r="O55" t="s">
        <v>54</v>
      </c>
    </row>
    <row r="56" spans="1:15" x14ac:dyDescent="0.3">
      <c r="A56">
        <v>7</v>
      </c>
      <c r="B56" s="1">
        <v>46070</v>
      </c>
      <c r="C56" s="1">
        <v>45931</v>
      </c>
      <c r="D56" t="s">
        <v>40</v>
      </c>
      <c r="E56">
        <v>5</v>
      </c>
      <c r="F56">
        <v>130080</v>
      </c>
      <c r="G56">
        <v>2.89</v>
      </c>
      <c r="H56">
        <v>375931</v>
      </c>
      <c r="I56">
        <v>376</v>
      </c>
      <c r="J56">
        <v>375555</v>
      </c>
      <c r="K56" s="1">
        <v>46085</v>
      </c>
      <c r="L56" t="s">
        <v>53</v>
      </c>
      <c r="M56" t="s">
        <v>54</v>
      </c>
      <c r="N56" t="s">
        <v>54</v>
      </c>
      <c r="O56" t="s">
        <v>54</v>
      </c>
    </row>
    <row r="57" spans="1:15" x14ac:dyDescent="0.3">
      <c r="A57">
        <v>8</v>
      </c>
      <c r="B57" s="1">
        <v>46070</v>
      </c>
      <c r="C57" s="1">
        <v>45962</v>
      </c>
      <c r="D57" t="s">
        <v>40</v>
      </c>
      <c r="E57">
        <v>5</v>
      </c>
      <c r="F57">
        <v>109752</v>
      </c>
      <c r="G57">
        <v>2.89</v>
      </c>
      <c r="H57">
        <v>317183</v>
      </c>
      <c r="I57">
        <v>317</v>
      </c>
      <c r="J57">
        <v>316866</v>
      </c>
      <c r="K57" s="1">
        <v>46085</v>
      </c>
      <c r="L57" t="s">
        <v>55</v>
      </c>
      <c r="M57" t="s">
        <v>54</v>
      </c>
      <c r="N57" t="s">
        <v>54</v>
      </c>
      <c r="O57" t="s">
        <v>54</v>
      </c>
    </row>
    <row r="58" spans="1:15" x14ac:dyDescent="0.3">
      <c r="A58">
        <v>9</v>
      </c>
      <c r="B58" s="1">
        <v>46070</v>
      </c>
      <c r="C58" s="1">
        <v>45992</v>
      </c>
      <c r="D58" t="s">
        <v>40</v>
      </c>
      <c r="E58">
        <v>5</v>
      </c>
      <c r="F58">
        <v>119412</v>
      </c>
      <c r="G58">
        <v>2.89</v>
      </c>
      <c r="H58">
        <v>345101</v>
      </c>
      <c r="I58">
        <v>345</v>
      </c>
      <c r="J58">
        <v>344756</v>
      </c>
      <c r="K58" s="1">
        <v>46085</v>
      </c>
      <c r="L58" t="s">
        <v>55</v>
      </c>
      <c r="M58" t="s">
        <v>54</v>
      </c>
      <c r="N58" t="s">
        <v>54</v>
      </c>
      <c r="O58" t="s">
        <v>54</v>
      </c>
    </row>
    <row r="59" spans="1:15" x14ac:dyDescent="0.3">
      <c r="A59">
        <v>10</v>
      </c>
      <c r="B59" s="1">
        <v>46070</v>
      </c>
      <c r="C59" s="1">
        <v>46023</v>
      </c>
      <c r="D59" t="s">
        <v>40</v>
      </c>
      <c r="E59">
        <v>5</v>
      </c>
      <c r="F59">
        <v>137700</v>
      </c>
      <c r="G59">
        <v>2.89</v>
      </c>
      <c r="H59">
        <v>397953</v>
      </c>
      <c r="I59">
        <v>398</v>
      </c>
      <c r="J59">
        <v>397555</v>
      </c>
      <c r="K59" s="1">
        <v>46085</v>
      </c>
      <c r="L59" t="s">
        <v>53</v>
      </c>
      <c r="M59" t="s">
        <v>54</v>
      </c>
      <c r="N59" t="s">
        <v>54</v>
      </c>
      <c r="O59" t="s">
        <v>54</v>
      </c>
    </row>
    <row r="60" spans="1:15" x14ac:dyDescent="0.3">
      <c r="A60">
        <v>11</v>
      </c>
      <c r="B60" s="1">
        <v>46070</v>
      </c>
      <c r="C60" s="1">
        <v>46054</v>
      </c>
      <c r="D60" t="s">
        <v>40</v>
      </c>
      <c r="E60">
        <v>5</v>
      </c>
      <c r="F60">
        <v>89196</v>
      </c>
      <c r="G60">
        <v>2.89</v>
      </c>
      <c r="H60">
        <v>257776</v>
      </c>
      <c r="I60">
        <v>258</v>
      </c>
      <c r="J60">
        <v>257519</v>
      </c>
      <c r="K60" s="1">
        <v>46085</v>
      </c>
      <c r="L60" t="s">
        <v>53</v>
      </c>
      <c r="M60" t="s">
        <v>54</v>
      </c>
      <c r="N60" t="s">
        <v>54</v>
      </c>
      <c r="O60" t="s">
        <v>54</v>
      </c>
    </row>
    <row r="61" spans="1:15" x14ac:dyDescent="0.3">
      <c r="A61">
        <v>12</v>
      </c>
      <c r="B61" s="1">
        <v>46070</v>
      </c>
      <c r="C61" s="1">
        <v>46082</v>
      </c>
      <c r="D61" t="s">
        <v>40</v>
      </c>
      <c r="E61">
        <v>5</v>
      </c>
      <c r="F61">
        <v>79152</v>
      </c>
      <c r="G61">
        <v>2.89</v>
      </c>
      <c r="H61">
        <v>228749</v>
      </c>
      <c r="I61">
        <v>229</v>
      </c>
      <c r="J61">
        <v>228521</v>
      </c>
      <c r="K61" s="1">
        <v>46085</v>
      </c>
      <c r="L61" t="s">
        <v>53</v>
      </c>
      <c r="M61" t="s">
        <v>54</v>
      </c>
      <c r="N61" t="s">
        <v>54</v>
      </c>
      <c r="O61" t="s">
        <v>54</v>
      </c>
    </row>
    <row r="62" spans="1:15" x14ac:dyDescent="0.3">
      <c r="A62">
        <v>1</v>
      </c>
      <c r="B62" s="1">
        <v>46116</v>
      </c>
      <c r="C62" s="1">
        <v>45748</v>
      </c>
      <c r="D62" t="s">
        <v>40</v>
      </c>
      <c r="E62">
        <v>6</v>
      </c>
      <c r="F62">
        <v>323682</v>
      </c>
      <c r="G62">
        <v>2.9</v>
      </c>
      <c r="H62">
        <v>938679</v>
      </c>
      <c r="I62">
        <v>939</v>
      </c>
      <c r="J62">
        <v>937740</v>
      </c>
      <c r="K62" s="1">
        <v>46126</v>
      </c>
      <c r="L62" t="s">
        <v>53</v>
      </c>
      <c r="M62" t="s">
        <v>54</v>
      </c>
      <c r="N62" t="s">
        <v>54</v>
      </c>
      <c r="O62" t="s">
        <v>54</v>
      </c>
    </row>
    <row r="63" spans="1:15" x14ac:dyDescent="0.3">
      <c r="A63">
        <v>2</v>
      </c>
      <c r="B63" s="1">
        <v>45791</v>
      </c>
      <c r="C63" s="1">
        <v>45778</v>
      </c>
      <c r="D63" t="s">
        <v>40</v>
      </c>
      <c r="E63">
        <v>6</v>
      </c>
      <c r="F63">
        <v>255734</v>
      </c>
      <c r="G63">
        <v>2.9</v>
      </c>
      <c r="H63">
        <v>741629</v>
      </c>
      <c r="I63">
        <v>742</v>
      </c>
      <c r="J63">
        <v>740887</v>
      </c>
      <c r="K63" s="1">
        <v>45801</v>
      </c>
      <c r="L63" t="s">
        <v>53</v>
      </c>
      <c r="M63" t="s">
        <v>54</v>
      </c>
      <c r="N63" t="s">
        <v>54</v>
      </c>
      <c r="O63" t="s">
        <v>54</v>
      </c>
    </row>
    <row r="64" spans="1:15" x14ac:dyDescent="0.3">
      <c r="A64">
        <v>3</v>
      </c>
      <c r="B64" s="1">
        <v>45818</v>
      </c>
      <c r="C64" s="1">
        <v>45809</v>
      </c>
      <c r="D64" t="s">
        <v>40</v>
      </c>
      <c r="E64">
        <v>6</v>
      </c>
      <c r="F64">
        <v>517407</v>
      </c>
      <c r="G64">
        <v>2.9</v>
      </c>
      <c r="H64">
        <v>1500481</v>
      </c>
      <c r="I64">
        <v>1500</v>
      </c>
      <c r="J64">
        <v>1498981</v>
      </c>
      <c r="K64" s="1">
        <v>45828</v>
      </c>
      <c r="L64" t="s">
        <v>53</v>
      </c>
      <c r="M64" t="s">
        <v>54</v>
      </c>
      <c r="N64" t="s">
        <v>54</v>
      </c>
      <c r="O64" t="s">
        <v>54</v>
      </c>
    </row>
    <row r="65" spans="1:15" x14ac:dyDescent="0.3">
      <c r="A65">
        <v>4</v>
      </c>
      <c r="B65" s="1">
        <v>45842</v>
      </c>
      <c r="C65" s="1">
        <v>45839</v>
      </c>
      <c r="D65" t="s">
        <v>40</v>
      </c>
      <c r="E65">
        <v>6</v>
      </c>
      <c r="F65">
        <v>480028</v>
      </c>
      <c r="G65">
        <v>2.9</v>
      </c>
      <c r="H65">
        <v>1392080</v>
      </c>
      <c r="I65">
        <v>1392</v>
      </c>
      <c r="J65">
        <v>1390688</v>
      </c>
      <c r="K65" s="1">
        <v>45852</v>
      </c>
      <c r="L65" t="s">
        <v>53</v>
      </c>
      <c r="M65" t="s">
        <v>54</v>
      </c>
      <c r="N65" t="s">
        <v>54</v>
      </c>
      <c r="O65" t="s">
        <v>54</v>
      </c>
    </row>
    <row r="66" spans="1:15" x14ac:dyDescent="0.3">
      <c r="A66">
        <v>5</v>
      </c>
      <c r="B66" s="1">
        <v>45887</v>
      </c>
      <c r="C66" s="1">
        <v>45870</v>
      </c>
      <c r="D66" t="s">
        <v>40</v>
      </c>
      <c r="E66">
        <v>6</v>
      </c>
      <c r="F66">
        <v>373756</v>
      </c>
      <c r="G66">
        <v>2.9</v>
      </c>
      <c r="H66">
        <v>1083892</v>
      </c>
      <c r="I66">
        <v>1084</v>
      </c>
      <c r="J66">
        <v>1082808</v>
      </c>
      <c r="K66" s="1">
        <v>45897</v>
      </c>
      <c r="L66" t="s">
        <v>55</v>
      </c>
      <c r="M66" t="s">
        <v>54</v>
      </c>
      <c r="N66" t="s">
        <v>54</v>
      </c>
      <c r="O66" t="s">
        <v>54</v>
      </c>
    </row>
    <row r="67" spans="1:15" x14ac:dyDescent="0.3">
      <c r="A67">
        <v>6</v>
      </c>
      <c r="B67" s="1">
        <v>45917</v>
      </c>
      <c r="C67" s="1">
        <v>45901</v>
      </c>
      <c r="D67" t="s">
        <v>40</v>
      </c>
      <c r="E67">
        <v>6</v>
      </c>
      <c r="F67">
        <v>276438</v>
      </c>
      <c r="G67">
        <v>2.9</v>
      </c>
      <c r="H67">
        <v>801670</v>
      </c>
      <c r="I67">
        <v>802</v>
      </c>
      <c r="J67">
        <v>800868</v>
      </c>
      <c r="K67" s="1">
        <v>45927</v>
      </c>
      <c r="L67" t="s">
        <v>55</v>
      </c>
      <c r="M67" t="s">
        <v>54</v>
      </c>
      <c r="N67" t="s">
        <v>54</v>
      </c>
      <c r="O67" t="s">
        <v>54</v>
      </c>
    </row>
    <row r="68" spans="1:15" x14ac:dyDescent="0.3">
      <c r="A68">
        <v>7</v>
      </c>
      <c r="B68" s="1">
        <v>45939</v>
      </c>
      <c r="C68" s="1">
        <v>45931</v>
      </c>
      <c r="D68" t="s">
        <v>40</v>
      </c>
      <c r="E68">
        <v>6</v>
      </c>
      <c r="F68">
        <v>88630</v>
      </c>
      <c r="G68">
        <v>2.9</v>
      </c>
      <c r="H68">
        <v>257026</v>
      </c>
      <c r="I68">
        <v>257</v>
      </c>
      <c r="J68">
        <v>256769</v>
      </c>
      <c r="K68" s="1">
        <v>45949</v>
      </c>
      <c r="L68" t="s">
        <v>55</v>
      </c>
      <c r="M68" t="s">
        <v>54</v>
      </c>
      <c r="N68" t="s">
        <v>54</v>
      </c>
      <c r="O68" t="s">
        <v>54</v>
      </c>
    </row>
    <row r="69" spans="1:15" x14ac:dyDescent="0.3">
      <c r="A69">
        <v>8</v>
      </c>
      <c r="B69" s="1">
        <v>45992</v>
      </c>
      <c r="C69" s="1">
        <v>45962</v>
      </c>
      <c r="D69" t="s">
        <v>40</v>
      </c>
      <c r="E69">
        <v>6</v>
      </c>
      <c r="F69">
        <v>73745</v>
      </c>
      <c r="G69">
        <v>2.9</v>
      </c>
      <c r="H69">
        <v>213860</v>
      </c>
      <c r="I69">
        <v>214</v>
      </c>
      <c r="J69">
        <v>213646</v>
      </c>
      <c r="K69" s="1">
        <v>46002</v>
      </c>
      <c r="L69" t="s">
        <v>55</v>
      </c>
      <c r="M69" t="s">
        <v>54</v>
      </c>
      <c r="N69" t="s">
        <v>54</v>
      </c>
      <c r="O69" t="s">
        <v>54</v>
      </c>
    </row>
    <row r="70" spans="1:15" x14ac:dyDescent="0.3">
      <c r="A70">
        <v>9</v>
      </c>
      <c r="B70" s="1">
        <v>46003</v>
      </c>
      <c r="C70" s="1">
        <v>45992</v>
      </c>
      <c r="D70" t="s">
        <v>40</v>
      </c>
      <c r="E70">
        <v>6</v>
      </c>
      <c r="F70">
        <v>82779</v>
      </c>
      <c r="G70">
        <v>2.9</v>
      </c>
      <c r="H70">
        <v>240059</v>
      </c>
      <c r="I70">
        <v>240</v>
      </c>
      <c r="J70">
        <v>239819</v>
      </c>
      <c r="K70" s="1">
        <v>46013</v>
      </c>
      <c r="L70" t="s">
        <v>55</v>
      </c>
      <c r="M70" t="s">
        <v>54</v>
      </c>
      <c r="N70" t="s">
        <v>54</v>
      </c>
      <c r="O70" t="s">
        <v>54</v>
      </c>
    </row>
    <row r="71" spans="1:15" x14ac:dyDescent="0.3">
      <c r="A71">
        <v>10</v>
      </c>
      <c r="B71" s="1">
        <v>46050</v>
      </c>
      <c r="C71" s="1">
        <v>46023</v>
      </c>
      <c r="D71" t="s">
        <v>40</v>
      </c>
      <c r="E71">
        <v>6</v>
      </c>
      <c r="F71">
        <v>68041</v>
      </c>
      <c r="G71">
        <v>2.9</v>
      </c>
      <c r="H71">
        <v>197320</v>
      </c>
      <c r="I71">
        <v>197</v>
      </c>
      <c r="J71">
        <v>197122</v>
      </c>
      <c r="K71" s="1">
        <v>46060</v>
      </c>
      <c r="L71" t="s">
        <v>55</v>
      </c>
      <c r="M71" t="s">
        <v>54</v>
      </c>
      <c r="N71" t="s">
        <v>54</v>
      </c>
      <c r="O71" t="s">
        <v>54</v>
      </c>
    </row>
    <row r="72" spans="1:15" x14ac:dyDescent="0.3">
      <c r="A72">
        <v>11</v>
      </c>
      <c r="B72" s="1">
        <v>46074</v>
      </c>
      <c r="C72" s="1">
        <v>46054</v>
      </c>
      <c r="D72" t="s">
        <v>40</v>
      </c>
      <c r="E72">
        <v>6</v>
      </c>
      <c r="F72">
        <v>58988</v>
      </c>
      <c r="G72">
        <v>2.9</v>
      </c>
      <c r="H72">
        <v>171064</v>
      </c>
      <c r="I72">
        <v>171</v>
      </c>
      <c r="J72">
        <v>170893</v>
      </c>
      <c r="K72" s="1">
        <v>46084</v>
      </c>
      <c r="L72" t="s">
        <v>55</v>
      </c>
      <c r="M72" t="s">
        <v>54</v>
      </c>
      <c r="N72" t="s">
        <v>54</v>
      </c>
      <c r="O72" t="s">
        <v>54</v>
      </c>
    </row>
    <row r="73" spans="1:15" x14ac:dyDescent="0.3">
      <c r="A73">
        <v>12</v>
      </c>
      <c r="B73" s="1">
        <v>46105</v>
      </c>
      <c r="C73" s="1">
        <v>46082</v>
      </c>
      <c r="D73" t="s">
        <v>40</v>
      </c>
      <c r="E73">
        <v>6</v>
      </c>
      <c r="F73">
        <v>145516</v>
      </c>
      <c r="G73">
        <v>2.9</v>
      </c>
      <c r="H73">
        <v>421996</v>
      </c>
      <c r="I73">
        <v>422</v>
      </c>
      <c r="J73">
        <v>421574</v>
      </c>
      <c r="K73" s="1">
        <v>46115</v>
      </c>
      <c r="L73" t="s">
        <v>53</v>
      </c>
      <c r="M73" t="s">
        <v>54</v>
      </c>
      <c r="N73" t="s">
        <v>54</v>
      </c>
      <c r="O73" t="s">
        <v>54</v>
      </c>
    </row>
    <row r="74" spans="1:15" x14ac:dyDescent="0.3">
      <c r="A74">
        <v>1</v>
      </c>
      <c r="B74" s="1">
        <v>46116</v>
      </c>
      <c r="C74" s="1">
        <v>45748</v>
      </c>
      <c r="D74" t="s">
        <v>40</v>
      </c>
      <c r="E74">
        <v>7</v>
      </c>
      <c r="F74">
        <v>207898</v>
      </c>
      <c r="G74">
        <v>2.9</v>
      </c>
      <c r="H74">
        <v>602903</v>
      </c>
      <c r="I74">
        <v>603</v>
      </c>
      <c r="J74">
        <v>602300</v>
      </c>
      <c r="K74" s="1">
        <v>46123</v>
      </c>
      <c r="L74" t="s">
        <v>53</v>
      </c>
      <c r="M74" t="s">
        <v>54</v>
      </c>
      <c r="N74" t="s">
        <v>54</v>
      </c>
      <c r="O74" t="s">
        <v>54</v>
      </c>
    </row>
    <row r="75" spans="1:15" x14ac:dyDescent="0.3">
      <c r="A75">
        <v>2</v>
      </c>
      <c r="B75" s="1">
        <v>45791</v>
      </c>
      <c r="C75" s="1">
        <v>45778</v>
      </c>
      <c r="D75" t="s">
        <v>40</v>
      </c>
      <c r="E75">
        <v>7</v>
      </c>
      <c r="F75">
        <v>286144</v>
      </c>
      <c r="G75">
        <v>2.9</v>
      </c>
      <c r="H75">
        <v>829817</v>
      </c>
      <c r="I75">
        <v>830</v>
      </c>
      <c r="J75">
        <v>828988</v>
      </c>
      <c r="K75" s="1">
        <v>45798</v>
      </c>
      <c r="L75" t="s">
        <v>53</v>
      </c>
      <c r="M75" t="s">
        <v>54</v>
      </c>
      <c r="N75" t="s">
        <v>54</v>
      </c>
      <c r="O75" t="s">
        <v>54</v>
      </c>
    </row>
    <row r="76" spans="1:15" x14ac:dyDescent="0.3">
      <c r="A76">
        <v>3</v>
      </c>
      <c r="B76" s="1">
        <v>45818</v>
      </c>
      <c r="C76" s="1">
        <v>45809</v>
      </c>
      <c r="D76" t="s">
        <v>40</v>
      </c>
      <c r="E76">
        <v>7</v>
      </c>
      <c r="F76">
        <v>694213</v>
      </c>
      <c r="G76">
        <v>2.9</v>
      </c>
      <c r="H76">
        <v>2013217</v>
      </c>
      <c r="I76">
        <v>2013</v>
      </c>
      <c r="J76">
        <v>2011204</v>
      </c>
      <c r="K76" s="1">
        <v>45825</v>
      </c>
      <c r="L76" t="s">
        <v>53</v>
      </c>
      <c r="M76" t="s">
        <v>54</v>
      </c>
      <c r="N76" t="s">
        <v>54</v>
      </c>
      <c r="O76" t="s">
        <v>54</v>
      </c>
    </row>
    <row r="77" spans="1:15" x14ac:dyDescent="0.3">
      <c r="A77">
        <v>4</v>
      </c>
      <c r="B77" s="1">
        <v>45842</v>
      </c>
      <c r="C77" s="1">
        <v>45839</v>
      </c>
      <c r="D77" t="s">
        <v>40</v>
      </c>
      <c r="E77">
        <v>7</v>
      </c>
      <c r="F77">
        <v>864747</v>
      </c>
      <c r="G77">
        <v>2.9</v>
      </c>
      <c r="H77">
        <v>2507767</v>
      </c>
      <c r="I77">
        <v>2508</v>
      </c>
      <c r="J77">
        <v>2505259</v>
      </c>
      <c r="K77" s="1">
        <v>45849</v>
      </c>
      <c r="L77" t="s">
        <v>53</v>
      </c>
      <c r="M77" t="s">
        <v>54</v>
      </c>
      <c r="N77" t="s">
        <v>54</v>
      </c>
      <c r="O77" t="s">
        <v>54</v>
      </c>
    </row>
    <row r="78" spans="1:15" x14ac:dyDescent="0.3">
      <c r="A78">
        <v>5</v>
      </c>
      <c r="B78" s="1">
        <v>45887</v>
      </c>
      <c r="C78" s="1">
        <v>45870</v>
      </c>
      <c r="D78" t="s">
        <v>40</v>
      </c>
      <c r="E78">
        <v>7</v>
      </c>
      <c r="F78">
        <v>537907</v>
      </c>
      <c r="G78">
        <v>2.9</v>
      </c>
      <c r="H78">
        <v>1559931</v>
      </c>
      <c r="I78">
        <v>1560</v>
      </c>
      <c r="J78">
        <v>1558371</v>
      </c>
      <c r="K78" s="1">
        <v>45894</v>
      </c>
      <c r="L78" t="s">
        <v>53</v>
      </c>
      <c r="M78" t="s">
        <v>54</v>
      </c>
      <c r="N78" t="s">
        <v>54</v>
      </c>
      <c r="O78" t="s">
        <v>54</v>
      </c>
    </row>
    <row r="79" spans="1:15" x14ac:dyDescent="0.3">
      <c r="A79">
        <v>6</v>
      </c>
      <c r="B79" s="1">
        <v>45917</v>
      </c>
      <c r="C79" s="1">
        <v>45901</v>
      </c>
      <c r="D79" t="s">
        <v>40</v>
      </c>
      <c r="E79">
        <v>7</v>
      </c>
      <c r="F79">
        <v>337010</v>
      </c>
      <c r="G79">
        <v>2.9</v>
      </c>
      <c r="H79">
        <v>977328</v>
      </c>
      <c r="I79">
        <v>977</v>
      </c>
      <c r="J79">
        <v>976351</v>
      </c>
      <c r="K79" s="1">
        <v>45924</v>
      </c>
      <c r="L79" t="s">
        <v>53</v>
      </c>
      <c r="M79" t="s">
        <v>54</v>
      </c>
      <c r="N79" t="s">
        <v>54</v>
      </c>
      <c r="O79" t="s">
        <v>54</v>
      </c>
    </row>
    <row r="80" spans="1:15" x14ac:dyDescent="0.3">
      <c r="A80">
        <v>7</v>
      </c>
      <c r="B80" s="1">
        <v>45939</v>
      </c>
      <c r="C80" s="1">
        <v>45931</v>
      </c>
      <c r="D80" t="s">
        <v>40</v>
      </c>
      <c r="E80">
        <v>7</v>
      </c>
      <c r="F80">
        <v>239036</v>
      </c>
      <c r="G80">
        <v>2.9</v>
      </c>
      <c r="H80">
        <v>693206</v>
      </c>
      <c r="I80">
        <v>693</v>
      </c>
      <c r="J80">
        <v>692513</v>
      </c>
      <c r="K80" s="1">
        <v>45946</v>
      </c>
      <c r="L80" t="s">
        <v>53</v>
      </c>
      <c r="M80" t="s">
        <v>54</v>
      </c>
      <c r="N80" t="s">
        <v>54</v>
      </c>
      <c r="O80" t="s">
        <v>54</v>
      </c>
    </row>
    <row r="81" spans="1:15" x14ac:dyDescent="0.3">
      <c r="A81">
        <v>8</v>
      </c>
      <c r="B81" s="1">
        <v>45992</v>
      </c>
      <c r="C81" s="1">
        <v>45962</v>
      </c>
      <c r="D81" t="s">
        <v>40</v>
      </c>
      <c r="E81">
        <v>7</v>
      </c>
      <c r="F81">
        <v>230110</v>
      </c>
      <c r="G81">
        <v>2.9</v>
      </c>
      <c r="H81">
        <v>667318</v>
      </c>
      <c r="I81">
        <v>667</v>
      </c>
      <c r="J81">
        <v>666650</v>
      </c>
      <c r="K81" s="1">
        <v>45999</v>
      </c>
      <c r="L81" t="s">
        <v>53</v>
      </c>
      <c r="M81" t="s">
        <v>54</v>
      </c>
      <c r="N81" t="s">
        <v>54</v>
      </c>
      <c r="O81" t="s">
        <v>54</v>
      </c>
    </row>
    <row r="82" spans="1:15" x14ac:dyDescent="0.3">
      <c r="A82">
        <v>9</v>
      </c>
      <c r="B82" s="1">
        <v>46003</v>
      </c>
      <c r="C82" s="1">
        <v>45992</v>
      </c>
      <c r="D82" t="s">
        <v>40</v>
      </c>
      <c r="E82">
        <v>7</v>
      </c>
      <c r="F82">
        <v>251404</v>
      </c>
      <c r="G82">
        <v>2.9</v>
      </c>
      <c r="H82">
        <v>729073</v>
      </c>
      <c r="I82">
        <v>729</v>
      </c>
      <c r="J82">
        <v>728344</v>
      </c>
      <c r="K82" s="1">
        <v>46010</v>
      </c>
      <c r="L82" t="s">
        <v>53</v>
      </c>
      <c r="M82" t="s">
        <v>54</v>
      </c>
      <c r="N82" t="s">
        <v>54</v>
      </c>
      <c r="O82" t="s">
        <v>54</v>
      </c>
    </row>
    <row r="83" spans="1:15" x14ac:dyDescent="0.3">
      <c r="A83">
        <v>10</v>
      </c>
      <c r="B83" s="1">
        <v>46050</v>
      </c>
      <c r="C83" s="1">
        <v>46023</v>
      </c>
      <c r="D83" t="s">
        <v>40</v>
      </c>
      <c r="E83">
        <v>7</v>
      </c>
      <c r="F83">
        <v>155774</v>
      </c>
      <c r="G83">
        <v>2.9</v>
      </c>
      <c r="H83">
        <v>451745</v>
      </c>
      <c r="I83">
        <v>452</v>
      </c>
      <c r="J83">
        <v>451293</v>
      </c>
      <c r="K83" s="1">
        <v>46057</v>
      </c>
      <c r="L83" t="s">
        <v>53</v>
      </c>
      <c r="M83" t="s">
        <v>54</v>
      </c>
      <c r="N83" t="s">
        <v>54</v>
      </c>
      <c r="O83" t="s">
        <v>54</v>
      </c>
    </row>
    <row r="84" spans="1:15" x14ac:dyDescent="0.3">
      <c r="A84">
        <v>11</v>
      </c>
      <c r="B84" s="1">
        <v>46074</v>
      </c>
      <c r="C84" s="1">
        <v>46054</v>
      </c>
      <c r="D84" t="s">
        <v>40</v>
      </c>
      <c r="E84">
        <v>7</v>
      </c>
      <c r="F84">
        <v>101237</v>
      </c>
      <c r="G84">
        <v>2.9</v>
      </c>
      <c r="H84">
        <v>293587</v>
      </c>
      <c r="I84">
        <v>294</v>
      </c>
      <c r="J84">
        <v>293294</v>
      </c>
      <c r="K84" s="1">
        <v>46081</v>
      </c>
      <c r="L84" t="s">
        <v>53</v>
      </c>
      <c r="M84" t="s">
        <v>54</v>
      </c>
      <c r="N84" t="s">
        <v>54</v>
      </c>
      <c r="O84" t="s">
        <v>54</v>
      </c>
    </row>
    <row r="85" spans="1:15" x14ac:dyDescent="0.3">
      <c r="A85">
        <v>12</v>
      </c>
      <c r="B85" s="1">
        <v>46105</v>
      </c>
      <c r="C85" s="1">
        <v>46082</v>
      </c>
      <c r="D85" t="s">
        <v>40</v>
      </c>
      <c r="E85">
        <v>7</v>
      </c>
      <c r="F85">
        <v>150263</v>
      </c>
      <c r="G85">
        <v>2.9</v>
      </c>
      <c r="H85">
        <v>435762</v>
      </c>
      <c r="I85">
        <v>436</v>
      </c>
      <c r="J85">
        <v>435327</v>
      </c>
      <c r="K85" s="1">
        <v>46112</v>
      </c>
      <c r="L85" t="s">
        <v>53</v>
      </c>
      <c r="M85" t="s">
        <v>54</v>
      </c>
      <c r="N85" t="s">
        <v>54</v>
      </c>
      <c r="O85" t="s">
        <v>54</v>
      </c>
    </row>
    <row r="86" spans="1:15" x14ac:dyDescent="0.3">
      <c r="A86">
        <v>1</v>
      </c>
      <c r="B86" s="1">
        <v>46116</v>
      </c>
      <c r="C86" s="1">
        <v>45748</v>
      </c>
      <c r="D86" t="s">
        <v>40</v>
      </c>
      <c r="E86">
        <v>8</v>
      </c>
      <c r="F86">
        <v>441827</v>
      </c>
      <c r="G86">
        <v>2.67</v>
      </c>
      <c r="H86">
        <v>1179678</v>
      </c>
      <c r="I86">
        <v>1180</v>
      </c>
      <c r="J86">
        <v>1178498</v>
      </c>
      <c r="K86" s="1">
        <v>46131</v>
      </c>
      <c r="L86" t="s">
        <v>53</v>
      </c>
      <c r="M86" t="s">
        <v>54</v>
      </c>
      <c r="N86" t="s">
        <v>54</v>
      </c>
      <c r="O86" t="s">
        <v>54</v>
      </c>
    </row>
    <row r="87" spans="1:15" x14ac:dyDescent="0.3">
      <c r="A87">
        <v>2</v>
      </c>
      <c r="B87" s="1">
        <v>45791</v>
      </c>
      <c r="C87" s="1">
        <v>45778</v>
      </c>
      <c r="D87" t="s">
        <v>40</v>
      </c>
      <c r="E87">
        <v>8</v>
      </c>
      <c r="F87">
        <v>626816</v>
      </c>
      <c r="G87">
        <v>2.67</v>
      </c>
      <c r="H87">
        <v>1673598</v>
      </c>
      <c r="I87">
        <v>1674</v>
      </c>
      <c r="J87">
        <v>1671924</v>
      </c>
      <c r="K87" s="1">
        <v>45806</v>
      </c>
      <c r="L87" t="s">
        <v>53</v>
      </c>
      <c r="M87" t="s">
        <v>54</v>
      </c>
      <c r="N87" t="s">
        <v>54</v>
      </c>
      <c r="O87" t="s">
        <v>54</v>
      </c>
    </row>
    <row r="88" spans="1:15" x14ac:dyDescent="0.3">
      <c r="A88">
        <v>3</v>
      </c>
      <c r="B88" s="1">
        <v>45818</v>
      </c>
      <c r="C88" s="1">
        <v>45809</v>
      </c>
      <c r="D88" t="s">
        <v>40</v>
      </c>
      <c r="E88">
        <v>8</v>
      </c>
      <c r="F88">
        <v>1655025</v>
      </c>
      <c r="G88">
        <v>2.67</v>
      </c>
      <c r="H88">
        <v>4418916</v>
      </c>
      <c r="I88">
        <v>4419</v>
      </c>
      <c r="J88">
        <v>4414497</v>
      </c>
      <c r="K88" s="1">
        <v>45833</v>
      </c>
      <c r="L88" t="s">
        <v>53</v>
      </c>
      <c r="M88" t="s">
        <v>54</v>
      </c>
      <c r="N88" t="s">
        <v>54</v>
      </c>
      <c r="O88" t="s">
        <v>54</v>
      </c>
    </row>
    <row r="89" spans="1:15" x14ac:dyDescent="0.3">
      <c r="A89">
        <v>4</v>
      </c>
      <c r="B89" s="1">
        <v>45842</v>
      </c>
      <c r="C89" s="1">
        <v>45839</v>
      </c>
      <c r="D89" t="s">
        <v>40</v>
      </c>
      <c r="E89">
        <v>8</v>
      </c>
      <c r="F89">
        <v>1651751</v>
      </c>
      <c r="G89">
        <v>2.67</v>
      </c>
      <c r="H89">
        <v>4410175</v>
      </c>
      <c r="I89">
        <v>4410</v>
      </c>
      <c r="J89">
        <v>4405765</v>
      </c>
      <c r="K89" s="1">
        <v>45857</v>
      </c>
      <c r="L89" t="s">
        <v>53</v>
      </c>
      <c r="M89" t="s">
        <v>54</v>
      </c>
      <c r="N89" t="s">
        <v>54</v>
      </c>
      <c r="O89" t="s">
        <v>54</v>
      </c>
    </row>
    <row r="90" spans="1:15" x14ac:dyDescent="0.3">
      <c r="A90">
        <v>5</v>
      </c>
      <c r="B90" s="1">
        <v>45887</v>
      </c>
      <c r="C90" s="1">
        <v>45870</v>
      </c>
      <c r="D90" t="s">
        <v>40</v>
      </c>
      <c r="E90">
        <v>8</v>
      </c>
      <c r="F90">
        <v>993951</v>
      </c>
      <c r="G90">
        <v>2.67</v>
      </c>
      <c r="H90">
        <v>2653850</v>
      </c>
      <c r="I90">
        <v>2654</v>
      </c>
      <c r="J90">
        <v>2651196</v>
      </c>
      <c r="K90" s="1">
        <v>45902</v>
      </c>
      <c r="L90" t="s">
        <v>55</v>
      </c>
      <c r="M90" t="s">
        <v>54</v>
      </c>
      <c r="N90" t="s">
        <v>54</v>
      </c>
      <c r="O90" t="s">
        <v>54</v>
      </c>
    </row>
    <row r="91" spans="1:15" x14ac:dyDescent="0.3">
      <c r="A91">
        <v>6</v>
      </c>
      <c r="B91" s="1">
        <v>45917</v>
      </c>
      <c r="C91" s="1">
        <v>45901</v>
      </c>
      <c r="D91" t="s">
        <v>40</v>
      </c>
      <c r="E91">
        <v>8</v>
      </c>
      <c r="F91">
        <v>691147</v>
      </c>
      <c r="G91">
        <v>2.67</v>
      </c>
      <c r="H91">
        <v>1845362</v>
      </c>
      <c r="I91">
        <v>1845</v>
      </c>
      <c r="J91">
        <v>1843517</v>
      </c>
      <c r="K91" s="1">
        <v>45932</v>
      </c>
      <c r="L91" t="s">
        <v>53</v>
      </c>
      <c r="M91" t="s">
        <v>54</v>
      </c>
      <c r="N91" t="s">
        <v>54</v>
      </c>
      <c r="O91" t="s">
        <v>54</v>
      </c>
    </row>
    <row r="92" spans="1:15" x14ac:dyDescent="0.3">
      <c r="A92">
        <v>7</v>
      </c>
      <c r="B92" s="1">
        <v>45939</v>
      </c>
      <c r="C92" s="1">
        <v>45931</v>
      </c>
      <c r="D92" t="s">
        <v>40</v>
      </c>
      <c r="E92">
        <v>8</v>
      </c>
      <c r="F92">
        <v>380298</v>
      </c>
      <c r="G92">
        <v>2.67</v>
      </c>
      <c r="H92">
        <v>1015396</v>
      </c>
      <c r="I92">
        <v>1015</v>
      </c>
      <c r="J92">
        <v>1014381</v>
      </c>
      <c r="K92" s="1">
        <v>45954</v>
      </c>
      <c r="L92" t="s">
        <v>53</v>
      </c>
      <c r="M92" t="s">
        <v>54</v>
      </c>
      <c r="N92" t="s">
        <v>54</v>
      </c>
      <c r="O92" t="s">
        <v>54</v>
      </c>
    </row>
    <row r="93" spans="1:15" x14ac:dyDescent="0.3">
      <c r="A93">
        <v>8</v>
      </c>
      <c r="B93" s="1">
        <v>45992</v>
      </c>
      <c r="C93" s="1">
        <v>45962</v>
      </c>
      <c r="D93" t="s">
        <v>40</v>
      </c>
      <c r="E93">
        <v>8</v>
      </c>
      <c r="F93">
        <v>590454</v>
      </c>
      <c r="G93">
        <v>2.67</v>
      </c>
      <c r="H93">
        <v>1576511</v>
      </c>
      <c r="I93">
        <v>1577</v>
      </c>
      <c r="J93">
        <v>1574935</v>
      </c>
      <c r="K93" s="1">
        <v>46007</v>
      </c>
      <c r="L93" t="s">
        <v>55</v>
      </c>
      <c r="M93" t="s">
        <v>54</v>
      </c>
      <c r="N93" t="s">
        <v>54</v>
      </c>
      <c r="O93" t="s">
        <v>54</v>
      </c>
    </row>
    <row r="94" spans="1:15" x14ac:dyDescent="0.3">
      <c r="A94">
        <v>9</v>
      </c>
      <c r="B94" s="1">
        <v>46003</v>
      </c>
      <c r="C94" s="1">
        <v>45992</v>
      </c>
      <c r="D94" t="s">
        <v>40</v>
      </c>
      <c r="E94">
        <v>8</v>
      </c>
      <c r="F94">
        <v>753687</v>
      </c>
      <c r="G94">
        <v>2.67</v>
      </c>
      <c r="H94">
        <v>2012345</v>
      </c>
      <c r="I94">
        <v>2012</v>
      </c>
      <c r="J94">
        <v>2010332</v>
      </c>
      <c r="K94" s="1">
        <v>46018</v>
      </c>
      <c r="L94" t="s">
        <v>55</v>
      </c>
      <c r="M94" t="s">
        <v>54</v>
      </c>
      <c r="N94" t="s">
        <v>54</v>
      </c>
      <c r="O94" t="s">
        <v>54</v>
      </c>
    </row>
    <row r="95" spans="1:15" x14ac:dyDescent="0.3">
      <c r="A95">
        <v>10</v>
      </c>
      <c r="B95" s="1">
        <v>46050</v>
      </c>
      <c r="C95" s="1">
        <v>46023</v>
      </c>
      <c r="D95" t="s">
        <v>40</v>
      </c>
      <c r="E95">
        <v>8</v>
      </c>
      <c r="F95">
        <v>282805</v>
      </c>
      <c r="G95">
        <v>2.67</v>
      </c>
      <c r="H95">
        <v>755091</v>
      </c>
      <c r="I95">
        <v>755</v>
      </c>
      <c r="J95">
        <v>754335</v>
      </c>
      <c r="K95" s="1">
        <v>46065</v>
      </c>
      <c r="L95" t="s">
        <v>53</v>
      </c>
      <c r="M95" t="s">
        <v>54</v>
      </c>
      <c r="N95" t="s">
        <v>54</v>
      </c>
      <c r="O95" t="s">
        <v>54</v>
      </c>
    </row>
    <row r="96" spans="1:15" x14ac:dyDescent="0.3">
      <c r="A96">
        <v>11</v>
      </c>
      <c r="B96" s="1">
        <v>46074</v>
      </c>
      <c r="C96" s="1">
        <v>46054</v>
      </c>
      <c r="D96" t="s">
        <v>40</v>
      </c>
      <c r="E96">
        <v>8</v>
      </c>
      <c r="F96">
        <v>232502</v>
      </c>
      <c r="G96">
        <v>2.67</v>
      </c>
      <c r="H96">
        <v>620781</v>
      </c>
      <c r="I96">
        <v>621</v>
      </c>
      <c r="J96">
        <v>620160</v>
      </c>
      <c r="K96" s="1">
        <v>46089</v>
      </c>
      <c r="L96" t="s">
        <v>53</v>
      </c>
      <c r="M96" t="s">
        <v>54</v>
      </c>
      <c r="N96" t="s">
        <v>54</v>
      </c>
      <c r="O96" t="s">
        <v>54</v>
      </c>
    </row>
    <row r="97" spans="1:15" x14ac:dyDescent="0.3">
      <c r="A97">
        <v>12</v>
      </c>
      <c r="B97" s="1">
        <v>46105</v>
      </c>
      <c r="C97" s="1">
        <v>46082</v>
      </c>
      <c r="D97" t="s">
        <v>40</v>
      </c>
      <c r="E97">
        <v>8</v>
      </c>
      <c r="F97">
        <v>360310</v>
      </c>
      <c r="G97">
        <v>2.67</v>
      </c>
      <c r="H97">
        <v>962027</v>
      </c>
      <c r="I97">
        <v>962</v>
      </c>
      <c r="J97">
        <v>961065</v>
      </c>
      <c r="K97" s="1">
        <v>46120</v>
      </c>
      <c r="L97" t="s">
        <v>53</v>
      </c>
      <c r="M97" t="s">
        <v>54</v>
      </c>
      <c r="N97" t="s">
        <v>54</v>
      </c>
      <c r="O97" t="s">
        <v>54</v>
      </c>
    </row>
    <row r="98" spans="1:15" x14ac:dyDescent="0.3">
      <c r="A98">
        <v>1</v>
      </c>
      <c r="B98" s="1">
        <v>45755</v>
      </c>
      <c r="C98" s="1">
        <v>45748</v>
      </c>
      <c r="D98" t="s">
        <v>40</v>
      </c>
      <c r="E98">
        <v>9</v>
      </c>
      <c r="F98">
        <v>137022</v>
      </c>
      <c r="G98">
        <v>3.4</v>
      </c>
      <c r="H98">
        <v>465873</v>
      </c>
      <c r="I98">
        <v>466</v>
      </c>
      <c r="J98">
        <v>465408</v>
      </c>
      <c r="K98" s="1">
        <v>45770</v>
      </c>
      <c r="L98" t="s">
        <v>53</v>
      </c>
      <c r="M98" t="s">
        <v>54</v>
      </c>
      <c r="N98" t="s">
        <v>54</v>
      </c>
      <c r="O98" t="s">
        <v>54</v>
      </c>
    </row>
    <row r="99" spans="1:15" x14ac:dyDescent="0.3">
      <c r="A99">
        <v>2</v>
      </c>
      <c r="B99" s="1">
        <v>45789</v>
      </c>
      <c r="C99" s="1">
        <v>45778</v>
      </c>
      <c r="D99" t="s">
        <v>40</v>
      </c>
      <c r="E99">
        <v>9</v>
      </c>
      <c r="F99">
        <v>264196</v>
      </c>
      <c r="G99">
        <v>3.4</v>
      </c>
      <c r="H99">
        <v>898266</v>
      </c>
      <c r="I99">
        <v>898</v>
      </c>
      <c r="J99">
        <v>897368</v>
      </c>
      <c r="K99" s="1">
        <v>45804</v>
      </c>
      <c r="L99" t="s">
        <v>53</v>
      </c>
      <c r="M99" t="s">
        <v>54</v>
      </c>
      <c r="N99" t="s">
        <v>54</v>
      </c>
      <c r="O99" t="s">
        <v>54</v>
      </c>
    </row>
    <row r="100" spans="1:15" x14ac:dyDescent="0.3">
      <c r="A100">
        <v>3</v>
      </c>
      <c r="B100" s="1">
        <v>45817</v>
      </c>
      <c r="C100" s="1">
        <v>45809</v>
      </c>
      <c r="D100" t="s">
        <v>40</v>
      </c>
      <c r="E100">
        <v>9</v>
      </c>
      <c r="F100">
        <v>423789</v>
      </c>
      <c r="G100">
        <v>3.4</v>
      </c>
      <c r="H100">
        <v>1440882</v>
      </c>
      <c r="I100">
        <v>1441</v>
      </c>
      <c r="J100">
        <v>1439441</v>
      </c>
      <c r="K100" s="1">
        <v>45832</v>
      </c>
      <c r="L100" t="s">
        <v>53</v>
      </c>
      <c r="M100" t="s">
        <v>54</v>
      </c>
      <c r="N100" t="s">
        <v>54</v>
      </c>
      <c r="O100" t="s">
        <v>54</v>
      </c>
    </row>
    <row r="101" spans="1:15" x14ac:dyDescent="0.3">
      <c r="A101">
        <v>4</v>
      </c>
      <c r="B101" s="1">
        <v>45852</v>
      </c>
      <c r="C101" s="1">
        <v>45839</v>
      </c>
      <c r="D101" t="s">
        <v>40</v>
      </c>
      <c r="E101">
        <v>9</v>
      </c>
      <c r="F101">
        <v>615882</v>
      </c>
      <c r="G101">
        <v>3.4</v>
      </c>
      <c r="H101">
        <v>2093999</v>
      </c>
      <c r="I101">
        <v>2094</v>
      </c>
      <c r="J101">
        <v>2091905</v>
      </c>
      <c r="K101" s="1">
        <v>45867</v>
      </c>
      <c r="L101" t="s">
        <v>53</v>
      </c>
      <c r="M101" t="s">
        <v>54</v>
      </c>
      <c r="N101" t="s">
        <v>54</v>
      </c>
      <c r="O101" t="s">
        <v>54</v>
      </c>
    </row>
    <row r="102" spans="1:15" x14ac:dyDescent="0.3">
      <c r="A102">
        <v>5</v>
      </c>
      <c r="B102" s="1">
        <v>45883</v>
      </c>
      <c r="C102" s="1">
        <v>45870</v>
      </c>
      <c r="D102" t="s">
        <v>40</v>
      </c>
      <c r="E102">
        <v>9</v>
      </c>
      <c r="F102">
        <v>508221</v>
      </c>
      <c r="G102">
        <v>3.4</v>
      </c>
      <c r="H102">
        <v>1727951</v>
      </c>
      <c r="I102">
        <v>1728</v>
      </c>
      <c r="J102">
        <v>1726223</v>
      </c>
      <c r="K102" s="1">
        <v>45898</v>
      </c>
      <c r="L102" t="s">
        <v>55</v>
      </c>
      <c r="M102" t="s">
        <v>54</v>
      </c>
      <c r="N102" t="s">
        <v>54</v>
      </c>
      <c r="O102" t="s">
        <v>54</v>
      </c>
    </row>
    <row r="103" spans="1:15" x14ac:dyDescent="0.3">
      <c r="A103">
        <v>6</v>
      </c>
      <c r="B103" s="1">
        <v>45908</v>
      </c>
      <c r="C103" s="1">
        <v>45901</v>
      </c>
      <c r="D103" t="s">
        <v>40</v>
      </c>
      <c r="E103">
        <v>9</v>
      </c>
      <c r="F103">
        <v>315109</v>
      </c>
      <c r="G103">
        <v>3.4</v>
      </c>
      <c r="H103">
        <v>1071369</v>
      </c>
      <c r="I103">
        <v>1071</v>
      </c>
      <c r="J103">
        <v>1070298</v>
      </c>
      <c r="K103" s="1">
        <v>45923</v>
      </c>
      <c r="L103" t="s">
        <v>53</v>
      </c>
      <c r="M103" t="s">
        <v>54</v>
      </c>
      <c r="N103" t="s">
        <v>54</v>
      </c>
      <c r="O103" t="s">
        <v>54</v>
      </c>
    </row>
    <row r="104" spans="1:15" x14ac:dyDescent="0.3">
      <c r="A104">
        <v>7</v>
      </c>
      <c r="B104" s="1">
        <v>45957</v>
      </c>
      <c r="C104" s="1">
        <v>45931</v>
      </c>
      <c r="D104" t="s">
        <v>40</v>
      </c>
      <c r="E104">
        <v>9</v>
      </c>
      <c r="F104">
        <v>227708</v>
      </c>
      <c r="G104">
        <v>3.4</v>
      </c>
      <c r="H104">
        <v>774208</v>
      </c>
      <c r="I104">
        <v>774</v>
      </c>
      <c r="J104">
        <v>773434</v>
      </c>
      <c r="K104" s="1">
        <v>45972</v>
      </c>
      <c r="L104" t="s">
        <v>53</v>
      </c>
      <c r="M104" t="s">
        <v>54</v>
      </c>
      <c r="N104" t="s">
        <v>54</v>
      </c>
      <c r="O104" t="s">
        <v>54</v>
      </c>
    </row>
    <row r="105" spans="1:15" x14ac:dyDescent="0.3">
      <c r="A105">
        <v>8</v>
      </c>
      <c r="B105" s="1">
        <v>45973</v>
      </c>
      <c r="C105" s="1">
        <v>45962</v>
      </c>
      <c r="D105" t="s">
        <v>40</v>
      </c>
      <c r="E105">
        <v>9</v>
      </c>
      <c r="F105">
        <v>191891</v>
      </c>
      <c r="G105">
        <v>3.4</v>
      </c>
      <c r="H105">
        <v>652430</v>
      </c>
      <c r="I105">
        <v>652</v>
      </c>
      <c r="J105">
        <v>651777</v>
      </c>
      <c r="K105" s="1">
        <v>45988</v>
      </c>
      <c r="L105" t="s">
        <v>55</v>
      </c>
      <c r="M105" t="s">
        <v>54</v>
      </c>
      <c r="N105" t="s">
        <v>54</v>
      </c>
      <c r="O105" t="s">
        <v>54</v>
      </c>
    </row>
    <row r="106" spans="1:15" x14ac:dyDescent="0.3">
      <c r="A106">
        <v>9</v>
      </c>
      <c r="B106" s="1">
        <v>46003</v>
      </c>
      <c r="C106" s="1">
        <v>45992</v>
      </c>
      <c r="D106" t="s">
        <v>40</v>
      </c>
      <c r="E106">
        <v>9</v>
      </c>
      <c r="F106">
        <v>250326</v>
      </c>
      <c r="G106">
        <v>3.4</v>
      </c>
      <c r="H106">
        <v>851110</v>
      </c>
      <c r="I106">
        <v>851</v>
      </c>
      <c r="J106">
        <v>850259</v>
      </c>
      <c r="K106" s="1">
        <v>46018</v>
      </c>
      <c r="L106" t="s">
        <v>55</v>
      </c>
      <c r="M106" t="s">
        <v>54</v>
      </c>
      <c r="N106" t="s">
        <v>54</v>
      </c>
      <c r="O106" t="s">
        <v>54</v>
      </c>
    </row>
    <row r="107" spans="1:15" x14ac:dyDescent="0.3">
      <c r="A107">
        <v>10</v>
      </c>
      <c r="B107" s="1">
        <v>46030</v>
      </c>
      <c r="C107" s="1">
        <v>46023</v>
      </c>
      <c r="D107" t="s">
        <v>40</v>
      </c>
      <c r="E107">
        <v>9</v>
      </c>
      <c r="F107">
        <v>114966</v>
      </c>
      <c r="G107">
        <v>3.4</v>
      </c>
      <c r="H107">
        <v>390885</v>
      </c>
      <c r="I107">
        <v>391</v>
      </c>
      <c r="J107">
        <v>390494</v>
      </c>
      <c r="K107" s="1">
        <v>46045</v>
      </c>
      <c r="L107" t="s">
        <v>55</v>
      </c>
      <c r="M107" t="s">
        <v>54</v>
      </c>
      <c r="N107" t="s">
        <v>54</v>
      </c>
      <c r="O107" t="s">
        <v>54</v>
      </c>
    </row>
    <row r="108" spans="1:15" x14ac:dyDescent="0.3">
      <c r="A108">
        <v>11</v>
      </c>
      <c r="B108" s="1">
        <v>46073</v>
      </c>
      <c r="C108" s="1">
        <v>46054</v>
      </c>
      <c r="D108" t="s">
        <v>40</v>
      </c>
      <c r="E108">
        <v>9</v>
      </c>
      <c r="F108">
        <v>101644</v>
      </c>
      <c r="G108">
        <v>3.4</v>
      </c>
      <c r="H108">
        <v>345589</v>
      </c>
      <c r="I108">
        <v>346</v>
      </c>
      <c r="J108">
        <v>345243</v>
      </c>
      <c r="K108" s="1">
        <v>46088</v>
      </c>
      <c r="L108" t="s">
        <v>55</v>
      </c>
      <c r="M108" t="s">
        <v>54</v>
      </c>
      <c r="N108" t="s">
        <v>54</v>
      </c>
      <c r="O108" t="s">
        <v>54</v>
      </c>
    </row>
    <row r="109" spans="1:15" x14ac:dyDescent="0.3">
      <c r="A109">
        <v>12</v>
      </c>
      <c r="B109" s="1">
        <v>46088</v>
      </c>
      <c r="C109" s="1">
        <v>46082</v>
      </c>
      <c r="D109" t="s">
        <v>40</v>
      </c>
      <c r="E109">
        <v>9</v>
      </c>
      <c r="F109">
        <v>94005</v>
      </c>
      <c r="G109">
        <v>3.4</v>
      </c>
      <c r="H109">
        <v>319617</v>
      </c>
      <c r="I109">
        <v>320</v>
      </c>
      <c r="J109">
        <v>319297</v>
      </c>
      <c r="K109" s="1">
        <v>46103</v>
      </c>
      <c r="L109" t="s">
        <v>53</v>
      </c>
      <c r="M109" t="s">
        <v>54</v>
      </c>
      <c r="N109" t="s">
        <v>54</v>
      </c>
      <c r="O109" t="s">
        <v>54</v>
      </c>
    </row>
    <row r="110" spans="1:15" x14ac:dyDescent="0.3">
      <c r="A110">
        <v>1</v>
      </c>
      <c r="B110" s="1">
        <v>45789</v>
      </c>
      <c r="C110" s="1">
        <v>45748</v>
      </c>
      <c r="D110" t="s">
        <v>40</v>
      </c>
      <c r="E110">
        <v>10</v>
      </c>
      <c r="F110">
        <v>250800</v>
      </c>
      <c r="G110">
        <v>2.67</v>
      </c>
      <c r="H110">
        <v>669636</v>
      </c>
      <c r="I110">
        <v>670</v>
      </c>
      <c r="J110">
        <v>668966</v>
      </c>
      <c r="K110" s="1">
        <v>45804</v>
      </c>
      <c r="L110" t="s">
        <v>53</v>
      </c>
      <c r="M110" t="s">
        <v>54</v>
      </c>
      <c r="N110" t="s">
        <v>54</v>
      </c>
      <c r="O110" t="s">
        <v>54</v>
      </c>
    </row>
    <row r="111" spans="1:15" x14ac:dyDescent="0.3">
      <c r="A111">
        <v>2</v>
      </c>
      <c r="B111" s="1">
        <v>45818</v>
      </c>
      <c r="C111" s="1">
        <v>45778</v>
      </c>
      <c r="D111" t="s">
        <v>40</v>
      </c>
      <c r="E111">
        <v>10</v>
      </c>
      <c r="F111">
        <v>695400</v>
      </c>
      <c r="G111">
        <v>2.67</v>
      </c>
      <c r="H111">
        <v>1856718</v>
      </c>
      <c r="I111">
        <v>1857</v>
      </c>
      <c r="J111">
        <v>1854861</v>
      </c>
      <c r="K111" s="1">
        <v>45833</v>
      </c>
      <c r="L111" t="s">
        <v>53</v>
      </c>
      <c r="M111" t="s">
        <v>54</v>
      </c>
      <c r="N111" t="s">
        <v>54</v>
      </c>
      <c r="O111" t="s">
        <v>54</v>
      </c>
    </row>
    <row r="112" spans="1:15" x14ac:dyDescent="0.3">
      <c r="A112">
        <v>3</v>
      </c>
      <c r="B112" s="1">
        <v>45845</v>
      </c>
      <c r="C112" s="1">
        <v>45809</v>
      </c>
      <c r="D112" t="s">
        <v>40</v>
      </c>
      <c r="E112">
        <v>10</v>
      </c>
      <c r="F112">
        <v>1079100</v>
      </c>
      <c r="G112">
        <v>2.67</v>
      </c>
      <c r="H112">
        <v>2881197</v>
      </c>
      <c r="I112">
        <v>2881</v>
      </c>
      <c r="J112">
        <v>2878316</v>
      </c>
      <c r="K112" s="1">
        <v>45860</v>
      </c>
      <c r="L112" t="s">
        <v>53</v>
      </c>
      <c r="M112" t="s">
        <v>54</v>
      </c>
      <c r="N112" t="s">
        <v>54</v>
      </c>
      <c r="O112" t="s">
        <v>54</v>
      </c>
    </row>
    <row r="113" spans="1:15" x14ac:dyDescent="0.3">
      <c r="A113">
        <v>4</v>
      </c>
      <c r="B113" s="1">
        <v>45880</v>
      </c>
      <c r="C113" s="1">
        <v>45839</v>
      </c>
      <c r="D113" t="s">
        <v>40</v>
      </c>
      <c r="E113">
        <v>10</v>
      </c>
      <c r="F113">
        <v>1250700</v>
      </c>
      <c r="G113">
        <v>2.67</v>
      </c>
      <c r="H113">
        <v>3339369</v>
      </c>
      <c r="I113">
        <v>3339</v>
      </c>
      <c r="J113">
        <v>3336030</v>
      </c>
      <c r="K113" s="1">
        <v>45895</v>
      </c>
      <c r="L113" t="s">
        <v>53</v>
      </c>
      <c r="M113" t="s">
        <v>54</v>
      </c>
      <c r="N113" t="s">
        <v>54</v>
      </c>
      <c r="O113" t="s">
        <v>54</v>
      </c>
    </row>
    <row r="114" spans="1:15" x14ac:dyDescent="0.3">
      <c r="A114">
        <v>5</v>
      </c>
      <c r="B114" s="1">
        <v>45915</v>
      </c>
      <c r="C114" s="1">
        <v>45870</v>
      </c>
      <c r="D114" t="s">
        <v>40</v>
      </c>
      <c r="E114">
        <v>10</v>
      </c>
      <c r="F114">
        <v>775500</v>
      </c>
      <c r="G114">
        <v>2.67</v>
      </c>
      <c r="H114">
        <v>2070585</v>
      </c>
      <c r="I114">
        <v>2071</v>
      </c>
      <c r="J114">
        <v>2068514</v>
      </c>
      <c r="K114" s="1">
        <v>45930</v>
      </c>
      <c r="L114" t="s">
        <v>53</v>
      </c>
      <c r="M114" t="s">
        <v>54</v>
      </c>
      <c r="N114" t="s">
        <v>54</v>
      </c>
      <c r="O114" t="s">
        <v>54</v>
      </c>
    </row>
    <row r="115" spans="1:15" x14ac:dyDescent="0.3">
      <c r="A115">
        <v>6</v>
      </c>
      <c r="B115" s="1">
        <v>45938</v>
      </c>
      <c r="C115" s="1">
        <v>45901</v>
      </c>
      <c r="D115" t="s">
        <v>40</v>
      </c>
      <c r="E115">
        <v>10</v>
      </c>
      <c r="F115">
        <v>572100</v>
      </c>
      <c r="G115">
        <v>2.67</v>
      </c>
      <c r="H115">
        <v>1527507</v>
      </c>
      <c r="I115">
        <v>1528</v>
      </c>
      <c r="J115">
        <v>1525979</v>
      </c>
      <c r="K115" s="1">
        <v>45953</v>
      </c>
      <c r="L115" t="s">
        <v>53</v>
      </c>
      <c r="M115" t="s">
        <v>54</v>
      </c>
      <c r="N115" t="s">
        <v>54</v>
      </c>
      <c r="O115" t="s">
        <v>54</v>
      </c>
    </row>
    <row r="116" spans="1:15" x14ac:dyDescent="0.3">
      <c r="A116">
        <v>7</v>
      </c>
      <c r="B116" s="1">
        <v>45970</v>
      </c>
      <c r="C116" s="1">
        <v>45931</v>
      </c>
      <c r="D116" t="s">
        <v>40</v>
      </c>
      <c r="E116">
        <v>10</v>
      </c>
      <c r="F116">
        <v>354900</v>
      </c>
      <c r="G116">
        <v>2.67</v>
      </c>
      <c r="H116">
        <v>947583</v>
      </c>
      <c r="I116">
        <v>948</v>
      </c>
      <c r="J116">
        <v>946635</v>
      </c>
      <c r="K116" s="1">
        <v>45985</v>
      </c>
      <c r="L116" t="s">
        <v>55</v>
      </c>
      <c r="M116" t="s">
        <v>54</v>
      </c>
      <c r="N116" t="s">
        <v>54</v>
      </c>
      <c r="O116" t="s">
        <v>54</v>
      </c>
    </row>
    <row r="117" spans="1:15" x14ac:dyDescent="0.3">
      <c r="A117">
        <v>8</v>
      </c>
      <c r="B117" s="1">
        <v>45997</v>
      </c>
      <c r="C117" s="1">
        <v>45962</v>
      </c>
      <c r="D117" t="s">
        <v>40</v>
      </c>
      <c r="E117">
        <v>10</v>
      </c>
      <c r="F117">
        <v>326700</v>
      </c>
      <c r="G117">
        <v>2.67</v>
      </c>
      <c r="H117">
        <v>872289</v>
      </c>
      <c r="I117">
        <v>872</v>
      </c>
      <c r="J117">
        <v>871417</v>
      </c>
      <c r="K117" s="1">
        <v>46012</v>
      </c>
      <c r="L117" t="s">
        <v>55</v>
      </c>
      <c r="M117" t="s">
        <v>54</v>
      </c>
      <c r="N117" t="s">
        <v>54</v>
      </c>
      <c r="O117" t="s">
        <v>54</v>
      </c>
    </row>
    <row r="118" spans="1:15" x14ac:dyDescent="0.3">
      <c r="A118">
        <v>9</v>
      </c>
      <c r="B118" s="1">
        <v>46049</v>
      </c>
      <c r="C118" s="1">
        <v>45992</v>
      </c>
      <c r="D118" t="s">
        <v>40</v>
      </c>
      <c r="E118">
        <v>10</v>
      </c>
      <c r="F118">
        <v>462000</v>
      </c>
      <c r="G118">
        <v>2.67</v>
      </c>
      <c r="H118">
        <v>1233540</v>
      </c>
      <c r="I118">
        <v>1234</v>
      </c>
      <c r="J118">
        <v>1232306</v>
      </c>
      <c r="K118" s="1">
        <v>46064</v>
      </c>
      <c r="L118" t="s">
        <v>55</v>
      </c>
      <c r="M118" t="s">
        <v>54</v>
      </c>
      <c r="N118" t="s">
        <v>54</v>
      </c>
      <c r="O118" t="s">
        <v>54</v>
      </c>
    </row>
    <row r="119" spans="1:15" x14ac:dyDescent="0.3">
      <c r="A119">
        <v>10</v>
      </c>
      <c r="B119" s="1">
        <v>46074</v>
      </c>
      <c r="C119" s="1">
        <v>46023</v>
      </c>
      <c r="D119" t="s">
        <v>40</v>
      </c>
      <c r="E119">
        <v>10</v>
      </c>
      <c r="F119">
        <v>431700</v>
      </c>
      <c r="G119">
        <v>2.67</v>
      </c>
      <c r="H119">
        <v>1152639</v>
      </c>
      <c r="I119">
        <v>1153</v>
      </c>
      <c r="J119">
        <v>1151486</v>
      </c>
      <c r="K119" s="1">
        <v>46089</v>
      </c>
      <c r="L119" t="s">
        <v>55</v>
      </c>
      <c r="M119" t="s">
        <v>54</v>
      </c>
      <c r="N119" t="s">
        <v>54</v>
      </c>
      <c r="O119" t="s">
        <v>54</v>
      </c>
    </row>
    <row r="120" spans="1:15" x14ac:dyDescent="0.3">
      <c r="A120">
        <v>11</v>
      </c>
      <c r="B120" s="1">
        <v>46105</v>
      </c>
      <c r="C120" s="1">
        <v>46054</v>
      </c>
      <c r="D120" t="s">
        <v>40</v>
      </c>
      <c r="E120">
        <v>10</v>
      </c>
      <c r="F120">
        <v>323100</v>
      </c>
      <c r="G120">
        <v>2.67</v>
      </c>
      <c r="H120">
        <v>862677</v>
      </c>
      <c r="I120">
        <v>863</v>
      </c>
      <c r="J120">
        <v>861814</v>
      </c>
      <c r="K120" s="1">
        <v>46120</v>
      </c>
      <c r="L120" t="s">
        <v>53</v>
      </c>
      <c r="M120" t="s">
        <v>54</v>
      </c>
      <c r="N120" t="s">
        <v>54</v>
      </c>
      <c r="O120" t="s">
        <v>54</v>
      </c>
    </row>
    <row r="121" spans="1:15" x14ac:dyDescent="0.3">
      <c r="A121">
        <v>12</v>
      </c>
      <c r="B121" s="1">
        <v>46105</v>
      </c>
      <c r="C121" s="1">
        <v>46082</v>
      </c>
      <c r="D121" t="s">
        <v>40</v>
      </c>
      <c r="E121">
        <v>10</v>
      </c>
      <c r="F121">
        <v>249900</v>
      </c>
      <c r="G121">
        <v>2.67</v>
      </c>
      <c r="H121">
        <v>667233</v>
      </c>
      <c r="I121">
        <v>667</v>
      </c>
      <c r="J121">
        <v>666566</v>
      </c>
      <c r="K121" s="1">
        <v>46120</v>
      </c>
      <c r="L121" t="s">
        <v>53</v>
      </c>
      <c r="M121" t="s">
        <v>54</v>
      </c>
      <c r="N121" t="s">
        <v>54</v>
      </c>
      <c r="O121" t="s">
        <v>54</v>
      </c>
    </row>
    <row r="122" spans="1:15" x14ac:dyDescent="0.3">
      <c r="A122">
        <v>1</v>
      </c>
      <c r="B122" s="1">
        <v>45789</v>
      </c>
      <c r="C122" s="1">
        <v>45748</v>
      </c>
      <c r="D122" t="s">
        <v>40</v>
      </c>
      <c r="E122">
        <v>11</v>
      </c>
      <c r="F122">
        <v>168457</v>
      </c>
      <c r="G122">
        <v>2.67</v>
      </c>
      <c r="H122">
        <v>449779</v>
      </c>
      <c r="I122">
        <v>450</v>
      </c>
      <c r="J122">
        <v>449330</v>
      </c>
      <c r="K122" s="1">
        <v>45804</v>
      </c>
      <c r="L122" t="s">
        <v>53</v>
      </c>
      <c r="M122" t="s">
        <v>54</v>
      </c>
      <c r="N122" t="s">
        <v>54</v>
      </c>
      <c r="O122" t="s">
        <v>54</v>
      </c>
    </row>
    <row r="123" spans="1:15" x14ac:dyDescent="0.3">
      <c r="A123">
        <v>2</v>
      </c>
      <c r="B123" s="1">
        <v>45818</v>
      </c>
      <c r="C123" s="1">
        <v>45778</v>
      </c>
      <c r="D123" t="s">
        <v>40</v>
      </c>
      <c r="E123">
        <v>11</v>
      </c>
      <c r="F123">
        <v>191144</v>
      </c>
      <c r="G123">
        <v>2.67</v>
      </c>
      <c r="H123">
        <v>510354</v>
      </c>
      <c r="I123">
        <v>510</v>
      </c>
      <c r="J123">
        <v>509843</v>
      </c>
      <c r="K123" s="1">
        <v>45833</v>
      </c>
      <c r="L123" t="s">
        <v>53</v>
      </c>
      <c r="M123" t="s">
        <v>54</v>
      </c>
      <c r="N123" t="s">
        <v>54</v>
      </c>
      <c r="O123" t="s">
        <v>54</v>
      </c>
    </row>
    <row r="124" spans="1:15" x14ac:dyDescent="0.3">
      <c r="A124">
        <v>3</v>
      </c>
      <c r="B124" s="1">
        <v>45845</v>
      </c>
      <c r="C124" s="1">
        <v>45809</v>
      </c>
      <c r="D124" t="s">
        <v>40</v>
      </c>
      <c r="E124">
        <v>11</v>
      </c>
      <c r="F124">
        <v>370909</v>
      </c>
      <c r="G124">
        <v>2.67</v>
      </c>
      <c r="H124">
        <v>990327</v>
      </c>
      <c r="I124">
        <v>990</v>
      </c>
      <c r="J124">
        <v>989337</v>
      </c>
      <c r="K124" s="1">
        <v>45860</v>
      </c>
      <c r="L124" t="s">
        <v>53</v>
      </c>
      <c r="M124" t="s">
        <v>54</v>
      </c>
      <c r="N124" t="s">
        <v>54</v>
      </c>
      <c r="O124" t="s">
        <v>54</v>
      </c>
    </row>
    <row r="125" spans="1:15" x14ac:dyDescent="0.3">
      <c r="A125">
        <v>4</v>
      </c>
      <c r="B125" s="1">
        <v>45880</v>
      </c>
      <c r="C125" s="1">
        <v>45839</v>
      </c>
      <c r="D125" t="s">
        <v>40</v>
      </c>
      <c r="E125">
        <v>11</v>
      </c>
      <c r="F125">
        <v>406505</v>
      </c>
      <c r="G125">
        <v>2.67</v>
      </c>
      <c r="H125">
        <v>1085369</v>
      </c>
      <c r="I125">
        <v>1085</v>
      </c>
      <c r="J125">
        <v>1084283</v>
      </c>
      <c r="K125" s="1">
        <v>45895</v>
      </c>
      <c r="L125" t="s">
        <v>53</v>
      </c>
      <c r="M125" t="s">
        <v>54</v>
      </c>
      <c r="N125" t="s">
        <v>54</v>
      </c>
      <c r="O125" t="s">
        <v>54</v>
      </c>
    </row>
    <row r="126" spans="1:15" x14ac:dyDescent="0.3">
      <c r="A126">
        <v>5</v>
      </c>
      <c r="B126" s="1">
        <v>45915</v>
      </c>
      <c r="C126" s="1">
        <v>45870</v>
      </c>
      <c r="D126" t="s">
        <v>40</v>
      </c>
      <c r="E126">
        <v>11</v>
      </c>
      <c r="F126">
        <v>239028</v>
      </c>
      <c r="G126">
        <v>2.67</v>
      </c>
      <c r="H126">
        <v>638205</v>
      </c>
      <c r="I126">
        <v>638</v>
      </c>
      <c r="J126">
        <v>637567</v>
      </c>
      <c r="K126" s="1">
        <v>45930</v>
      </c>
      <c r="L126" t="s">
        <v>55</v>
      </c>
      <c r="M126" t="s">
        <v>54</v>
      </c>
      <c r="N126" t="s">
        <v>54</v>
      </c>
      <c r="O126" t="s">
        <v>54</v>
      </c>
    </row>
    <row r="127" spans="1:15" x14ac:dyDescent="0.3">
      <c r="A127">
        <v>6</v>
      </c>
      <c r="B127" s="1">
        <v>45938</v>
      </c>
      <c r="C127" s="1">
        <v>45901</v>
      </c>
      <c r="D127" t="s">
        <v>40</v>
      </c>
      <c r="E127">
        <v>11</v>
      </c>
      <c r="F127">
        <v>203462</v>
      </c>
      <c r="G127">
        <v>2.67</v>
      </c>
      <c r="H127">
        <v>543243</v>
      </c>
      <c r="I127">
        <v>543</v>
      </c>
      <c r="J127">
        <v>542700</v>
      </c>
      <c r="K127" s="1">
        <v>45953</v>
      </c>
      <c r="L127" t="s">
        <v>53</v>
      </c>
      <c r="M127" t="s">
        <v>54</v>
      </c>
      <c r="N127" t="s">
        <v>54</v>
      </c>
      <c r="O127" t="s">
        <v>54</v>
      </c>
    </row>
    <row r="128" spans="1:15" x14ac:dyDescent="0.3">
      <c r="A128">
        <v>7</v>
      </c>
      <c r="B128" s="1">
        <v>45970</v>
      </c>
      <c r="C128" s="1">
        <v>45931</v>
      </c>
      <c r="D128" t="s">
        <v>40</v>
      </c>
      <c r="E128">
        <v>11</v>
      </c>
      <c r="F128">
        <v>152718</v>
      </c>
      <c r="G128">
        <v>2.67</v>
      </c>
      <c r="H128">
        <v>407757</v>
      </c>
      <c r="I128">
        <v>408</v>
      </c>
      <c r="J128">
        <v>407349</v>
      </c>
      <c r="K128" s="1">
        <v>45985</v>
      </c>
      <c r="L128" t="s">
        <v>53</v>
      </c>
      <c r="M128" t="s">
        <v>54</v>
      </c>
      <c r="N128" t="s">
        <v>54</v>
      </c>
      <c r="O128" t="s">
        <v>54</v>
      </c>
    </row>
    <row r="129" spans="1:15" x14ac:dyDescent="0.3">
      <c r="A129">
        <v>8</v>
      </c>
      <c r="B129" s="1">
        <v>45997</v>
      </c>
      <c r="C129" s="1">
        <v>45962</v>
      </c>
      <c r="D129" t="s">
        <v>40</v>
      </c>
      <c r="E129">
        <v>11</v>
      </c>
      <c r="F129">
        <v>144096</v>
      </c>
      <c r="G129">
        <v>2.67</v>
      </c>
      <c r="H129">
        <v>384736</v>
      </c>
      <c r="I129">
        <v>385</v>
      </c>
      <c r="J129">
        <v>384352</v>
      </c>
      <c r="K129" s="1">
        <v>46012</v>
      </c>
      <c r="L129" t="s">
        <v>55</v>
      </c>
      <c r="M129" t="s">
        <v>54</v>
      </c>
      <c r="N129" t="s">
        <v>54</v>
      </c>
      <c r="O129" t="s">
        <v>54</v>
      </c>
    </row>
    <row r="130" spans="1:15" x14ac:dyDescent="0.3">
      <c r="A130">
        <v>9</v>
      </c>
      <c r="B130" s="1">
        <v>46049</v>
      </c>
      <c r="C130" s="1">
        <v>45992</v>
      </c>
      <c r="D130" t="s">
        <v>40</v>
      </c>
      <c r="E130">
        <v>11</v>
      </c>
      <c r="F130">
        <v>197919</v>
      </c>
      <c r="G130">
        <v>2.67</v>
      </c>
      <c r="H130">
        <v>528443</v>
      </c>
      <c r="I130">
        <v>528</v>
      </c>
      <c r="J130">
        <v>527914</v>
      </c>
      <c r="K130" s="1">
        <v>46064</v>
      </c>
      <c r="L130" t="s">
        <v>55</v>
      </c>
      <c r="M130" t="s">
        <v>54</v>
      </c>
      <c r="N130" t="s">
        <v>54</v>
      </c>
      <c r="O130" t="s">
        <v>54</v>
      </c>
    </row>
    <row r="131" spans="1:15" x14ac:dyDescent="0.3">
      <c r="A131">
        <v>10</v>
      </c>
      <c r="B131" s="1">
        <v>46074</v>
      </c>
      <c r="C131" s="1">
        <v>46023</v>
      </c>
      <c r="D131" t="s">
        <v>40</v>
      </c>
      <c r="E131">
        <v>11</v>
      </c>
      <c r="F131">
        <v>87138</v>
      </c>
      <c r="G131">
        <v>2.67</v>
      </c>
      <c r="H131">
        <v>232658</v>
      </c>
      <c r="I131">
        <v>233</v>
      </c>
      <c r="J131">
        <v>232425</v>
      </c>
      <c r="K131" s="1">
        <v>46089</v>
      </c>
      <c r="L131" t="s">
        <v>53</v>
      </c>
      <c r="M131" t="s">
        <v>54</v>
      </c>
      <c r="N131" t="s">
        <v>54</v>
      </c>
      <c r="O131" t="s">
        <v>54</v>
      </c>
    </row>
    <row r="132" spans="1:15" x14ac:dyDescent="0.3">
      <c r="A132">
        <v>11</v>
      </c>
      <c r="B132" s="1">
        <v>46105</v>
      </c>
      <c r="C132" s="1">
        <v>46054</v>
      </c>
      <c r="D132" t="s">
        <v>40</v>
      </c>
      <c r="E132">
        <v>11</v>
      </c>
      <c r="F132">
        <v>62945</v>
      </c>
      <c r="G132">
        <v>2.67</v>
      </c>
      <c r="H132">
        <v>168062</v>
      </c>
      <c r="I132">
        <v>168</v>
      </c>
      <c r="J132">
        <v>167894</v>
      </c>
      <c r="K132" s="1">
        <v>46120</v>
      </c>
      <c r="L132" t="s">
        <v>53</v>
      </c>
      <c r="M132" t="s">
        <v>54</v>
      </c>
      <c r="N132" t="s">
        <v>54</v>
      </c>
      <c r="O132" t="s">
        <v>54</v>
      </c>
    </row>
    <row r="133" spans="1:15" x14ac:dyDescent="0.3">
      <c r="A133">
        <v>12</v>
      </c>
      <c r="B133" s="1">
        <v>46105</v>
      </c>
      <c r="C133" s="1">
        <v>46082</v>
      </c>
      <c r="D133" t="s">
        <v>40</v>
      </c>
      <c r="E133">
        <v>11</v>
      </c>
      <c r="F133">
        <v>76165</v>
      </c>
      <c r="G133">
        <v>2.67</v>
      </c>
      <c r="H133">
        <v>203360</v>
      </c>
      <c r="I133">
        <v>203</v>
      </c>
      <c r="J133">
        <v>203156</v>
      </c>
      <c r="K133" s="1">
        <v>46120</v>
      </c>
      <c r="L133" t="s">
        <v>53</v>
      </c>
      <c r="M133" t="s">
        <v>54</v>
      </c>
      <c r="N133" t="s">
        <v>54</v>
      </c>
      <c r="O133" t="s">
        <v>54</v>
      </c>
    </row>
    <row r="134" spans="1:15" x14ac:dyDescent="0.3">
      <c r="A134">
        <v>1</v>
      </c>
      <c r="B134" s="1">
        <v>45755</v>
      </c>
      <c r="C134" s="1">
        <v>45748</v>
      </c>
      <c r="D134" t="s">
        <v>40</v>
      </c>
      <c r="E134">
        <v>12</v>
      </c>
      <c r="F134">
        <v>95760</v>
      </c>
      <c r="G134">
        <v>3.4</v>
      </c>
      <c r="H134">
        <v>325584</v>
      </c>
      <c r="I134">
        <v>326</v>
      </c>
      <c r="J134">
        <v>325258</v>
      </c>
      <c r="K134" s="1">
        <v>45765</v>
      </c>
      <c r="L134" t="s">
        <v>53</v>
      </c>
      <c r="M134" t="s">
        <v>54</v>
      </c>
      <c r="N134" t="s">
        <v>54</v>
      </c>
      <c r="O134" t="s">
        <v>54</v>
      </c>
    </row>
    <row r="135" spans="1:15" x14ac:dyDescent="0.3">
      <c r="A135">
        <v>2</v>
      </c>
      <c r="B135" s="1">
        <v>45789</v>
      </c>
      <c r="C135" s="1">
        <v>45778</v>
      </c>
      <c r="D135" t="s">
        <v>40</v>
      </c>
      <c r="E135">
        <v>12</v>
      </c>
      <c r="F135">
        <v>329640</v>
      </c>
      <c r="G135">
        <v>3.4</v>
      </c>
      <c r="H135">
        <v>1120776</v>
      </c>
      <c r="I135">
        <v>1121</v>
      </c>
      <c r="J135">
        <v>1119655</v>
      </c>
      <c r="K135" s="1">
        <v>45799</v>
      </c>
      <c r="L135" t="s">
        <v>53</v>
      </c>
      <c r="M135" t="s">
        <v>54</v>
      </c>
      <c r="N135" t="s">
        <v>54</v>
      </c>
      <c r="O135" t="s">
        <v>54</v>
      </c>
    </row>
    <row r="136" spans="1:15" x14ac:dyDescent="0.3">
      <c r="A136">
        <v>3</v>
      </c>
      <c r="B136" s="1">
        <v>45817</v>
      </c>
      <c r="C136" s="1">
        <v>45809</v>
      </c>
      <c r="D136" t="s">
        <v>40</v>
      </c>
      <c r="E136">
        <v>12</v>
      </c>
      <c r="F136">
        <v>507120</v>
      </c>
      <c r="G136">
        <v>3.4</v>
      </c>
      <c r="H136">
        <v>1724208</v>
      </c>
      <c r="I136">
        <v>1724</v>
      </c>
      <c r="J136">
        <v>1722484</v>
      </c>
      <c r="K136" s="1">
        <v>45827</v>
      </c>
      <c r="L136" t="s">
        <v>53</v>
      </c>
      <c r="M136" t="s">
        <v>54</v>
      </c>
      <c r="N136" t="s">
        <v>54</v>
      </c>
      <c r="O136" t="s">
        <v>54</v>
      </c>
    </row>
    <row r="137" spans="1:15" x14ac:dyDescent="0.3">
      <c r="A137">
        <v>4</v>
      </c>
      <c r="B137" s="1">
        <v>45852</v>
      </c>
      <c r="C137" s="1">
        <v>45839</v>
      </c>
      <c r="D137" t="s">
        <v>40</v>
      </c>
      <c r="E137">
        <v>12</v>
      </c>
      <c r="F137">
        <v>557640</v>
      </c>
      <c r="G137">
        <v>3.4</v>
      </c>
      <c r="H137">
        <v>1895976</v>
      </c>
      <c r="I137">
        <v>1896</v>
      </c>
      <c r="J137">
        <v>1894080</v>
      </c>
      <c r="K137" s="1">
        <v>45862</v>
      </c>
      <c r="L137" t="s">
        <v>53</v>
      </c>
      <c r="M137" t="s">
        <v>54</v>
      </c>
      <c r="N137" t="s">
        <v>54</v>
      </c>
      <c r="O137" t="s">
        <v>54</v>
      </c>
    </row>
    <row r="138" spans="1:15" x14ac:dyDescent="0.3">
      <c r="A138">
        <v>5</v>
      </c>
      <c r="B138" s="1">
        <v>45883</v>
      </c>
      <c r="C138" s="1">
        <v>45870</v>
      </c>
      <c r="D138" t="s">
        <v>40</v>
      </c>
      <c r="E138">
        <v>12</v>
      </c>
      <c r="F138">
        <v>366120</v>
      </c>
      <c r="G138">
        <v>3.4</v>
      </c>
      <c r="H138">
        <v>1244808</v>
      </c>
      <c r="I138">
        <v>1245</v>
      </c>
      <c r="J138">
        <v>1243563</v>
      </c>
      <c r="K138" s="1">
        <v>45893</v>
      </c>
      <c r="L138" t="s">
        <v>55</v>
      </c>
      <c r="M138" t="s">
        <v>54</v>
      </c>
      <c r="N138" t="s">
        <v>54</v>
      </c>
      <c r="O138" t="s">
        <v>54</v>
      </c>
    </row>
    <row r="139" spans="1:15" x14ac:dyDescent="0.3">
      <c r="A139">
        <v>6</v>
      </c>
      <c r="B139" s="1">
        <v>45908</v>
      </c>
      <c r="C139" s="1">
        <v>45901</v>
      </c>
      <c r="D139" t="s">
        <v>40</v>
      </c>
      <c r="E139">
        <v>12</v>
      </c>
      <c r="F139">
        <v>324480</v>
      </c>
      <c r="G139">
        <v>3.4</v>
      </c>
      <c r="H139">
        <v>1103232</v>
      </c>
      <c r="I139">
        <v>1103</v>
      </c>
      <c r="J139">
        <v>1102129</v>
      </c>
      <c r="K139" s="1">
        <v>45918</v>
      </c>
      <c r="L139" t="s">
        <v>55</v>
      </c>
      <c r="M139" t="s">
        <v>54</v>
      </c>
      <c r="N139" t="s">
        <v>54</v>
      </c>
      <c r="O139" t="s">
        <v>54</v>
      </c>
    </row>
    <row r="140" spans="1:15" x14ac:dyDescent="0.3">
      <c r="A140">
        <v>7</v>
      </c>
      <c r="B140" s="1">
        <v>45957</v>
      </c>
      <c r="C140" s="1">
        <v>45931</v>
      </c>
      <c r="D140" t="s">
        <v>40</v>
      </c>
      <c r="E140">
        <v>12</v>
      </c>
      <c r="F140">
        <v>211560</v>
      </c>
      <c r="G140">
        <v>3.4</v>
      </c>
      <c r="H140">
        <v>719304</v>
      </c>
      <c r="I140">
        <v>719</v>
      </c>
      <c r="J140">
        <v>718585</v>
      </c>
      <c r="K140" s="1">
        <v>45967</v>
      </c>
      <c r="L140" t="s">
        <v>55</v>
      </c>
      <c r="M140" t="s">
        <v>54</v>
      </c>
      <c r="N140" t="s">
        <v>54</v>
      </c>
      <c r="O140" t="s">
        <v>54</v>
      </c>
    </row>
    <row r="141" spans="1:15" x14ac:dyDescent="0.3">
      <c r="A141">
        <v>8</v>
      </c>
      <c r="B141" s="1">
        <v>45973</v>
      </c>
      <c r="C141" s="1">
        <v>45962</v>
      </c>
      <c r="D141" t="s">
        <v>40</v>
      </c>
      <c r="E141">
        <v>12</v>
      </c>
      <c r="F141">
        <v>112920</v>
      </c>
      <c r="G141">
        <v>3.4</v>
      </c>
      <c r="H141">
        <v>383928</v>
      </c>
      <c r="I141">
        <v>384</v>
      </c>
      <c r="J141">
        <v>383544</v>
      </c>
      <c r="K141" s="1">
        <v>45983</v>
      </c>
      <c r="L141" t="s">
        <v>55</v>
      </c>
      <c r="M141" t="s">
        <v>54</v>
      </c>
      <c r="N141" t="s">
        <v>54</v>
      </c>
      <c r="O141" t="s">
        <v>54</v>
      </c>
    </row>
    <row r="142" spans="1:15" x14ac:dyDescent="0.3">
      <c r="A142">
        <v>9</v>
      </c>
      <c r="B142" s="1">
        <v>46003</v>
      </c>
      <c r="C142" s="1">
        <v>45992</v>
      </c>
      <c r="D142" t="s">
        <v>40</v>
      </c>
      <c r="E142">
        <v>12</v>
      </c>
      <c r="F142">
        <v>148800</v>
      </c>
      <c r="G142">
        <v>3.4</v>
      </c>
      <c r="H142">
        <v>505920</v>
      </c>
      <c r="I142">
        <v>506</v>
      </c>
      <c r="J142">
        <v>505414</v>
      </c>
      <c r="K142" s="1">
        <v>46013</v>
      </c>
      <c r="L142" t="s">
        <v>55</v>
      </c>
      <c r="M142" t="s">
        <v>54</v>
      </c>
      <c r="N142" t="s">
        <v>54</v>
      </c>
      <c r="O142" t="s">
        <v>54</v>
      </c>
    </row>
    <row r="143" spans="1:15" x14ac:dyDescent="0.3">
      <c r="A143">
        <v>10</v>
      </c>
      <c r="B143" s="1">
        <v>46030</v>
      </c>
      <c r="C143" s="1">
        <v>46023</v>
      </c>
      <c r="D143" t="s">
        <v>40</v>
      </c>
      <c r="E143">
        <v>12</v>
      </c>
      <c r="F143">
        <v>164880</v>
      </c>
      <c r="G143">
        <v>3.4</v>
      </c>
      <c r="H143">
        <v>560592</v>
      </c>
      <c r="I143">
        <v>561</v>
      </c>
      <c r="J143">
        <v>560031</v>
      </c>
      <c r="K143" s="1">
        <v>46040</v>
      </c>
      <c r="L143" t="s">
        <v>55</v>
      </c>
      <c r="M143" t="s">
        <v>54</v>
      </c>
      <c r="N143" t="s">
        <v>54</v>
      </c>
      <c r="O143" t="s">
        <v>54</v>
      </c>
    </row>
    <row r="144" spans="1:15" x14ac:dyDescent="0.3">
      <c r="A144">
        <v>11</v>
      </c>
      <c r="B144" s="1">
        <v>46073</v>
      </c>
      <c r="C144" s="1">
        <v>46054</v>
      </c>
      <c r="D144" t="s">
        <v>40</v>
      </c>
      <c r="E144">
        <v>12</v>
      </c>
      <c r="F144">
        <v>120840</v>
      </c>
      <c r="G144">
        <v>3.4</v>
      </c>
      <c r="H144">
        <v>410856</v>
      </c>
      <c r="I144">
        <v>411</v>
      </c>
      <c r="J144">
        <v>410445</v>
      </c>
      <c r="K144" s="1">
        <v>46083</v>
      </c>
      <c r="L144" t="s">
        <v>55</v>
      </c>
      <c r="M144" t="s">
        <v>54</v>
      </c>
      <c r="N144" t="s">
        <v>54</v>
      </c>
      <c r="O144" t="s">
        <v>54</v>
      </c>
    </row>
    <row r="145" spans="1:15" x14ac:dyDescent="0.3">
      <c r="A145">
        <v>12</v>
      </c>
      <c r="B145" s="1">
        <v>46088</v>
      </c>
      <c r="C145" s="1">
        <v>46082</v>
      </c>
      <c r="D145" t="s">
        <v>40</v>
      </c>
      <c r="E145">
        <v>12</v>
      </c>
      <c r="F145">
        <v>105720</v>
      </c>
      <c r="G145">
        <v>3.4</v>
      </c>
      <c r="H145">
        <v>359448</v>
      </c>
      <c r="I145">
        <v>359</v>
      </c>
      <c r="J145">
        <v>359089</v>
      </c>
      <c r="K145" s="1">
        <v>46098</v>
      </c>
      <c r="L145" t="s">
        <v>53</v>
      </c>
      <c r="M145" t="s">
        <v>54</v>
      </c>
      <c r="N145" t="s">
        <v>54</v>
      </c>
      <c r="O145" t="s">
        <v>54</v>
      </c>
    </row>
    <row r="146" spans="1:15" x14ac:dyDescent="0.3">
      <c r="A146">
        <v>1</v>
      </c>
      <c r="B146" s="1">
        <v>45755</v>
      </c>
      <c r="C146" s="1">
        <v>45748</v>
      </c>
      <c r="D146" t="s">
        <v>40</v>
      </c>
      <c r="E146">
        <v>13</v>
      </c>
      <c r="F146">
        <v>78720</v>
      </c>
      <c r="G146">
        <v>3.4</v>
      </c>
      <c r="H146">
        <v>267648</v>
      </c>
      <c r="I146">
        <v>268</v>
      </c>
      <c r="J146">
        <v>267380</v>
      </c>
      <c r="K146" s="1">
        <v>45770</v>
      </c>
      <c r="L146" t="s">
        <v>53</v>
      </c>
      <c r="M146" t="s">
        <v>54</v>
      </c>
      <c r="N146" t="s">
        <v>54</v>
      </c>
      <c r="O146" t="s">
        <v>54</v>
      </c>
    </row>
    <row r="147" spans="1:15" x14ac:dyDescent="0.3">
      <c r="A147">
        <v>2</v>
      </c>
      <c r="B147" s="1">
        <v>45789</v>
      </c>
      <c r="C147" s="1">
        <v>45778</v>
      </c>
      <c r="D147" t="s">
        <v>40</v>
      </c>
      <c r="E147">
        <v>13</v>
      </c>
      <c r="F147">
        <v>300480</v>
      </c>
      <c r="G147">
        <v>3.4</v>
      </c>
      <c r="H147">
        <v>1021632</v>
      </c>
      <c r="I147">
        <v>1022</v>
      </c>
      <c r="J147">
        <v>1020610</v>
      </c>
      <c r="K147" s="1">
        <v>45804</v>
      </c>
      <c r="L147" t="s">
        <v>53</v>
      </c>
      <c r="M147" t="s">
        <v>54</v>
      </c>
      <c r="N147" t="s">
        <v>54</v>
      </c>
      <c r="O147" t="s">
        <v>54</v>
      </c>
    </row>
    <row r="148" spans="1:15" x14ac:dyDescent="0.3">
      <c r="A148">
        <v>3</v>
      </c>
      <c r="B148" s="1">
        <v>45817</v>
      </c>
      <c r="C148" s="1">
        <v>45809</v>
      </c>
      <c r="D148" t="s">
        <v>40</v>
      </c>
      <c r="E148">
        <v>13</v>
      </c>
      <c r="F148">
        <v>447600</v>
      </c>
      <c r="G148">
        <v>3.4</v>
      </c>
      <c r="H148">
        <v>1521840</v>
      </c>
      <c r="I148">
        <v>1522</v>
      </c>
      <c r="J148">
        <v>1520318</v>
      </c>
      <c r="K148" s="1">
        <v>45832</v>
      </c>
      <c r="L148" t="s">
        <v>53</v>
      </c>
      <c r="M148" t="s">
        <v>54</v>
      </c>
      <c r="N148" t="s">
        <v>54</v>
      </c>
      <c r="O148" t="s">
        <v>54</v>
      </c>
    </row>
    <row r="149" spans="1:15" x14ac:dyDescent="0.3">
      <c r="A149">
        <v>4</v>
      </c>
      <c r="B149" s="1">
        <v>45852</v>
      </c>
      <c r="C149" s="1">
        <v>45839</v>
      </c>
      <c r="D149" t="s">
        <v>40</v>
      </c>
      <c r="E149">
        <v>13</v>
      </c>
      <c r="F149">
        <v>570960</v>
      </c>
      <c r="G149">
        <v>3.4</v>
      </c>
      <c r="H149">
        <v>1941264</v>
      </c>
      <c r="I149">
        <v>1941</v>
      </c>
      <c r="J149">
        <v>1939323</v>
      </c>
      <c r="K149" s="1">
        <v>45867</v>
      </c>
      <c r="L149" t="s">
        <v>53</v>
      </c>
      <c r="M149" t="s">
        <v>54</v>
      </c>
      <c r="N149" t="s">
        <v>54</v>
      </c>
      <c r="O149" t="s">
        <v>54</v>
      </c>
    </row>
    <row r="150" spans="1:15" x14ac:dyDescent="0.3">
      <c r="A150">
        <v>5</v>
      </c>
      <c r="B150" s="1">
        <v>45883</v>
      </c>
      <c r="C150" s="1">
        <v>45870</v>
      </c>
      <c r="D150" t="s">
        <v>40</v>
      </c>
      <c r="E150">
        <v>13</v>
      </c>
      <c r="F150">
        <v>331320</v>
      </c>
      <c r="G150">
        <v>3.4</v>
      </c>
      <c r="H150">
        <v>1126488</v>
      </c>
      <c r="I150">
        <v>1126</v>
      </c>
      <c r="J150">
        <v>1125362</v>
      </c>
      <c r="K150" s="1">
        <v>45898</v>
      </c>
      <c r="L150" t="s">
        <v>53</v>
      </c>
      <c r="M150" t="s">
        <v>54</v>
      </c>
      <c r="N150" t="s">
        <v>54</v>
      </c>
      <c r="O150" t="s">
        <v>54</v>
      </c>
    </row>
    <row r="151" spans="1:15" x14ac:dyDescent="0.3">
      <c r="A151">
        <v>6</v>
      </c>
      <c r="B151" s="1">
        <v>45908</v>
      </c>
      <c r="C151" s="1">
        <v>45901</v>
      </c>
      <c r="D151" t="s">
        <v>40</v>
      </c>
      <c r="E151">
        <v>13</v>
      </c>
      <c r="F151">
        <v>282960</v>
      </c>
      <c r="G151">
        <v>3.4</v>
      </c>
      <c r="H151">
        <v>962064</v>
      </c>
      <c r="I151">
        <v>962</v>
      </c>
      <c r="J151">
        <v>961102</v>
      </c>
      <c r="K151" s="1">
        <v>45923</v>
      </c>
      <c r="L151" t="s">
        <v>53</v>
      </c>
      <c r="M151" t="s">
        <v>54</v>
      </c>
      <c r="N151" t="s">
        <v>54</v>
      </c>
      <c r="O151" t="s">
        <v>54</v>
      </c>
    </row>
    <row r="152" spans="1:15" x14ac:dyDescent="0.3">
      <c r="A152">
        <v>7</v>
      </c>
      <c r="B152" s="1">
        <v>45957</v>
      </c>
      <c r="C152" s="1">
        <v>45931</v>
      </c>
      <c r="D152" t="s">
        <v>40</v>
      </c>
      <c r="E152">
        <v>13</v>
      </c>
      <c r="F152">
        <v>190920</v>
      </c>
      <c r="G152">
        <v>3.4</v>
      </c>
      <c r="H152">
        <v>649128</v>
      </c>
      <c r="I152">
        <v>649</v>
      </c>
      <c r="J152">
        <v>648479</v>
      </c>
      <c r="K152" s="1">
        <v>45972</v>
      </c>
      <c r="L152" t="s">
        <v>53</v>
      </c>
      <c r="M152" t="s">
        <v>54</v>
      </c>
      <c r="N152" t="s">
        <v>54</v>
      </c>
      <c r="O152" t="s">
        <v>54</v>
      </c>
    </row>
    <row r="153" spans="1:15" x14ac:dyDescent="0.3">
      <c r="A153">
        <v>8</v>
      </c>
      <c r="B153" s="1">
        <v>45973</v>
      </c>
      <c r="C153" s="1">
        <v>45962</v>
      </c>
      <c r="D153" t="s">
        <v>40</v>
      </c>
      <c r="E153">
        <v>13</v>
      </c>
      <c r="F153">
        <v>121920</v>
      </c>
      <c r="G153">
        <v>3.4</v>
      </c>
      <c r="H153">
        <v>414528</v>
      </c>
      <c r="I153">
        <v>415</v>
      </c>
      <c r="J153">
        <v>414113</v>
      </c>
      <c r="K153" s="1">
        <v>45988</v>
      </c>
      <c r="L153" t="s">
        <v>53</v>
      </c>
      <c r="M153" t="s">
        <v>54</v>
      </c>
      <c r="N153" t="s">
        <v>54</v>
      </c>
      <c r="O153" t="s">
        <v>54</v>
      </c>
    </row>
    <row r="154" spans="1:15" x14ac:dyDescent="0.3">
      <c r="A154">
        <v>9</v>
      </c>
      <c r="B154" s="1">
        <v>46003</v>
      </c>
      <c r="C154" s="1">
        <v>45992</v>
      </c>
      <c r="D154" t="s">
        <v>40</v>
      </c>
      <c r="E154">
        <v>13</v>
      </c>
      <c r="F154">
        <v>188520</v>
      </c>
      <c r="G154">
        <v>3.4</v>
      </c>
      <c r="H154">
        <v>640968</v>
      </c>
      <c r="I154">
        <v>641</v>
      </c>
      <c r="J154">
        <v>640327</v>
      </c>
      <c r="K154" s="1">
        <v>46018</v>
      </c>
      <c r="L154" t="s">
        <v>53</v>
      </c>
      <c r="M154" t="s">
        <v>54</v>
      </c>
      <c r="N154" t="s">
        <v>54</v>
      </c>
      <c r="O154" t="s">
        <v>54</v>
      </c>
    </row>
    <row r="155" spans="1:15" x14ac:dyDescent="0.3">
      <c r="A155">
        <v>10</v>
      </c>
      <c r="B155" s="1">
        <v>46030</v>
      </c>
      <c r="C155" s="1">
        <v>46023</v>
      </c>
      <c r="D155" t="s">
        <v>40</v>
      </c>
      <c r="E155">
        <v>13</v>
      </c>
      <c r="F155">
        <v>174000</v>
      </c>
      <c r="G155">
        <v>3.4</v>
      </c>
      <c r="H155">
        <v>591600</v>
      </c>
      <c r="I155">
        <v>592</v>
      </c>
      <c r="J155">
        <v>591008</v>
      </c>
      <c r="K155" s="1">
        <v>46045</v>
      </c>
      <c r="L155" t="s">
        <v>53</v>
      </c>
      <c r="M155" t="s">
        <v>54</v>
      </c>
      <c r="N155" t="s">
        <v>54</v>
      </c>
      <c r="O155" t="s">
        <v>54</v>
      </c>
    </row>
    <row r="156" spans="1:15" x14ac:dyDescent="0.3">
      <c r="A156">
        <v>11</v>
      </c>
      <c r="B156" s="1">
        <v>46073</v>
      </c>
      <c r="C156" s="1">
        <v>46054</v>
      </c>
      <c r="D156" t="s">
        <v>40</v>
      </c>
      <c r="E156">
        <v>13</v>
      </c>
      <c r="F156">
        <v>132240</v>
      </c>
      <c r="G156">
        <v>3.4</v>
      </c>
      <c r="H156">
        <v>449616</v>
      </c>
      <c r="I156">
        <v>450</v>
      </c>
      <c r="J156">
        <v>449166</v>
      </c>
      <c r="K156" s="1">
        <v>46088</v>
      </c>
      <c r="L156" t="s">
        <v>53</v>
      </c>
      <c r="M156" t="s">
        <v>54</v>
      </c>
      <c r="N156" t="s">
        <v>54</v>
      </c>
      <c r="O156" t="s">
        <v>54</v>
      </c>
    </row>
    <row r="157" spans="1:15" x14ac:dyDescent="0.3">
      <c r="A157">
        <v>12</v>
      </c>
      <c r="B157" s="1">
        <v>46088</v>
      </c>
      <c r="C157" s="1">
        <v>46082</v>
      </c>
      <c r="D157" t="s">
        <v>40</v>
      </c>
      <c r="E157">
        <v>13</v>
      </c>
      <c r="F157">
        <v>92880</v>
      </c>
      <c r="G157">
        <v>3.4</v>
      </c>
      <c r="H157">
        <v>315792</v>
      </c>
      <c r="I157">
        <v>316</v>
      </c>
      <c r="J157">
        <v>315476</v>
      </c>
      <c r="K157" s="1">
        <v>46103</v>
      </c>
      <c r="L157" t="s">
        <v>53</v>
      </c>
      <c r="M157" t="s">
        <v>54</v>
      </c>
      <c r="N157" t="s">
        <v>54</v>
      </c>
      <c r="O157" t="s">
        <v>54</v>
      </c>
    </row>
    <row r="158" spans="1:15" x14ac:dyDescent="0.3">
      <c r="A158">
        <v>1</v>
      </c>
      <c r="B158" s="1">
        <v>45782</v>
      </c>
      <c r="C158" s="1">
        <v>45748</v>
      </c>
      <c r="D158" t="s">
        <v>40</v>
      </c>
      <c r="E158">
        <v>14</v>
      </c>
      <c r="F158">
        <v>72960</v>
      </c>
      <c r="G158">
        <v>3.4</v>
      </c>
      <c r="H158">
        <v>248064</v>
      </c>
      <c r="I158">
        <v>248</v>
      </c>
      <c r="J158">
        <v>247816</v>
      </c>
      <c r="K158" s="1">
        <v>45797</v>
      </c>
      <c r="L158" t="s">
        <v>53</v>
      </c>
      <c r="M158" t="s">
        <v>54</v>
      </c>
      <c r="N158" t="s">
        <v>54</v>
      </c>
      <c r="O158" t="s">
        <v>54</v>
      </c>
    </row>
    <row r="159" spans="1:15" x14ac:dyDescent="0.3">
      <c r="A159">
        <v>2</v>
      </c>
      <c r="B159" s="1">
        <v>45805</v>
      </c>
      <c r="C159" s="1">
        <v>45778</v>
      </c>
      <c r="D159" t="s">
        <v>40</v>
      </c>
      <c r="E159">
        <v>14</v>
      </c>
      <c r="F159">
        <v>265800</v>
      </c>
      <c r="G159">
        <v>3.4</v>
      </c>
      <c r="H159">
        <v>903720</v>
      </c>
      <c r="I159">
        <v>904</v>
      </c>
      <c r="J159">
        <v>902816</v>
      </c>
      <c r="K159" s="1">
        <v>45820</v>
      </c>
      <c r="L159" t="s">
        <v>53</v>
      </c>
      <c r="M159" t="s">
        <v>54</v>
      </c>
      <c r="N159" t="s">
        <v>54</v>
      </c>
      <c r="O159" t="s">
        <v>54</v>
      </c>
    </row>
    <row r="160" spans="1:15" x14ac:dyDescent="0.3">
      <c r="A160">
        <v>3</v>
      </c>
      <c r="B160" s="1">
        <v>45834</v>
      </c>
      <c r="C160" s="1">
        <v>45809</v>
      </c>
      <c r="D160" t="s">
        <v>40</v>
      </c>
      <c r="E160">
        <v>14</v>
      </c>
      <c r="F160">
        <v>436680</v>
      </c>
      <c r="G160">
        <v>3.4</v>
      </c>
      <c r="H160">
        <v>1484712</v>
      </c>
      <c r="I160">
        <v>1485</v>
      </c>
      <c r="J160">
        <v>1483227</v>
      </c>
      <c r="K160" s="1">
        <v>45849</v>
      </c>
      <c r="L160" t="s">
        <v>53</v>
      </c>
      <c r="M160" t="s">
        <v>54</v>
      </c>
      <c r="N160" t="s">
        <v>54</v>
      </c>
      <c r="O160" t="s">
        <v>54</v>
      </c>
    </row>
    <row r="161" spans="1:15" x14ac:dyDescent="0.3">
      <c r="A161">
        <v>4</v>
      </c>
      <c r="B161" s="1">
        <v>45854</v>
      </c>
      <c r="C161" s="1">
        <v>45839</v>
      </c>
      <c r="D161" t="s">
        <v>40</v>
      </c>
      <c r="E161">
        <v>14</v>
      </c>
      <c r="F161">
        <v>543960</v>
      </c>
      <c r="G161">
        <v>3.4</v>
      </c>
      <c r="H161">
        <v>1849464</v>
      </c>
      <c r="I161">
        <v>1849</v>
      </c>
      <c r="J161">
        <v>1847615</v>
      </c>
      <c r="K161" s="1">
        <v>45869</v>
      </c>
      <c r="L161" t="s">
        <v>53</v>
      </c>
      <c r="M161" t="s">
        <v>54</v>
      </c>
      <c r="N161" t="s">
        <v>54</v>
      </c>
      <c r="O161" t="s">
        <v>54</v>
      </c>
    </row>
    <row r="162" spans="1:15" x14ac:dyDescent="0.3">
      <c r="A162">
        <v>5</v>
      </c>
      <c r="B162" s="1">
        <v>45887</v>
      </c>
      <c r="C162" s="1">
        <v>45870</v>
      </c>
      <c r="D162" t="s">
        <v>40</v>
      </c>
      <c r="E162">
        <v>14</v>
      </c>
      <c r="F162">
        <v>314760</v>
      </c>
      <c r="G162">
        <v>3.4</v>
      </c>
      <c r="H162">
        <v>1070184</v>
      </c>
      <c r="I162">
        <v>1070</v>
      </c>
      <c r="J162">
        <v>1069114</v>
      </c>
      <c r="K162" s="1">
        <v>45902</v>
      </c>
      <c r="L162" t="s">
        <v>55</v>
      </c>
      <c r="M162" t="s">
        <v>54</v>
      </c>
      <c r="N162" t="s">
        <v>54</v>
      </c>
      <c r="O162" t="s">
        <v>54</v>
      </c>
    </row>
    <row r="163" spans="1:15" x14ac:dyDescent="0.3">
      <c r="A163">
        <v>6</v>
      </c>
      <c r="B163" s="1">
        <v>45912</v>
      </c>
      <c r="C163" s="1">
        <v>45901</v>
      </c>
      <c r="D163" t="s">
        <v>40</v>
      </c>
      <c r="E163">
        <v>14</v>
      </c>
      <c r="F163">
        <v>293880</v>
      </c>
      <c r="G163">
        <v>3.4</v>
      </c>
      <c r="H163">
        <v>999192</v>
      </c>
      <c r="I163">
        <v>999</v>
      </c>
      <c r="J163">
        <v>998193</v>
      </c>
      <c r="K163" s="1">
        <v>45927</v>
      </c>
      <c r="L163" t="s">
        <v>53</v>
      </c>
      <c r="M163" t="s">
        <v>54</v>
      </c>
      <c r="N163" t="s">
        <v>54</v>
      </c>
      <c r="O163" t="s">
        <v>54</v>
      </c>
    </row>
    <row r="164" spans="1:15" x14ac:dyDescent="0.3">
      <c r="A164">
        <v>7</v>
      </c>
      <c r="B164" s="1">
        <v>45946</v>
      </c>
      <c r="C164" s="1">
        <v>45931</v>
      </c>
      <c r="D164" t="s">
        <v>40</v>
      </c>
      <c r="E164">
        <v>14</v>
      </c>
      <c r="F164">
        <v>160320</v>
      </c>
      <c r="G164">
        <v>3.4</v>
      </c>
      <c r="H164">
        <v>545088</v>
      </c>
      <c r="I164">
        <v>545</v>
      </c>
      <c r="J164">
        <v>544543</v>
      </c>
      <c r="K164" s="1">
        <v>45961</v>
      </c>
      <c r="L164" t="s">
        <v>53</v>
      </c>
      <c r="M164" t="s">
        <v>54</v>
      </c>
      <c r="N164" t="s">
        <v>54</v>
      </c>
      <c r="O164" t="s">
        <v>54</v>
      </c>
    </row>
    <row r="165" spans="1:15" x14ac:dyDescent="0.3">
      <c r="A165">
        <v>8</v>
      </c>
      <c r="B165" s="1">
        <v>45992</v>
      </c>
      <c r="C165" s="1">
        <v>45962</v>
      </c>
      <c r="D165" t="s">
        <v>40</v>
      </c>
      <c r="E165">
        <v>14</v>
      </c>
      <c r="F165">
        <v>81600</v>
      </c>
      <c r="G165">
        <v>3.4</v>
      </c>
      <c r="H165">
        <v>277440</v>
      </c>
      <c r="I165">
        <v>277</v>
      </c>
      <c r="J165">
        <v>277163</v>
      </c>
      <c r="K165" s="1">
        <v>46007</v>
      </c>
      <c r="L165" t="s">
        <v>55</v>
      </c>
      <c r="M165" t="s">
        <v>54</v>
      </c>
      <c r="N165" t="s">
        <v>54</v>
      </c>
      <c r="O165" t="s">
        <v>54</v>
      </c>
    </row>
    <row r="166" spans="1:15" x14ac:dyDescent="0.3">
      <c r="A166">
        <v>9</v>
      </c>
      <c r="B166" s="1">
        <v>46003</v>
      </c>
      <c r="C166" s="1">
        <v>45992</v>
      </c>
      <c r="D166" t="s">
        <v>40</v>
      </c>
      <c r="E166">
        <v>14</v>
      </c>
      <c r="F166">
        <v>120960</v>
      </c>
      <c r="G166">
        <v>3.4</v>
      </c>
      <c r="H166">
        <v>411264</v>
      </c>
      <c r="I166">
        <v>411</v>
      </c>
      <c r="J166">
        <v>410853</v>
      </c>
      <c r="K166" s="1">
        <v>46018</v>
      </c>
      <c r="L166" t="s">
        <v>55</v>
      </c>
      <c r="M166" t="s">
        <v>54</v>
      </c>
      <c r="N166" t="s">
        <v>54</v>
      </c>
      <c r="O166" t="s">
        <v>54</v>
      </c>
    </row>
    <row r="167" spans="1:15" x14ac:dyDescent="0.3">
      <c r="A167">
        <v>10</v>
      </c>
      <c r="B167" s="1">
        <v>46029</v>
      </c>
      <c r="C167" s="1">
        <v>46023</v>
      </c>
      <c r="D167" t="s">
        <v>40</v>
      </c>
      <c r="E167">
        <v>14</v>
      </c>
      <c r="F167">
        <v>130320</v>
      </c>
      <c r="G167">
        <v>3.4</v>
      </c>
      <c r="H167">
        <v>443088</v>
      </c>
      <c r="I167">
        <v>443</v>
      </c>
      <c r="J167">
        <v>442645</v>
      </c>
      <c r="K167" s="1">
        <v>46044</v>
      </c>
      <c r="L167" t="s">
        <v>53</v>
      </c>
      <c r="M167" t="s">
        <v>54</v>
      </c>
      <c r="N167" t="s">
        <v>54</v>
      </c>
      <c r="O167" t="s">
        <v>54</v>
      </c>
    </row>
    <row r="168" spans="1:15" x14ac:dyDescent="0.3">
      <c r="A168">
        <v>11</v>
      </c>
      <c r="B168" s="1">
        <v>46074</v>
      </c>
      <c r="C168" s="1">
        <v>46054</v>
      </c>
      <c r="D168" t="s">
        <v>40</v>
      </c>
      <c r="E168">
        <v>14</v>
      </c>
      <c r="F168">
        <v>93240</v>
      </c>
      <c r="G168">
        <v>3.4</v>
      </c>
      <c r="H168">
        <v>317016</v>
      </c>
      <c r="I168">
        <v>317</v>
      </c>
      <c r="J168">
        <v>316699</v>
      </c>
      <c r="K168" s="1">
        <v>46089</v>
      </c>
      <c r="L168" t="s">
        <v>53</v>
      </c>
      <c r="M168" t="s">
        <v>54</v>
      </c>
      <c r="N168" t="s">
        <v>54</v>
      </c>
      <c r="O168" t="s">
        <v>54</v>
      </c>
    </row>
    <row r="169" spans="1:15" x14ac:dyDescent="0.3">
      <c r="A169">
        <v>12</v>
      </c>
      <c r="B169" s="1">
        <v>46112</v>
      </c>
      <c r="C169" s="1">
        <v>46082</v>
      </c>
      <c r="D169" t="s">
        <v>40</v>
      </c>
      <c r="E169">
        <v>14</v>
      </c>
      <c r="F169">
        <v>78120</v>
      </c>
      <c r="G169">
        <v>3.4</v>
      </c>
      <c r="H169">
        <v>265608</v>
      </c>
      <c r="I169">
        <v>266</v>
      </c>
      <c r="J169">
        <v>265342</v>
      </c>
      <c r="K169" s="1">
        <v>46127</v>
      </c>
      <c r="L169" t="s">
        <v>53</v>
      </c>
      <c r="M169" t="s">
        <v>54</v>
      </c>
      <c r="N169" t="s">
        <v>54</v>
      </c>
      <c r="O169" t="s">
        <v>54</v>
      </c>
    </row>
    <row r="170" spans="1:15" x14ac:dyDescent="0.3">
      <c r="A170">
        <v>1</v>
      </c>
      <c r="B170" s="1">
        <v>45789</v>
      </c>
      <c r="C170" s="1">
        <v>45748</v>
      </c>
      <c r="D170" t="s">
        <v>40</v>
      </c>
      <c r="E170">
        <v>15</v>
      </c>
      <c r="F170">
        <v>65022</v>
      </c>
      <c r="G170">
        <v>2.66</v>
      </c>
      <c r="H170">
        <v>172959</v>
      </c>
      <c r="I170">
        <v>173</v>
      </c>
      <c r="J170">
        <v>172786</v>
      </c>
      <c r="K170" s="1">
        <v>45804</v>
      </c>
      <c r="L170" t="s">
        <v>53</v>
      </c>
      <c r="M170" t="s">
        <v>54</v>
      </c>
      <c r="N170" t="s">
        <v>54</v>
      </c>
      <c r="O170" t="s">
        <v>54</v>
      </c>
    </row>
    <row r="171" spans="1:15" x14ac:dyDescent="0.3">
      <c r="A171">
        <v>2</v>
      </c>
      <c r="B171" s="1">
        <v>45818</v>
      </c>
      <c r="C171" s="1">
        <v>45778</v>
      </c>
      <c r="D171" t="s">
        <v>40</v>
      </c>
      <c r="E171">
        <v>15</v>
      </c>
      <c r="F171">
        <v>413562</v>
      </c>
      <c r="G171">
        <v>2.66</v>
      </c>
      <c r="H171">
        <v>1100075</v>
      </c>
      <c r="I171">
        <v>1100</v>
      </c>
      <c r="J171">
        <v>1098975</v>
      </c>
      <c r="K171" s="1">
        <v>45833</v>
      </c>
      <c r="L171" t="s">
        <v>53</v>
      </c>
      <c r="M171" t="s">
        <v>54</v>
      </c>
      <c r="N171" t="s">
        <v>54</v>
      </c>
      <c r="O171" t="s">
        <v>54</v>
      </c>
    </row>
    <row r="172" spans="1:15" x14ac:dyDescent="0.3">
      <c r="A172">
        <v>3</v>
      </c>
      <c r="B172" s="1">
        <v>45845</v>
      </c>
      <c r="C172" s="1">
        <v>45809</v>
      </c>
      <c r="D172" t="s">
        <v>40</v>
      </c>
      <c r="E172">
        <v>15</v>
      </c>
      <c r="F172">
        <v>698968</v>
      </c>
      <c r="G172">
        <v>2.66</v>
      </c>
      <c r="H172">
        <v>1859255</v>
      </c>
      <c r="I172">
        <v>1859</v>
      </c>
      <c r="J172">
        <v>1857396</v>
      </c>
      <c r="K172" s="1">
        <v>45860</v>
      </c>
      <c r="L172" t="s">
        <v>53</v>
      </c>
      <c r="M172" t="s">
        <v>54</v>
      </c>
      <c r="N172" t="s">
        <v>54</v>
      </c>
      <c r="O172" t="s">
        <v>54</v>
      </c>
    </row>
    <row r="173" spans="1:15" x14ac:dyDescent="0.3">
      <c r="A173">
        <v>4</v>
      </c>
      <c r="B173" s="1">
        <v>45880</v>
      </c>
      <c r="C173" s="1">
        <v>45839</v>
      </c>
      <c r="D173" t="s">
        <v>40</v>
      </c>
      <c r="E173">
        <v>15</v>
      </c>
      <c r="F173">
        <v>774886</v>
      </c>
      <c r="G173">
        <v>2.66</v>
      </c>
      <c r="H173">
        <v>2061197</v>
      </c>
      <c r="I173">
        <v>2061</v>
      </c>
      <c r="J173">
        <v>2059136</v>
      </c>
      <c r="K173" s="1">
        <v>45895</v>
      </c>
      <c r="L173" t="s">
        <v>53</v>
      </c>
      <c r="M173" t="s">
        <v>54</v>
      </c>
      <c r="N173" t="s">
        <v>54</v>
      </c>
      <c r="O173" t="s">
        <v>54</v>
      </c>
    </row>
    <row r="174" spans="1:15" x14ac:dyDescent="0.3">
      <c r="A174">
        <v>5</v>
      </c>
      <c r="B174" s="1">
        <v>45915</v>
      </c>
      <c r="C174" s="1">
        <v>45870</v>
      </c>
      <c r="D174" t="s">
        <v>40</v>
      </c>
      <c r="E174">
        <v>15</v>
      </c>
      <c r="F174">
        <v>553290</v>
      </c>
      <c r="G174">
        <v>2.66</v>
      </c>
      <c r="H174">
        <v>1471751</v>
      </c>
      <c r="I174">
        <v>1472</v>
      </c>
      <c r="J174">
        <v>1470280</v>
      </c>
      <c r="K174" s="1">
        <v>45930</v>
      </c>
      <c r="L174" t="s">
        <v>55</v>
      </c>
      <c r="M174" t="s">
        <v>54</v>
      </c>
      <c r="N174" t="s">
        <v>54</v>
      </c>
      <c r="O174" t="s">
        <v>54</v>
      </c>
    </row>
    <row r="175" spans="1:15" x14ac:dyDescent="0.3">
      <c r="A175">
        <v>6</v>
      </c>
      <c r="B175" s="1">
        <v>45938</v>
      </c>
      <c r="C175" s="1">
        <v>45901</v>
      </c>
      <c r="D175" t="s">
        <v>40</v>
      </c>
      <c r="E175">
        <v>15</v>
      </c>
      <c r="F175">
        <v>535034</v>
      </c>
      <c r="G175">
        <v>2.66</v>
      </c>
      <c r="H175">
        <v>1423190</v>
      </c>
      <c r="I175">
        <v>1423</v>
      </c>
      <c r="J175">
        <v>1421767</v>
      </c>
      <c r="K175" s="1">
        <v>45953</v>
      </c>
      <c r="L175" t="s">
        <v>53</v>
      </c>
      <c r="M175" t="s">
        <v>54</v>
      </c>
      <c r="N175" t="s">
        <v>54</v>
      </c>
      <c r="O175" t="s">
        <v>54</v>
      </c>
    </row>
    <row r="176" spans="1:15" x14ac:dyDescent="0.3">
      <c r="A176">
        <v>7</v>
      </c>
      <c r="B176" s="1">
        <v>45970</v>
      </c>
      <c r="C176" s="1">
        <v>45931</v>
      </c>
      <c r="D176" t="s">
        <v>40</v>
      </c>
      <c r="E176">
        <v>15</v>
      </c>
      <c r="F176">
        <v>180214</v>
      </c>
      <c r="G176">
        <v>2.66</v>
      </c>
      <c r="H176">
        <v>479369</v>
      </c>
      <c r="I176">
        <v>479</v>
      </c>
      <c r="J176">
        <v>478890</v>
      </c>
      <c r="K176" s="1">
        <v>45985</v>
      </c>
      <c r="L176" t="s">
        <v>53</v>
      </c>
      <c r="M176" t="s">
        <v>54</v>
      </c>
      <c r="N176" t="s">
        <v>54</v>
      </c>
      <c r="O176" t="s">
        <v>54</v>
      </c>
    </row>
    <row r="177" spans="1:15" x14ac:dyDescent="0.3">
      <c r="A177">
        <v>8</v>
      </c>
      <c r="B177" s="1">
        <v>45997</v>
      </c>
      <c r="C177" s="1">
        <v>45962</v>
      </c>
      <c r="D177" t="s">
        <v>40</v>
      </c>
      <c r="E177">
        <v>15</v>
      </c>
      <c r="F177">
        <v>62608</v>
      </c>
      <c r="G177">
        <v>2.66</v>
      </c>
      <c r="H177">
        <v>166537</v>
      </c>
      <c r="I177">
        <v>167</v>
      </c>
      <c r="J177">
        <v>166371</v>
      </c>
      <c r="K177" s="1">
        <v>46012</v>
      </c>
      <c r="L177" t="s">
        <v>55</v>
      </c>
      <c r="M177" t="s">
        <v>54</v>
      </c>
      <c r="N177" t="s">
        <v>54</v>
      </c>
      <c r="O177" t="s">
        <v>54</v>
      </c>
    </row>
    <row r="178" spans="1:15" x14ac:dyDescent="0.3">
      <c r="A178">
        <v>9</v>
      </c>
      <c r="B178" s="1">
        <v>46049</v>
      </c>
      <c r="C178" s="1">
        <v>45992</v>
      </c>
      <c r="D178" t="s">
        <v>40</v>
      </c>
      <c r="E178">
        <v>15</v>
      </c>
      <c r="F178">
        <v>44072</v>
      </c>
      <c r="G178">
        <v>2.66</v>
      </c>
      <c r="H178">
        <v>117232</v>
      </c>
      <c r="I178">
        <v>117</v>
      </c>
      <c r="J178">
        <v>117114</v>
      </c>
      <c r="K178" s="1">
        <v>46064</v>
      </c>
      <c r="L178" t="s">
        <v>55</v>
      </c>
      <c r="M178" t="s">
        <v>54</v>
      </c>
      <c r="N178" t="s">
        <v>54</v>
      </c>
      <c r="O178" t="s">
        <v>54</v>
      </c>
    </row>
    <row r="179" spans="1:15" x14ac:dyDescent="0.3">
      <c r="A179">
        <v>10</v>
      </c>
      <c r="B179" s="1">
        <v>46074</v>
      </c>
      <c r="C179" s="1">
        <v>46023</v>
      </c>
      <c r="D179" t="s">
        <v>40</v>
      </c>
      <c r="E179">
        <v>15</v>
      </c>
      <c r="F179">
        <v>51382</v>
      </c>
      <c r="G179">
        <v>2.66</v>
      </c>
      <c r="H179">
        <v>136676</v>
      </c>
      <c r="I179">
        <v>137</v>
      </c>
      <c r="J179">
        <v>136539</v>
      </c>
      <c r="K179" s="1">
        <v>46089</v>
      </c>
      <c r="L179" t="s">
        <v>55</v>
      </c>
      <c r="M179" t="s">
        <v>54</v>
      </c>
      <c r="N179" t="s">
        <v>54</v>
      </c>
      <c r="O179" t="s">
        <v>54</v>
      </c>
    </row>
    <row r="180" spans="1:15" x14ac:dyDescent="0.3">
      <c r="A180">
        <v>11</v>
      </c>
      <c r="B180" s="1">
        <v>46105</v>
      </c>
      <c r="C180" s="1">
        <v>46054</v>
      </c>
      <c r="D180" t="s">
        <v>40</v>
      </c>
      <c r="E180">
        <v>15</v>
      </c>
      <c r="F180">
        <v>44156</v>
      </c>
      <c r="G180">
        <v>2.66</v>
      </c>
      <c r="H180">
        <v>117455</v>
      </c>
      <c r="I180">
        <v>117</v>
      </c>
      <c r="J180">
        <v>117338</v>
      </c>
      <c r="K180" s="1">
        <v>46120</v>
      </c>
      <c r="L180" t="s">
        <v>55</v>
      </c>
      <c r="M180" t="s">
        <v>54</v>
      </c>
      <c r="N180" t="s">
        <v>54</v>
      </c>
      <c r="O180" t="s">
        <v>54</v>
      </c>
    </row>
    <row r="181" spans="1:15" x14ac:dyDescent="0.3">
      <c r="A181">
        <v>12</v>
      </c>
      <c r="B181" s="1">
        <v>46105</v>
      </c>
      <c r="C181" s="1">
        <v>46082</v>
      </c>
      <c r="D181" t="s">
        <v>40</v>
      </c>
      <c r="E181">
        <v>15</v>
      </c>
      <c r="F181">
        <v>35926</v>
      </c>
      <c r="G181">
        <v>2.66</v>
      </c>
      <c r="H181">
        <v>95563</v>
      </c>
      <c r="I181">
        <v>96</v>
      </c>
      <c r="J181">
        <v>95468</v>
      </c>
      <c r="K181" s="1">
        <v>46120</v>
      </c>
      <c r="L181" t="s">
        <v>53</v>
      </c>
      <c r="M181" t="s">
        <v>54</v>
      </c>
      <c r="N181" t="s">
        <v>54</v>
      </c>
      <c r="O181" t="s">
        <v>54</v>
      </c>
    </row>
    <row r="182" spans="1:15" x14ac:dyDescent="0.3">
      <c r="A182">
        <v>1</v>
      </c>
      <c r="B182" s="1">
        <v>45789</v>
      </c>
      <c r="C182" s="1">
        <v>45748</v>
      </c>
      <c r="D182" t="s">
        <v>40</v>
      </c>
      <c r="E182">
        <v>16</v>
      </c>
      <c r="F182">
        <v>71310</v>
      </c>
      <c r="G182">
        <v>2.7</v>
      </c>
      <c r="H182">
        <v>192537</v>
      </c>
      <c r="I182">
        <v>193</v>
      </c>
      <c r="J182">
        <v>192344</v>
      </c>
      <c r="K182" s="1">
        <v>45849</v>
      </c>
      <c r="L182" t="s">
        <v>53</v>
      </c>
      <c r="M182" t="s">
        <v>54</v>
      </c>
      <c r="N182" t="s">
        <v>54</v>
      </c>
      <c r="O182" t="s">
        <v>54</v>
      </c>
    </row>
    <row r="183" spans="1:15" x14ac:dyDescent="0.3">
      <c r="A183">
        <v>2</v>
      </c>
      <c r="B183" s="1">
        <v>45818</v>
      </c>
      <c r="C183" s="1">
        <v>45778</v>
      </c>
      <c r="D183" t="s">
        <v>40</v>
      </c>
      <c r="E183">
        <v>16</v>
      </c>
      <c r="F183">
        <v>426274</v>
      </c>
      <c r="G183">
        <v>2.7</v>
      </c>
      <c r="H183">
        <v>1150940</v>
      </c>
      <c r="I183">
        <v>1151</v>
      </c>
      <c r="J183">
        <v>1149789</v>
      </c>
      <c r="K183" s="1">
        <v>45878</v>
      </c>
      <c r="L183" t="s">
        <v>53</v>
      </c>
      <c r="M183" t="s">
        <v>54</v>
      </c>
      <c r="N183" t="s">
        <v>54</v>
      </c>
      <c r="O183" t="s">
        <v>54</v>
      </c>
    </row>
    <row r="184" spans="1:15" x14ac:dyDescent="0.3">
      <c r="A184">
        <v>3</v>
      </c>
      <c r="B184" s="1">
        <v>45845</v>
      </c>
      <c r="C184" s="1">
        <v>45809</v>
      </c>
      <c r="D184" t="s">
        <v>40</v>
      </c>
      <c r="E184">
        <v>16</v>
      </c>
      <c r="F184">
        <v>725368</v>
      </c>
      <c r="G184">
        <v>2.7</v>
      </c>
      <c r="H184">
        <v>1958494</v>
      </c>
      <c r="I184">
        <v>1958</v>
      </c>
      <c r="J184">
        <v>1956535</v>
      </c>
      <c r="K184" s="1">
        <v>45905</v>
      </c>
      <c r="L184" t="s">
        <v>53</v>
      </c>
      <c r="M184" t="s">
        <v>54</v>
      </c>
      <c r="N184" t="s">
        <v>54</v>
      </c>
      <c r="O184" t="s">
        <v>54</v>
      </c>
    </row>
    <row r="185" spans="1:15" x14ac:dyDescent="0.3">
      <c r="A185">
        <v>4</v>
      </c>
      <c r="B185" s="1">
        <v>45880</v>
      </c>
      <c r="C185" s="1">
        <v>45839</v>
      </c>
      <c r="D185" t="s">
        <v>40</v>
      </c>
      <c r="E185">
        <v>16</v>
      </c>
      <c r="F185">
        <v>806478</v>
      </c>
      <c r="G185">
        <v>2.7</v>
      </c>
      <c r="H185">
        <v>2177491</v>
      </c>
      <c r="I185">
        <v>2177</v>
      </c>
      <c r="J185">
        <v>2175313</v>
      </c>
      <c r="K185" s="1">
        <v>45940</v>
      </c>
      <c r="L185" t="s">
        <v>53</v>
      </c>
      <c r="M185" t="s">
        <v>54</v>
      </c>
      <c r="N185" t="s">
        <v>54</v>
      </c>
      <c r="O185" t="s">
        <v>54</v>
      </c>
    </row>
    <row r="186" spans="1:15" x14ac:dyDescent="0.3">
      <c r="A186">
        <v>5</v>
      </c>
      <c r="B186" s="1">
        <v>45915</v>
      </c>
      <c r="C186" s="1">
        <v>45870</v>
      </c>
      <c r="D186" t="s">
        <v>40</v>
      </c>
      <c r="E186">
        <v>16</v>
      </c>
      <c r="F186">
        <v>581134</v>
      </c>
      <c r="G186">
        <v>2.7</v>
      </c>
      <c r="H186">
        <v>1569062</v>
      </c>
      <c r="I186">
        <v>1569</v>
      </c>
      <c r="J186">
        <v>1567493</v>
      </c>
      <c r="K186" s="1">
        <v>45975</v>
      </c>
      <c r="L186" t="s">
        <v>53</v>
      </c>
      <c r="M186" t="s">
        <v>54</v>
      </c>
      <c r="N186" t="s">
        <v>54</v>
      </c>
      <c r="O186" t="s">
        <v>54</v>
      </c>
    </row>
    <row r="187" spans="1:15" x14ac:dyDescent="0.3">
      <c r="A187">
        <v>6</v>
      </c>
      <c r="B187" s="1">
        <v>45938</v>
      </c>
      <c r="C187" s="1">
        <v>45901</v>
      </c>
      <c r="D187" t="s">
        <v>40</v>
      </c>
      <c r="E187">
        <v>16</v>
      </c>
      <c r="F187">
        <v>567424</v>
      </c>
      <c r="G187">
        <v>2.7</v>
      </c>
      <c r="H187">
        <v>1532045</v>
      </c>
      <c r="I187">
        <v>1532</v>
      </c>
      <c r="J187">
        <v>1530513</v>
      </c>
      <c r="K187" s="1">
        <v>45998</v>
      </c>
      <c r="L187" t="s">
        <v>53</v>
      </c>
      <c r="M187" t="s">
        <v>54</v>
      </c>
      <c r="N187" t="s">
        <v>54</v>
      </c>
      <c r="O187" t="s">
        <v>54</v>
      </c>
    </row>
    <row r="188" spans="1:15" x14ac:dyDescent="0.3">
      <c r="A188">
        <v>7</v>
      </c>
      <c r="B188" s="1">
        <v>45970</v>
      </c>
      <c r="C188" s="1">
        <v>45931</v>
      </c>
      <c r="D188" t="s">
        <v>40</v>
      </c>
      <c r="E188">
        <v>16</v>
      </c>
      <c r="F188">
        <v>190720</v>
      </c>
      <c r="G188">
        <v>2.7</v>
      </c>
      <c r="H188">
        <v>514944</v>
      </c>
      <c r="I188">
        <v>515</v>
      </c>
      <c r="J188">
        <v>514429</v>
      </c>
      <c r="K188" s="1">
        <v>46030</v>
      </c>
      <c r="L188" t="s">
        <v>53</v>
      </c>
      <c r="M188" t="s">
        <v>54</v>
      </c>
      <c r="N188" t="s">
        <v>54</v>
      </c>
      <c r="O188" t="s">
        <v>54</v>
      </c>
    </row>
    <row r="189" spans="1:15" x14ac:dyDescent="0.3">
      <c r="A189">
        <v>8</v>
      </c>
      <c r="B189" s="1">
        <v>45997</v>
      </c>
      <c r="C189" s="1">
        <v>45962</v>
      </c>
      <c r="D189" t="s">
        <v>40</v>
      </c>
      <c r="E189">
        <v>16</v>
      </c>
      <c r="F189">
        <v>65346</v>
      </c>
      <c r="G189">
        <v>2.7</v>
      </c>
      <c r="H189">
        <v>176434</v>
      </c>
      <c r="I189">
        <v>176</v>
      </c>
      <c r="J189">
        <v>176258</v>
      </c>
      <c r="K189" s="1">
        <v>46057</v>
      </c>
      <c r="L189" t="s">
        <v>53</v>
      </c>
      <c r="M189" t="s">
        <v>54</v>
      </c>
      <c r="N189" t="s">
        <v>54</v>
      </c>
      <c r="O189" t="s">
        <v>54</v>
      </c>
    </row>
    <row r="190" spans="1:15" x14ac:dyDescent="0.3">
      <c r="A190">
        <v>9</v>
      </c>
      <c r="B190" s="1">
        <v>46049</v>
      </c>
      <c r="C190" s="1">
        <v>45992</v>
      </c>
      <c r="D190" t="s">
        <v>40</v>
      </c>
      <c r="E190">
        <v>16</v>
      </c>
      <c r="F190">
        <v>51492</v>
      </c>
      <c r="G190">
        <v>2.7</v>
      </c>
      <c r="H190">
        <v>139028</v>
      </c>
      <c r="I190">
        <v>139</v>
      </c>
      <c r="J190">
        <v>138889</v>
      </c>
      <c r="K190" s="1">
        <v>46109</v>
      </c>
      <c r="L190" t="s">
        <v>53</v>
      </c>
      <c r="M190" t="s">
        <v>54</v>
      </c>
      <c r="N190" t="s">
        <v>54</v>
      </c>
      <c r="O190" t="s">
        <v>54</v>
      </c>
    </row>
    <row r="191" spans="1:15" x14ac:dyDescent="0.3">
      <c r="A191">
        <v>10</v>
      </c>
      <c r="B191" s="1">
        <v>46074</v>
      </c>
      <c r="C191" s="1">
        <v>46023</v>
      </c>
      <c r="D191" t="s">
        <v>40</v>
      </c>
      <c r="E191">
        <v>16</v>
      </c>
      <c r="F191">
        <v>52996</v>
      </c>
      <c r="G191">
        <v>2.7</v>
      </c>
      <c r="H191">
        <v>143089</v>
      </c>
      <c r="I191">
        <v>143</v>
      </c>
      <c r="J191">
        <v>142946</v>
      </c>
      <c r="K191" s="1">
        <v>46134</v>
      </c>
      <c r="L191" t="s">
        <v>53</v>
      </c>
      <c r="M191" t="s">
        <v>54</v>
      </c>
      <c r="N191" t="s">
        <v>54</v>
      </c>
      <c r="O191" t="s">
        <v>54</v>
      </c>
    </row>
    <row r="192" spans="1:15" x14ac:dyDescent="0.3">
      <c r="A192">
        <v>11</v>
      </c>
      <c r="B192" s="1">
        <v>46105</v>
      </c>
      <c r="C192" s="1">
        <v>46054</v>
      </c>
      <c r="D192" t="s">
        <v>40</v>
      </c>
      <c r="E192">
        <v>16</v>
      </c>
      <c r="F192">
        <v>46190</v>
      </c>
      <c r="G192">
        <v>2.7</v>
      </c>
      <c r="H192">
        <v>124713</v>
      </c>
      <c r="I192">
        <v>125</v>
      </c>
      <c r="J192">
        <v>124588</v>
      </c>
      <c r="K192" s="1">
        <v>46165</v>
      </c>
      <c r="L192" t="s">
        <v>53</v>
      </c>
      <c r="M192" t="s">
        <v>54</v>
      </c>
      <c r="N192" t="s">
        <v>54</v>
      </c>
      <c r="O192" t="s">
        <v>54</v>
      </c>
    </row>
    <row r="193" spans="1:15" x14ac:dyDescent="0.3">
      <c r="A193">
        <v>12</v>
      </c>
      <c r="B193" s="1">
        <v>46105</v>
      </c>
      <c r="C193" s="1">
        <v>46082</v>
      </c>
      <c r="D193" t="s">
        <v>40</v>
      </c>
      <c r="E193">
        <v>16</v>
      </c>
      <c r="F193">
        <v>34570</v>
      </c>
      <c r="G193">
        <v>2.7</v>
      </c>
      <c r="H193">
        <v>93339</v>
      </c>
      <c r="I193">
        <v>93</v>
      </c>
      <c r="J193">
        <v>93246</v>
      </c>
      <c r="K193" s="1">
        <v>46165</v>
      </c>
      <c r="L193" t="s">
        <v>53</v>
      </c>
      <c r="M193" t="s">
        <v>54</v>
      </c>
      <c r="N193" t="s">
        <v>54</v>
      </c>
      <c r="O193" t="s">
        <v>54</v>
      </c>
    </row>
    <row r="194" spans="1:15" x14ac:dyDescent="0.3">
      <c r="A194">
        <v>1</v>
      </c>
      <c r="B194" s="1">
        <v>45754</v>
      </c>
      <c r="C194" s="1">
        <v>45748</v>
      </c>
      <c r="D194" t="s">
        <v>40</v>
      </c>
      <c r="E194">
        <v>17</v>
      </c>
      <c r="F194">
        <v>64986</v>
      </c>
      <c r="G194">
        <v>3.39</v>
      </c>
      <c r="H194">
        <v>220303</v>
      </c>
      <c r="I194">
        <v>220</v>
      </c>
      <c r="J194">
        <v>220082</v>
      </c>
      <c r="K194" s="1">
        <v>45814</v>
      </c>
      <c r="L194" t="s">
        <v>53</v>
      </c>
      <c r="M194" t="s">
        <v>54</v>
      </c>
      <c r="N194" t="s">
        <v>54</v>
      </c>
      <c r="O194" t="s">
        <v>54</v>
      </c>
    </row>
    <row r="195" spans="1:15" x14ac:dyDescent="0.3">
      <c r="A195">
        <v>2</v>
      </c>
      <c r="B195" s="1">
        <v>45817</v>
      </c>
      <c r="C195" s="1">
        <v>45778</v>
      </c>
      <c r="D195" t="s">
        <v>40</v>
      </c>
      <c r="E195">
        <v>17</v>
      </c>
      <c r="F195">
        <v>420252</v>
      </c>
      <c r="G195">
        <v>3.39</v>
      </c>
      <c r="H195">
        <v>1424654</v>
      </c>
      <c r="I195">
        <v>1425</v>
      </c>
      <c r="J195">
        <v>1423230</v>
      </c>
      <c r="K195" s="1">
        <v>45877</v>
      </c>
      <c r="L195" t="s">
        <v>53</v>
      </c>
      <c r="M195" t="s">
        <v>54</v>
      </c>
      <c r="N195" t="s">
        <v>54</v>
      </c>
      <c r="O195" t="s">
        <v>54</v>
      </c>
    </row>
    <row r="196" spans="1:15" x14ac:dyDescent="0.3">
      <c r="A196">
        <v>3</v>
      </c>
      <c r="B196" s="1">
        <v>45817</v>
      </c>
      <c r="C196" s="1">
        <v>45809</v>
      </c>
      <c r="D196" t="s">
        <v>40</v>
      </c>
      <c r="E196">
        <v>17</v>
      </c>
      <c r="F196">
        <v>711634</v>
      </c>
      <c r="G196">
        <v>3.39</v>
      </c>
      <c r="H196">
        <v>2412439</v>
      </c>
      <c r="I196">
        <v>2412</v>
      </c>
      <c r="J196">
        <v>2410027</v>
      </c>
      <c r="K196" s="1">
        <v>45877</v>
      </c>
      <c r="L196" t="s">
        <v>53</v>
      </c>
      <c r="M196" t="s">
        <v>54</v>
      </c>
      <c r="N196" t="s">
        <v>54</v>
      </c>
      <c r="O196" t="s">
        <v>54</v>
      </c>
    </row>
    <row r="197" spans="1:15" x14ac:dyDescent="0.3">
      <c r="A197">
        <v>4</v>
      </c>
      <c r="B197" s="1">
        <v>45852</v>
      </c>
      <c r="C197" s="1">
        <v>45839</v>
      </c>
      <c r="D197" t="s">
        <v>40</v>
      </c>
      <c r="E197">
        <v>17</v>
      </c>
      <c r="F197">
        <v>815826</v>
      </c>
      <c r="G197">
        <v>3.39</v>
      </c>
      <c r="H197">
        <v>2765650</v>
      </c>
      <c r="I197">
        <v>2766</v>
      </c>
      <c r="J197">
        <v>2762884</v>
      </c>
      <c r="K197" s="1">
        <v>45912</v>
      </c>
      <c r="L197" t="s">
        <v>53</v>
      </c>
      <c r="M197" t="s">
        <v>54</v>
      </c>
      <c r="N197" t="s">
        <v>54</v>
      </c>
      <c r="O197" t="s">
        <v>54</v>
      </c>
    </row>
    <row r="198" spans="1:15" x14ac:dyDescent="0.3">
      <c r="A198">
        <v>5</v>
      </c>
      <c r="B198" s="1">
        <v>45885</v>
      </c>
      <c r="C198" s="1">
        <v>45870</v>
      </c>
      <c r="D198" t="s">
        <v>40</v>
      </c>
      <c r="E198">
        <v>17</v>
      </c>
      <c r="F198">
        <v>568096</v>
      </c>
      <c r="G198">
        <v>3.39</v>
      </c>
      <c r="H198">
        <v>1925845</v>
      </c>
      <c r="I198">
        <v>1926</v>
      </c>
      <c r="J198">
        <v>1923920</v>
      </c>
      <c r="K198" s="1">
        <v>45945</v>
      </c>
      <c r="L198" t="s">
        <v>55</v>
      </c>
      <c r="M198" t="s">
        <v>54</v>
      </c>
      <c r="N198" t="s">
        <v>54</v>
      </c>
      <c r="O198" t="s">
        <v>54</v>
      </c>
    </row>
    <row r="199" spans="1:15" x14ac:dyDescent="0.3">
      <c r="A199">
        <v>6</v>
      </c>
      <c r="B199" s="1">
        <v>45908</v>
      </c>
      <c r="C199" s="1">
        <v>45901</v>
      </c>
      <c r="D199" t="s">
        <v>40</v>
      </c>
      <c r="E199">
        <v>17</v>
      </c>
      <c r="F199">
        <v>517522</v>
      </c>
      <c r="G199">
        <v>3.39</v>
      </c>
      <c r="H199">
        <v>1754400</v>
      </c>
      <c r="I199">
        <v>1754</v>
      </c>
      <c r="J199">
        <v>1752645</v>
      </c>
      <c r="K199" s="1">
        <v>45968</v>
      </c>
      <c r="L199" t="s">
        <v>53</v>
      </c>
      <c r="M199" t="s">
        <v>54</v>
      </c>
      <c r="N199" t="s">
        <v>54</v>
      </c>
      <c r="O199" t="s">
        <v>54</v>
      </c>
    </row>
    <row r="200" spans="1:15" x14ac:dyDescent="0.3">
      <c r="A200">
        <v>7</v>
      </c>
      <c r="B200" s="1">
        <v>45944</v>
      </c>
      <c r="C200" s="1">
        <v>45931</v>
      </c>
      <c r="D200" t="s">
        <v>40</v>
      </c>
      <c r="E200">
        <v>17</v>
      </c>
      <c r="F200">
        <v>182192</v>
      </c>
      <c r="G200">
        <v>3.39</v>
      </c>
      <c r="H200">
        <v>617631</v>
      </c>
      <c r="I200">
        <v>618</v>
      </c>
      <c r="J200">
        <v>617013</v>
      </c>
      <c r="K200" s="1">
        <v>46004</v>
      </c>
      <c r="L200" t="s">
        <v>53</v>
      </c>
      <c r="M200" t="s">
        <v>54</v>
      </c>
      <c r="N200" t="s">
        <v>54</v>
      </c>
      <c r="O200" t="s">
        <v>54</v>
      </c>
    </row>
    <row r="201" spans="1:15" x14ac:dyDescent="0.3">
      <c r="A201">
        <v>8</v>
      </c>
      <c r="B201" s="1">
        <v>45973</v>
      </c>
      <c r="C201" s="1">
        <v>45962</v>
      </c>
      <c r="D201" t="s">
        <v>40</v>
      </c>
      <c r="E201">
        <v>17</v>
      </c>
      <c r="F201">
        <v>70412</v>
      </c>
      <c r="G201">
        <v>3.39</v>
      </c>
      <c r="H201">
        <v>238697</v>
      </c>
      <c r="I201">
        <v>239</v>
      </c>
      <c r="J201">
        <v>238458</v>
      </c>
      <c r="K201" s="1">
        <v>46033</v>
      </c>
      <c r="L201" t="s">
        <v>55</v>
      </c>
      <c r="M201" t="s">
        <v>54</v>
      </c>
      <c r="N201" t="s">
        <v>54</v>
      </c>
      <c r="O201" t="s">
        <v>54</v>
      </c>
    </row>
    <row r="202" spans="1:15" x14ac:dyDescent="0.3">
      <c r="A202">
        <v>9</v>
      </c>
      <c r="B202" s="1">
        <v>45996</v>
      </c>
      <c r="C202" s="1">
        <v>45992</v>
      </c>
      <c r="D202" t="s">
        <v>40</v>
      </c>
      <c r="E202">
        <v>17</v>
      </c>
      <c r="F202">
        <v>51260</v>
      </c>
      <c r="G202">
        <v>3.39</v>
      </c>
      <c r="H202">
        <v>173771</v>
      </c>
      <c r="I202">
        <v>174</v>
      </c>
      <c r="J202">
        <v>173598</v>
      </c>
      <c r="K202" s="1">
        <v>46056</v>
      </c>
      <c r="L202" t="s">
        <v>55</v>
      </c>
      <c r="M202" t="s">
        <v>54</v>
      </c>
      <c r="N202" t="s">
        <v>54</v>
      </c>
      <c r="O202" t="s">
        <v>54</v>
      </c>
    </row>
    <row r="203" spans="1:15" x14ac:dyDescent="0.3">
      <c r="A203">
        <v>10</v>
      </c>
      <c r="B203" s="1">
        <v>45664</v>
      </c>
      <c r="C203" s="1">
        <v>46023</v>
      </c>
      <c r="D203" t="s">
        <v>40</v>
      </c>
      <c r="E203">
        <v>17</v>
      </c>
      <c r="F203">
        <v>66704</v>
      </c>
      <c r="G203">
        <v>3.39</v>
      </c>
      <c r="H203">
        <v>226127</v>
      </c>
      <c r="I203">
        <v>226</v>
      </c>
      <c r="J203">
        <v>225900</v>
      </c>
      <c r="K203" s="1">
        <v>45724</v>
      </c>
      <c r="L203" t="s">
        <v>53</v>
      </c>
      <c r="M203" t="s">
        <v>54</v>
      </c>
      <c r="N203" t="s">
        <v>54</v>
      </c>
      <c r="O203" t="s">
        <v>56</v>
      </c>
    </row>
    <row r="204" spans="1:15" x14ac:dyDescent="0.3">
      <c r="A204">
        <v>11</v>
      </c>
      <c r="B204" s="1">
        <v>45708</v>
      </c>
      <c r="C204" s="1">
        <v>46054</v>
      </c>
      <c r="D204" t="s">
        <v>40</v>
      </c>
      <c r="E204">
        <v>17</v>
      </c>
      <c r="F204">
        <v>49396</v>
      </c>
      <c r="G204">
        <v>3.39</v>
      </c>
      <c r="H204">
        <v>167452</v>
      </c>
      <c r="I204">
        <v>167</v>
      </c>
      <c r="J204">
        <v>167285</v>
      </c>
      <c r="K204" s="1">
        <v>45768</v>
      </c>
      <c r="L204" t="s">
        <v>53</v>
      </c>
      <c r="M204" t="s">
        <v>54</v>
      </c>
      <c r="N204" t="s">
        <v>54</v>
      </c>
      <c r="O204" t="s">
        <v>54</v>
      </c>
    </row>
    <row r="205" spans="1:15" x14ac:dyDescent="0.3">
      <c r="A205">
        <v>12</v>
      </c>
      <c r="B205" s="1">
        <v>46088</v>
      </c>
      <c r="C205" s="1">
        <v>46082</v>
      </c>
      <c r="D205" t="s">
        <v>40</v>
      </c>
      <c r="E205">
        <v>17</v>
      </c>
      <c r="F205">
        <v>38300</v>
      </c>
      <c r="G205">
        <v>3.39</v>
      </c>
      <c r="H205">
        <v>129837</v>
      </c>
      <c r="I205">
        <v>130</v>
      </c>
      <c r="J205">
        <v>129707</v>
      </c>
      <c r="K205" s="1">
        <v>46148</v>
      </c>
      <c r="L205" t="s">
        <v>53</v>
      </c>
      <c r="M205" t="s">
        <v>54</v>
      </c>
      <c r="N205" t="s">
        <v>54</v>
      </c>
      <c r="O205" t="s">
        <v>54</v>
      </c>
    </row>
    <row r="206" spans="1:15" x14ac:dyDescent="0.3">
      <c r="A206">
        <v>1</v>
      </c>
      <c r="B206" s="1">
        <v>45754</v>
      </c>
      <c r="C206" s="1">
        <v>45748</v>
      </c>
      <c r="D206" t="s">
        <v>40</v>
      </c>
      <c r="E206">
        <v>18</v>
      </c>
      <c r="F206">
        <v>70940</v>
      </c>
      <c r="G206">
        <v>2.2000000000000002</v>
      </c>
      <c r="H206">
        <v>156068</v>
      </c>
      <c r="I206">
        <v>156</v>
      </c>
      <c r="J206">
        <v>155912</v>
      </c>
      <c r="K206" s="1">
        <v>45764</v>
      </c>
      <c r="L206" t="s">
        <v>53</v>
      </c>
      <c r="M206" t="s">
        <v>54</v>
      </c>
      <c r="N206" t="s">
        <v>54</v>
      </c>
      <c r="O206" t="s">
        <v>57</v>
      </c>
    </row>
    <row r="207" spans="1:15" x14ac:dyDescent="0.3">
      <c r="A207">
        <v>2</v>
      </c>
      <c r="B207" s="1">
        <v>45817</v>
      </c>
      <c r="C207" s="1">
        <v>45778</v>
      </c>
      <c r="D207" t="s">
        <v>40</v>
      </c>
      <c r="E207">
        <v>18</v>
      </c>
      <c r="F207">
        <v>150951</v>
      </c>
      <c r="G207">
        <v>2.2000000000000002</v>
      </c>
      <c r="H207">
        <v>332093</v>
      </c>
      <c r="I207">
        <v>332</v>
      </c>
      <c r="J207">
        <v>331761</v>
      </c>
      <c r="K207" s="1">
        <v>45827</v>
      </c>
      <c r="L207" t="s">
        <v>53</v>
      </c>
      <c r="M207" t="s">
        <v>54</v>
      </c>
      <c r="N207" t="s">
        <v>54</v>
      </c>
      <c r="O207" t="s">
        <v>54</v>
      </c>
    </row>
    <row r="208" spans="1:15" x14ac:dyDescent="0.3">
      <c r="A208">
        <v>3</v>
      </c>
      <c r="B208" s="1">
        <v>45817</v>
      </c>
      <c r="C208" s="1">
        <v>45809</v>
      </c>
      <c r="D208" t="s">
        <v>40</v>
      </c>
      <c r="E208">
        <v>18</v>
      </c>
      <c r="F208">
        <v>300171</v>
      </c>
      <c r="G208">
        <v>2.2000000000000002</v>
      </c>
      <c r="H208">
        <v>660376</v>
      </c>
      <c r="I208">
        <v>660</v>
      </c>
      <c r="J208">
        <v>659715</v>
      </c>
      <c r="K208" s="1">
        <v>45827</v>
      </c>
      <c r="L208" t="s">
        <v>53</v>
      </c>
      <c r="M208" t="s">
        <v>54</v>
      </c>
      <c r="N208" t="s">
        <v>54</v>
      </c>
      <c r="O208" t="s">
        <v>54</v>
      </c>
    </row>
    <row r="209" spans="1:15" x14ac:dyDescent="0.3">
      <c r="A209">
        <v>4</v>
      </c>
      <c r="B209" s="1">
        <v>45852</v>
      </c>
      <c r="C209" s="1">
        <v>45839</v>
      </c>
      <c r="D209" t="s">
        <v>40</v>
      </c>
      <c r="E209">
        <v>18</v>
      </c>
      <c r="F209">
        <v>430253</v>
      </c>
      <c r="G209">
        <v>2.2000000000000002</v>
      </c>
      <c r="H209">
        <v>946557</v>
      </c>
      <c r="I209">
        <v>947</v>
      </c>
      <c r="J209">
        <v>945610</v>
      </c>
      <c r="K209" s="1">
        <v>45862</v>
      </c>
      <c r="L209" t="s">
        <v>53</v>
      </c>
      <c r="M209" t="s">
        <v>54</v>
      </c>
      <c r="N209" t="s">
        <v>54</v>
      </c>
      <c r="O209" t="s">
        <v>57</v>
      </c>
    </row>
    <row r="210" spans="1:15" x14ac:dyDescent="0.3">
      <c r="A210">
        <v>5</v>
      </c>
      <c r="B210" s="1">
        <v>45885</v>
      </c>
      <c r="C210" s="1">
        <v>45870</v>
      </c>
      <c r="D210" t="s">
        <v>40</v>
      </c>
      <c r="E210">
        <v>18</v>
      </c>
      <c r="F210">
        <v>398629</v>
      </c>
      <c r="G210">
        <v>2.2000000000000002</v>
      </c>
      <c r="H210">
        <v>876983</v>
      </c>
      <c r="I210">
        <v>877</v>
      </c>
      <c r="J210">
        <v>876106</v>
      </c>
      <c r="K210" s="1">
        <v>45895</v>
      </c>
      <c r="L210" t="s">
        <v>55</v>
      </c>
      <c r="M210" t="s">
        <v>54</v>
      </c>
      <c r="N210" t="s">
        <v>54</v>
      </c>
      <c r="O210" t="s">
        <v>54</v>
      </c>
    </row>
    <row r="211" spans="1:15" x14ac:dyDescent="0.3">
      <c r="A211">
        <v>6</v>
      </c>
      <c r="B211" s="1">
        <v>45908</v>
      </c>
      <c r="C211" s="1">
        <v>45901</v>
      </c>
      <c r="D211" t="s">
        <v>40</v>
      </c>
      <c r="E211">
        <v>18</v>
      </c>
      <c r="F211">
        <v>243049</v>
      </c>
      <c r="G211">
        <v>2.2000000000000002</v>
      </c>
      <c r="H211">
        <v>534708</v>
      </c>
      <c r="I211">
        <v>535</v>
      </c>
      <c r="J211">
        <v>534173</v>
      </c>
      <c r="K211" s="1">
        <v>45918</v>
      </c>
      <c r="L211" t="s">
        <v>55</v>
      </c>
      <c r="M211" t="s">
        <v>54</v>
      </c>
      <c r="N211" t="s">
        <v>54</v>
      </c>
      <c r="O211" t="s">
        <v>54</v>
      </c>
    </row>
    <row r="212" spans="1:15" x14ac:dyDescent="0.3">
      <c r="A212">
        <v>7</v>
      </c>
      <c r="B212" s="1">
        <v>45944</v>
      </c>
      <c r="C212" s="1">
        <v>45931</v>
      </c>
      <c r="D212" t="s">
        <v>40</v>
      </c>
      <c r="E212">
        <v>18</v>
      </c>
      <c r="F212">
        <v>131227</v>
      </c>
      <c r="G212">
        <v>2.2000000000000002</v>
      </c>
      <c r="H212">
        <v>288699</v>
      </c>
      <c r="I212">
        <v>289</v>
      </c>
      <c r="J212">
        <v>288411</v>
      </c>
      <c r="K212" s="1">
        <v>45954</v>
      </c>
      <c r="L212" t="s">
        <v>55</v>
      </c>
      <c r="M212" t="s">
        <v>54</v>
      </c>
      <c r="N212" t="s">
        <v>54</v>
      </c>
      <c r="O212" t="s">
        <v>58</v>
      </c>
    </row>
    <row r="213" spans="1:15" x14ac:dyDescent="0.3">
      <c r="A213">
        <v>8</v>
      </c>
      <c r="B213" s="1">
        <v>45973</v>
      </c>
      <c r="C213" s="1">
        <v>45962</v>
      </c>
      <c r="D213" t="s">
        <v>40</v>
      </c>
      <c r="E213">
        <v>18</v>
      </c>
      <c r="F213">
        <v>115746</v>
      </c>
      <c r="G213">
        <v>2.2000000000000002</v>
      </c>
      <c r="H213">
        <v>254641</v>
      </c>
      <c r="I213">
        <v>255</v>
      </c>
      <c r="J213">
        <v>254387</v>
      </c>
      <c r="K213" s="1">
        <v>45983</v>
      </c>
      <c r="L213" t="s">
        <v>55</v>
      </c>
      <c r="M213" t="s">
        <v>54</v>
      </c>
      <c r="N213" t="s">
        <v>54</v>
      </c>
      <c r="O213" t="s">
        <v>54</v>
      </c>
    </row>
    <row r="214" spans="1:15" x14ac:dyDescent="0.3">
      <c r="A214">
        <v>9</v>
      </c>
      <c r="B214" s="1">
        <v>45996</v>
      </c>
      <c r="C214" s="1">
        <v>45992</v>
      </c>
      <c r="D214" t="s">
        <v>40</v>
      </c>
      <c r="E214">
        <v>18</v>
      </c>
      <c r="F214">
        <v>191232</v>
      </c>
      <c r="G214">
        <v>2.2000000000000002</v>
      </c>
      <c r="H214">
        <v>420710</v>
      </c>
      <c r="I214">
        <v>421</v>
      </c>
      <c r="J214">
        <v>420289</v>
      </c>
      <c r="K214" s="1">
        <v>46006</v>
      </c>
      <c r="L214" t="s">
        <v>55</v>
      </c>
      <c r="M214" t="s">
        <v>54</v>
      </c>
      <c r="N214" t="s">
        <v>54</v>
      </c>
      <c r="O214" t="s">
        <v>54</v>
      </c>
    </row>
    <row r="215" spans="1:15" x14ac:dyDescent="0.3">
      <c r="A215">
        <v>10</v>
      </c>
      <c r="B215" s="1">
        <v>45664</v>
      </c>
      <c r="C215" s="1">
        <v>46023</v>
      </c>
      <c r="D215" t="s">
        <v>40</v>
      </c>
      <c r="E215">
        <v>18</v>
      </c>
      <c r="F215">
        <v>61840</v>
      </c>
      <c r="G215">
        <v>2.2000000000000002</v>
      </c>
      <c r="H215">
        <v>136049</v>
      </c>
      <c r="I215">
        <v>136</v>
      </c>
      <c r="J215">
        <v>135913</v>
      </c>
      <c r="K215" s="1">
        <v>45674</v>
      </c>
      <c r="L215" t="s">
        <v>55</v>
      </c>
      <c r="M215" t="s">
        <v>54</v>
      </c>
      <c r="N215" t="s">
        <v>54</v>
      </c>
      <c r="O215" t="s">
        <v>59</v>
      </c>
    </row>
    <row r="216" spans="1:15" x14ac:dyDescent="0.3">
      <c r="A216">
        <v>11</v>
      </c>
      <c r="B216" s="1">
        <v>45708</v>
      </c>
      <c r="C216" s="1">
        <v>46054</v>
      </c>
      <c r="D216" t="s">
        <v>40</v>
      </c>
      <c r="E216">
        <v>18</v>
      </c>
      <c r="F216">
        <v>42031</v>
      </c>
      <c r="G216">
        <v>2.2000000000000002</v>
      </c>
      <c r="H216">
        <v>92469</v>
      </c>
      <c r="I216">
        <v>92</v>
      </c>
      <c r="J216">
        <v>92377</v>
      </c>
      <c r="K216" s="1">
        <v>45718</v>
      </c>
      <c r="L216" t="s">
        <v>55</v>
      </c>
      <c r="M216" t="s">
        <v>54</v>
      </c>
      <c r="N216" t="s">
        <v>54</v>
      </c>
      <c r="O216" t="s">
        <v>54</v>
      </c>
    </row>
    <row r="217" spans="1:15" x14ac:dyDescent="0.3">
      <c r="A217">
        <v>12</v>
      </c>
      <c r="B217" s="1">
        <v>46088</v>
      </c>
      <c r="C217" s="1">
        <v>46082</v>
      </c>
      <c r="D217" t="s">
        <v>40</v>
      </c>
      <c r="E217">
        <v>18</v>
      </c>
      <c r="F217">
        <v>58870</v>
      </c>
      <c r="G217">
        <v>2.2000000000000002</v>
      </c>
      <c r="H217">
        <v>129515</v>
      </c>
      <c r="I217">
        <v>130</v>
      </c>
      <c r="J217">
        <v>129385</v>
      </c>
      <c r="K217" s="1">
        <v>46098</v>
      </c>
      <c r="L217" t="s">
        <v>53</v>
      </c>
      <c r="M217" t="s">
        <v>54</v>
      </c>
      <c r="N217" t="s">
        <v>54</v>
      </c>
      <c r="O217" t="s">
        <v>54</v>
      </c>
    </row>
    <row r="218" spans="1:15" x14ac:dyDescent="0.3">
      <c r="A218">
        <v>1</v>
      </c>
      <c r="B218" s="1">
        <v>45754</v>
      </c>
      <c r="C218" s="1">
        <v>45748</v>
      </c>
      <c r="D218" t="s">
        <v>40</v>
      </c>
      <c r="E218">
        <v>19</v>
      </c>
      <c r="F218">
        <v>150910</v>
      </c>
      <c r="G218">
        <v>2.2000000000000002</v>
      </c>
      <c r="H218">
        <v>332002</v>
      </c>
      <c r="I218">
        <v>332</v>
      </c>
      <c r="J218">
        <v>331670</v>
      </c>
      <c r="K218" s="1">
        <v>45761</v>
      </c>
      <c r="L218" t="s">
        <v>53</v>
      </c>
      <c r="M218" t="s">
        <v>54</v>
      </c>
      <c r="N218" t="s">
        <v>54</v>
      </c>
      <c r="O218" t="s">
        <v>60</v>
      </c>
    </row>
    <row r="219" spans="1:15" x14ac:dyDescent="0.3">
      <c r="A219">
        <v>2</v>
      </c>
      <c r="B219" s="1">
        <v>45817</v>
      </c>
      <c r="C219" s="1">
        <v>45778</v>
      </c>
      <c r="D219" t="s">
        <v>40</v>
      </c>
      <c r="E219">
        <v>19</v>
      </c>
      <c r="F219">
        <v>297003</v>
      </c>
      <c r="G219">
        <v>2.2000000000000002</v>
      </c>
      <c r="H219">
        <v>653407</v>
      </c>
      <c r="I219">
        <v>653</v>
      </c>
      <c r="J219">
        <v>652753</v>
      </c>
      <c r="K219" s="1">
        <v>45824</v>
      </c>
      <c r="L219" t="s">
        <v>53</v>
      </c>
      <c r="M219" t="s">
        <v>54</v>
      </c>
      <c r="N219" t="s">
        <v>54</v>
      </c>
      <c r="O219" t="s">
        <v>54</v>
      </c>
    </row>
    <row r="220" spans="1:15" x14ac:dyDescent="0.3">
      <c r="A220">
        <v>3</v>
      </c>
      <c r="B220" s="1">
        <v>45817</v>
      </c>
      <c r="C220" s="1">
        <v>45809</v>
      </c>
      <c r="D220" t="s">
        <v>40</v>
      </c>
      <c r="E220">
        <v>19</v>
      </c>
      <c r="F220">
        <v>912130</v>
      </c>
      <c r="G220">
        <v>2.2000000000000002</v>
      </c>
      <c r="H220">
        <v>2006686</v>
      </c>
      <c r="I220">
        <v>2007</v>
      </c>
      <c r="J220">
        <v>2004679</v>
      </c>
      <c r="K220" s="1">
        <v>45824</v>
      </c>
      <c r="L220" t="s">
        <v>53</v>
      </c>
      <c r="M220" t="s">
        <v>54</v>
      </c>
      <c r="N220" t="s">
        <v>54</v>
      </c>
      <c r="O220" t="s">
        <v>54</v>
      </c>
    </row>
    <row r="221" spans="1:15" x14ac:dyDescent="0.3">
      <c r="A221">
        <v>4</v>
      </c>
      <c r="B221" s="1">
        <v>45852</v>
      </c>
      <c r="C221" s="1">
        <v>45839</v>
      </c>
      <c r="D221" t="s">
        <v>40</v>
      </c>
      <c r="E221">
        <v>19</v>
      </c>
      <c r="F221">
        <v>1162156</v>
      </c>
      <c r="G221">
        <v>2.2000000000000002</v>
      </c>
      <c r="H221">
        <v>2556743</v>
      </c>
      <c r="I221">
        <v>2557</v>
      </c>
      <c r="J221">
        <v>2554186</v>
      </c>
      <c r="K221" s="1">
        <v>45859</v>
      </c>
      <c r="L221" t="s">
        <v>53</v>
      </c>
      <c r="M221" t="s">
        <v>54</v>
      </c>
      <c r="N221" t="s">
        <v>54</v>
      </c>
      <c r="O221" t="s">
        <v>61</v>
      </c>
    </row>
    <row r="222" spans="1:15" x14ac:dyDescent="0.3">
      <c r="A222">
        <v>5</v>
      </c>
      <c r="B222" s="1">
        <v>45885</v>
      </c>
      <c r="C222" s="1">
        <v>45870</v>
      </c>
      <c r="D222" t="s">
        <v>40</v>
      </c>
      <c r="E222">
        <v>19</v>
      </c>
      <c r="F222">
        <v>725434</v>
      </c>
      <c r="G222">
        <v>2.2000000000000002</v>
      </c>
      <c r="H222">
        <v>1595955</v>
      </c>
      <c r="I222">
        <v>1596</v>
      </c>
      <c r="J222">
        <v>1594359</v>
      </c>
      <c r="K222" s="1">
        <v>45892</v>
      </c>
      <c r="L222" t="s">
        <v>53</v>
      </c>
      <c r="M222" t="s">
        <v>54</v>
      </c>
      <c r="N222" t="s">
        <v>54</v>
      </c>
      <c r="O222" t="s">
        <v>54</v>
      </c>
    </row>
    <row r="223" spans="1:15" x14ac:dyDescent="0.3">
      <c r="A223">
        <v>6</v>
      </c>
      <c r="B223" s="1">
        <v>45908</v>
      </c>
      <c r="C223" s="1">
        <v>45901</v>
      </c>
      <c r="D223" t="s">
        <v>40</v>
      </c>
      <c r="E223">
        <v>19</v>
      </c>
      <c r="F223">
        <v>422571</v>
      </c>
      <c r="G223">
        <v>2.2000000000000002</v>
      </c>
      <c r="H223">
        <v>929656</v>
      </c>
      <c r="I223">
        <v>930</v>
      </c>
      <c r="J223">
        <v>928727</v>
      </c>
      <c r="K223" s="1">
        <v>45915</v>
      </c>
      <c r="L223" t="s">
        <v>53</v>
      </c>
      <c r="M223" t="s">
        <v>54</v>
      </c>
      <c r="N223" t="s">
        <v>54</v>
      </c>
      <c r="O223" t="s">
        <v>54</v>
      </c>
    </row>
    <row r="224" spans="1:15" x14ac:dyDescent="0.3">
      <c r="A224">
        <v>7</v>
      </c>
      <c r="B224" s="1">
        <v>45944</v>
      </c>
      <c r="C224" s="1">
        <v>45931</v>
      </c>
      <c r="D224" t="s">
        <v>40</v>
      </c>
      <c r="E224">
        <v>19</v>
      </c>
      <c r="F224">
        <v>241172</v>
      </c>
      <c r="G224">
        <v>2.2000000000000002</v>
      </c>
      <c r="H224">
        <v>530578</v>
      </c>
      <c r="I224">
        <v>531</v>
      </c>
      <c r="J224">
        <v>530048</v>
      </c>
      <c r="K224" s="1">
        <v>45951</v>
      </c>
      <c r="L224" t="s">
        <v>53</v>
      </c>
      <c r="M224" t="s">
        <v>54</v>
      </c>
      <c r="N224" t="s">
        <v>54</v>
      </c>
      <c r="O224" t="s">
        <v>62</v>
      </c>
    </row>
    <row r="225" spans="1:15" x14ac:dyDescent="0.3">
      <c r="A225">
        <v>8</v>
      </c>
      <c r="B225" s="1">
        <v>45973</v>
      </c>
      <c r="C225" s="1">
        <v>45962</v>
      </c>
      <c r="D225" t="s">
        <v>40</v>
      </c>
      <c r="E225">
        <v>19</v>
      </c>
      <c r="F225">
        <v>236136</v>
      </c>
      <c r="G225">
        <v>2.2000000000000002</v>
      </c>
      <c r="H225">
        <v>519499</v>
      </c>
      <c r="I225">
        <v>519</v>
      </c>
      <c r="J225">
        <v>518980</v>
      </c>
      <c r="K225" s="1">
        <v>45980</v>
      </c>
      <c r="L225" t="s">
        <v>53</v>
      </c>
      <c r="M225" t="s">
        <v>54</v>
      </c>
      <c r="N225" t="s">
        <v>54</v>
      </c>
      <c r="O225" t="s">
        <v>54</v>
      </c>
    </row>
    <row r="226" spans="1:15" x14ac:dyDescent="0.3">
      <c r="A226">
        <v>9</v>
      </c>
      <c r="B226" s="1">
        <v>45996</v>
      </c>
      <c r="C226" s="1">
        <v>45992</v>
      </c>
      <c r="D226" t="s">
        <v>40</v>
      </c>
      <c r="E226">
        <v>19</v>
      </c>
      <c r="F226">
        <v>370684</v>
      </c>
      <c r="G226">
        <v>2.2000000000000002</v>
      </c>
      <c r="H226">
        <v>815505</v>
      </c>
      <c r="I226">
        <v>816</v>
      </c>
      <c r="J226">
        <v>814689</v>
      </c>
      <c r="K226" s="1">
        <v>46003</v>
      </c>
      <c r="L226" t="s">
        <v>53</v>
      </c>
      <c r="M226" t="s">
        <v>54</v>
      </c>
      <c r="N226" t="s">
        <v>54</v>
      </c>
      <c r="O226" t="s">
        <v>54</v>
      </c>
    </row>
    <row r="227" spans="1:15" x14ac:dyDescent="0.3">
      <c r="A227">
        <v>10</v>
      </c>
      <c r="B227" s="1">
        <v>45664</v>
      </c>
      <c r="C227" s="1">
        <v>46023</v>
      </c>
      <c r="D227" t="s">
        <v>40</v>
      </c>
      <c r="E227">
        <v>19</v>
      </c>
      <c r="F227">
        <v>144683</v>
      </c>
      <c r="G227">
        <v>2.2000000000000002</v>
      </c>
      <c r="H227">
        <v>318303</v>
      </c>
      <c r="I227">
        <v>318</v>
      </c>
      <c r="J227">
        <v>317984</v>
      </c>
      <c r="K227" s="1">
        <v>45671</v>
      </c>
      <c r="L227" t="s">
        <v>53</v>
      </c>
      <c r="M227" t="s">
        <v>54</v>
      </c>
      <c r="N227" t="s">
        <v>54</v>
      </c>
      <c r="O227" t="s">
        <v>63</v>
      </c>
    </row>
    <row r="228" spans="1:15" x14ac:dyDescent="0.3">
      <c r="A228">
        <v>11</v>
      </c>
      <c r="B228" s="1">
        <v>45708</v>
      </c>
      <c r="C228" s="1">
        <v>46054</v>
      </c>
      <c r="D228" t="s">
        <v>40</v>
      </c>
      <c r="E228">
        <v>19</v>
      </c>
      <c r="F228">
        <v>100234</v>
      </c>
      <c r="G228">
        <v>2.2000000000000002</v>
      </c>
      <c r="H228">
        <v>220515</v>
      </c>
      <c r="I228">
        <v>221</v>
      </c>
      <c r="J228">
        <v>220294</v>
      </c>
      <c r="K228" s="1">
        <v>45715</v>
      </c>
      <c r="L228" t="s">
        <v>53</v>
      </c>
      <c r="M228" t="s">
        <v>54</v>
      </c>
      <c r="N228" t="s">
        <v>54</v>
      </c>
      <c r="O228" t="s">
        <v>54</v>
      </c>
    </row>
    <row r="229" spans="1:15" x14ac:dyDescent="0.3">
      <c r="A229">
        <v>12</v>
      </c>
      <c r="B229" s="1">
        <v>46088</v>
      </c>
      <c r="C229" s="1">
        <v>46082</v>
      </c>
      <c r="D229" t="s">
        <v>40</v>
      </c>
      <c r="E229">
        <v>19</v>
      </c>
      <c r="F229">
        <v>126585</v>
      </c>
      <c r="G229">
        <v>2.2000000000000002</v>
      </c>
      <c r="H229">
        <v>278487</v>
      </c>
      <c r="I229">
        <v>278</v>
      </c>
      <c r="J229">
        <v>278209</v>
      </c>
      <c r="K229" s="1">
        <v>46095</v>
      </c>
      <c r="L229" t="s">
        <v>53</v>
      </c>
      <c r="M229" t="s">
        <v>54</v>
      </c>
      <c r="N229" t="s">
        <v>54</v>
      </c>
      <c r="O229" t="s">
        <v>54</v>
      </c>
    </row>
    <row r="230" spans="1:15" x14ac:dyDescent="0.3">
      <c r="A230">
        <v>1</v>
      </c>
      <c r="B230" s="1">
        <v>45754</v>
      </c>
      <c r="C230" s="1">
        <v>45748</v>
      </c>
      <c r="D230" t="s">
        <v>40</v>
      </c>
      <c r="E230">
        <v>20</v>
      </c>
      <c r="F230">
        <v>55212</v>
      </c>
      <c r="G230">
        <v>2.2000000000000002</v>
      </c>
      <c r="H230">
        <v>121466</v>
      </c>
      <c r="I230">
        <v>121</v>
      </c>
      <c r="J230">
        <v>121345</v>
      </c>
      <c r="K230" s="1">
        <v>45774</v>
      </c>
      <c r="L230" t="s">
        <v>53</v>
      </c>
      <c r="M230" t="s">
        <v>54</v>
      </c>
      <c r="N230" t="s">
        <v>54</v>
      </c>
      <c r="O230" t="s">
        <v>64</v>
      </c>
    </row>
    <row r="231" spans="1:15" x14ac:dyDescent="0.3">
      <c r="A231">
        <v>2</v>
      </c>
      <c r="B231" s="1">
        <v>45817</v>
      </c>
      <c r="C231" s="1">
        <v>45778</v>
      </c>
      <c r="D231" t="s">
        <v>40</v>
      </c>
      <c r="E231">
        <v>20</v>
      </c>
      <c r="F231">
        <v>246334</v>
      </c>
      <c r="G231">
        <v>2.2000000000000002</v>
      </c>
      <c r="H231">
        <v>541935</v>
      </c>
      <c r="I231">
        <v>542</v>
      </c>
      <c r="J231">
        <v>541393</v>
      </c>
      <c r="K231" s="1">
        <v>45837</v>
      </c>
      <c r="L231" t="s">
        <v>53</v>
      </c>
      <c r="M231" t="s">
        <v>54</v>
      </c>
      <c r="N231" t="s">
        <v>54</v>
      </c>
      <c r="O231" t="s">
        <v>54</v>
      </c>
    </row>
    <row r="232" spans="1:15" x14ac:dyDescent="0.3">
      <c r="A232">
        <v>3</v>
      </c>
      <c r="B232" s="1">
        <v>45817</v>
      </c>
      <c r="C232" s="1">
        <v>45809</v>
      </c>
      <c r="D232" t="s">
        <v>40</v>
      </c>
      <c r="E232">
        <v>20</v>
      </c>
      <c r="F232">
        <v>405863</v>
      </c>
      <c r="G232">
        <v>2.2000000000000002</v>
      </c>
      <c r="H232">
        <v>892899</v>
      </c>
      <c r="I232">
        <v>893</v>
      </c>
      <c r="J232">
        <v>892006</v>
      </c>
      <c r="K232" s="1">
        <v>45837</v>
      </c>
      <c r="L232" t="s">
        <v>53</v>
      </c>
      <c r="M232" t="s">
        <v>54</v>
      </c>
      <c r="N232" t="s">
        <v>54</v>
      </c>
      <c r="O232" t="s">
        <v>54</v>
      </c>
    </row>
    <row r="233" spans="1:15" x14ac:dyDescent="0.3">
      <c r="A233">
        <v>4</v>
      </c>
      <c r="B233" s="1">
        <v>45852</v>
      </c>
      <c r="C233" s="1">
        <v>45839</v>
      </c>
      <c r="D233" t="s">
        <v>40</v>
      </c>
      <c r="E233">
        <v>20</v>
      </c>
      <c r="F233">
        <v>510362</v>
      </c>
      <c r="G233">
        <v>2.2000000000000002</v>
      </c>
      <c r="H233">
        <v>1122796</v>
      </c>
      <c r="I233">
        <v>1123</v>
      </c>
      <c r="J233">
        <v>1121674</v>
      </c>
      <c r="K233" s="1">
        <v>45872</v>
      </c>
      <c r="L233" t="s">
        <v>53</v>
      </c>
      <c r="M233" t="s">
        <v>54</v>
      </c>
      <c r="N233" t="s">
        <v>54</v>
      </c>
      <c r="O233" t="s">
        <v>65</v>
      </c>
    </row>
    <row r="234" spans="1:15" x14ac:dyDescent="0.3">
      <c r="A234">
        <v>5</v>
      </c>
      <c r="B234" s="1">
        <v>45885</v>
      </c>
      <c r="C234" s="1">
        <v>45870</v>
      </c>
      <c r="D234" t="s">
        <v>40</v>
      </c>
      <c r="E234">
        <v>20</v>
      </c>
      <c r="F234">
        <v>339781</v>
      </c>
      <c r="G234">
        <v>2.2000000000000002</v>
      </c>
      <c r="H234">
        <v>747518</v>
      </c>
      <c r="I234">
        <v>748</v>
      </c>
      <c r="J234">
        <v>746771</v>
      </c>
      <c r="K234" s="1">
        <v>45905</v>
      </c>
      <c r="L234" t="s">
        <v>55</v>
      </c>
      <c r="M234" t="s">
        <v>54</v>
      </c>
      <c r="N234" t="s">
        <v>54</v>
      </c>
      <c r="O234" t="s">
        <v>54</v>
      </c>
    </row>
    <row r="235" spans="1:15" x14ac:dyDescent="0.3">
      <c r="A235">
        <v>6</v>
      </c>
      <c r="B235" s="1">
        <v>45908</v>
      </c>
      <c r="C235" s="1">
        <v>45901</v>
      </c>
      <c r="D235" t="s">
        <v>40</v>
      </c>
      <c r="E235">
        <v>20</v>
      </c>
      <c r="F235">
        <v>343584</v>
      </c>
      <c r="G235">
        <v>2.2000000000000002</v>
      </c>
      <c r="H235">
        <v>755885</v>
      </c>
      <c r="I235">
        <v>756</v>
      </c>
      <c r="J235">
        <v>755129</v>
      </c>
      <c r="K235" s="1">
        <v>45928</v>
      </c>
      <c r="L235" t="s">
        <v>53</v>
      </c>
      <c r="M235" t="s">
        <v>54</v>
      </c>
      <c r="N235" t="s">
        <v>54</v>
      </c>
      <c r="O235" t="s">
        <v>54</v>
      </c>
    </row>
    <row r="236" spans="1:15" x14ac:dyDescent="0.3">
      <c r="A236">
        <v>7</v>
      </c>
      <c r="B236" s="1">
        <v>45944</v>
      </c>
      <c r="C236" s="1">
        <v>45931</v>
      </c>
      <c r="D236" t="s">
        <v>40</v>
      </c>
      <c r="E236">
        <v>20</v>
      </c>
      <c r="F236">
        <v>101218</v>
      </c>
      <c r="G236">
        <v>2.2000000000000002</v>
      </c>
      <c r="H236">
        <v>222680</v>
      </c>
      <c r="I236">
        <v>223</v>
      </c>
      <c r="J236">
        <v>222457</v>
      </c>
      <c r="K236" s="1">
        <v>45964</v>
      </c>
      <c r="L236" t="s">
        <v>53</v>
      </c>
      <c r="M236" t="s">
        <v>54</v>
      </c>
      <c r="N236" t="s">
        <v>54</v>
      </c>
      <c r="O236" t="s">
        <v>66</v>
      </c>
    </row>
    <row r="237" spans="1:15" x14ac:dyDescent="0.3">
      <c r="A237">
        <v>8</v>
      </c>
      <c r="B237" s="1">
        <v>45973</v>
      </c>
      <c r="C237" s="1">
        <v>45962</v>
      </c>
      <c r="D237" t="s">
        <v>40</v>
      </c>
      <c r="E237">
        <v>20</v>
      </c>
      <c r="F237">
        <v>20852</v>
      </c>
      <c r="G237">
        <v>2.2000000000000002</v>
      </c>
      <c r="H237">
        <v>45874</v>
      </c>
      <c r="I237">
        <v>46</v>
      </c>
      <c r="J237">
        <v>45829</v>
      </c>
      <c r="K237" s="1">
        <v>45993</v>
      </c>
      <c r="L237" t="s">
        <v>55</v>
      </c>
      <c r="M237" t="s">
        <v>54</v>
      </c>
      <c r="N237" t="s">
        <v>54</v>
      </c>
      <c r="O237" t="s">
        <v>54</v>
      </c>
    </row>
    <row r="238" spans="1:15" x14ac:dyDescent="0.3">
      <c r="A238">
        <v>9</v>
      </c>
      <c r="B238" s="1">
        <v>45996</v>
      </c>
      <c r="C238" s="1">
        <v>45992</v>
      </c>
      <c r="D238" t="s">
        <v>40</v>
      </c>
      <c r="E238">
        <v>20</v>
      </c>
      <c r="F238">
        <v>12645</v>
      </c>
      <c r="G238">
        <v>2.2000000000000002</v>
      </c>
      <c r="H238">
        <v>27819</v>
      </c>
      <c r="I238">
        <v>28</v>
      </c>
      <c r="J238">
        <v>27791</v>
      </c>
      <c r="K238" s="1">
        <v>46016</v>
      </c>
      <c r="L238" t="s">
        <v>55</v>
      </c>
      <c r="M238" t="s">
        <v>54</v>
      </c>
      <c r="N238" t="s">
        <v>54</v>
      </c>
      <c r="O238" t="s">
        <v>54</v>
      </c>
    </row>
    <row r="239" spans="1:15" x14ac:dyDescent="0.3">
      <c r="A239">
        <v>10</v>
      </c>
      <c r="B239" s="1">
        <v>45664</v>
      </c>
      <c r="C239" s="1">
        <v>46023</v>
      </c>
      <c r="D239" t="s">
        <v>40</v>
      </c>
      <c r="E239">
        <v>20</v>
      </c>
      <c r="F239">
        <v>19720</v>
      </c>
      <c r="G239">
        <v>2.2000000000000002</v>
      </c>
      <c r="H239">
        <v>43384</v>
      </c>
      <c r="I239">
        <v>43</v>
      </c>
      <c r="J239">
        <v>43341</v>
      </c>
      <c r="K239" s="1">
        <v>45684</v>
      </c>
      <c r="L239" t="s">
        <v>53</v>
      </c>
      <c r="M239" t="s">
        <v>54</v>
      </c>
      <c r="N239" t="s">
        <v>54</v>
      </c>
      <c r="O239" t="s">
        <v>54</v>
      </c>
    </row>
    <row r="240" spans="1:15" x14ac:dyDescent="0.3">
      <c r="A240">
        <v>11</v>
      </c>
      <c r="B240" s="1">
        <v>45708</v>
      </c>
      <c r="C240" s="1">
        <v>46054</v>
      </c>
      <c r="D240" t="s">
        <v>40</v>
      </c>
      <c r="E240">
        <v>20</v>
      </c>
      <c r="F240">
        <v>26233</v>
      </c>
      <c r="G240">
        <v>2.2000000000000002</v>
      </c>
      <c r="H240">
        <v>57713</v>
      </c>
      <c r="I240">
        <v>58</v>
      </c>
      <c r="J240">
        <v>57655</v>
      </c>
      <c r="K240" s="1">
        <v>45728</v>
      </c>
      <c r="L240" t="s">
        <v>53</v>
      </c>
      <c r="M240" t="s">
        <v>54</v>
      </c>
      <c r="N240" t="s">
        <v>54</v>
      </c>
      <c r="O240" t="s">
        <v>54</v>
      </c>
    </row>
    <row r="241" spans="1:15" x14ac:dyDescent="0.3">
      <c r="A241">
        <v>12</v>
      </c>
      <c r="B241" s="1">
        <v>46088</v>
      </c>
      <c r="C241" s="1">
        <v>46082</v>
      </c>
      <c r="D241" t="s">
        <v>40</v>
      </c>
      <c r="E241">
        <v>20</v>
      </c>
      <c r="F241">
        <v>23291</v>
      </c>
      <c r="G241">
        <v>2.2000000000000002</v>
      </c>
      <c r="H241">
        <v>51240</v>
      </c>
      <c r="I241">
        <v>51</v>
      </c>
      <c r="J241">
        <v>51189</v>
      </c>
      <c r="K241" s="1">
        <v>46108</v>
      </c>
      <c r="L241" t="s">
        <v>53</v>
      </c>
      <c r="M241" t="s">
        <v>54</v>
      </c>
      <c r="N241" t="s">
        <v>54</v>
      </c>
      <c r="O241" t="s">
        <v>54</v>
      </c>
    </row>
    <row r="242" spans="1:15" x14ac:dyDescent="0.3">
      <c r="A242">
        <v>1</v>
      </c>
      <c r="B242" s="1">
        <v>45754</v>
      </c>
      <c r="C242" s="1">
        <v>45748</v>
      </c>
      <c r="D242" t="s">
        <v>40</v>
      </c>
      <c r="E242">
        <v>21</v>
      </c>
      <c r="F242">
        <v>49032</v>
      </c>
      <c r="G242">
        <v>2.2000000000000002</v>
      </c>
      <c r="H242">
        <v>107870</v>
      </c>
      <c r="I242">
        <v>108</v>
      </c>
      <c r="J242">
        <v>107763</v>
      </c>
      <c r="K242" s="1">
        <v>45774</v>
      </c>
      <c r="L242" t="s">
        <v>53</v>
      </c>
      <c r="M242" t="s">
        <v>54</v>
      </c>
      <c r="N242" t="s">
        <v>54</v>
      </c>
      <c r="O242" t="s">
        <v>54</v>
      </c>
    </row>
    <row r="243" spans="1:15" x14ac:dyDescent="0.3">
      <c r="A243">
        <v>2</v>
      </c>
      <c r="B243" s="1">
        <v>45817</v>
      </c>
      <c r="C243" s="1">
        <v>45778</v>
      </c>
      <c r="D243" t="s">
        <v>40</v>
      </c>
      <c r="E243">
        <v>21</v>
      </c>
      <c r="F243">
        <v>217894</v>
      </c>
      <c r="G243">
        <v>2.2000000000000002</v>
      </c>
      <c r="H243">
        <v>479367</v>
      </c>
      <c r="I243">
        <v>479</v>
      </c>
      <c r="J243">
        <v>478887</v>
      </c>
      <c r="K243" s="1">
        <v>45837</v>
      </c>
      <c r="L243" t="s">
        <v>53</v>
      </c>
      <c r="M243" t="s">
        <v>54</v>
      </c>
      <c r="N243" t="s">
        <v>54</v>
      </c>
      <c r="O243" t="s">
        <v>54</v>
      </c>
    </row>
    <row r="244" spans="1:15" x14ac:dyDescent="0.3">
      <c r="A244">
        <v>3</v>
      </c>
      <c r="B244" s="1">
        <v>45817</v>
      </c>
      <c r="C244" s="1">
        <v>45809</v>
      </c>
      <c r="D244" t="s">
        <v>40</v>
      </c>
      <c r="E244">
        <v>21</v>
      </c>
      <c r="F244">
        <v>343038</v>
      </c>
      <c r="G244">
        <v>2.2000000000000002</v>
      </c>
      <c r="H244">
        <v>754684</v>
      </c>
      <c r="I244">
        <v>755</v>
      </c>
      <c r="J244">
        <v>753929</v>
      </c>
      <c r="K244" s="1">
        <v>45837</v>
      </c>
      <c r="L244" t="s">
        <v>53</v>
      </c>
      <c r="M244" t="s">
        <v>54</v>
      </c>
      <c r="N244" t="s">
        <v>54</v>
      </c>
      <c r="O244" t="s">
        <v>54</v>
      </c>
    </row>
    <row r="245" spans="1:15" x14ac:dyDescent="0.3">
      <c r="A245">
        <v>4</v>
      </c>
      <c r="B245" s="1">
        <v>45852</v>
      </c>
      <c r="C245" s="1">
        <v>45839</v>
      </c>
      <c r="D245" t="s">
        <v>40</v>
      </c>
      <c r="E245">
        <v>21</v>
      </c>
      <c r="F245">
        <v>453002</v>
      </c>
      <c r="G245">
        <v>2.2000000000000002</v>
      </c>
      <c r="H245">
        <v>996604</v>
      </c>
      <c r="I245">
        <v>997</v>
      </c>
      <c r="J245">
        <v>995608</v>
      </c>
      <c r="K245" s="1">
        <v>45872</v>
      </c>
      <c r="L245" t="s">
        <v>53</v>
      </c>
      <c r="M245" t="s">
        <v>54</v>
      </c>
      <c r="N245" t="s">
        <v>54</v>
      </c>
      <c r="O245" t="s">
        <v>54</v>
      </c>
    </row>
    <row r="246" spans="1:15" x14ac:dyDescent="0.3">
      <c r="A246">
        <v>5</v>
      </c>
      <c r="B246" s="1">
        <v>45885</v>
      </c>
      <c r="C246" s="1">
        <v>45870</v>
      </c>
      <c r="D246" t="s">
        <v>40</v>
      </c>
      <c r="E246">
        <v>21</v>
      </c>
      <c r="F246">
        <v>321516</v>
      </c>
      <c r="G246">
        <v>2.2000000000000002</v>
      </c>
      <c r="H246">
        <v>707335</v>
      </c>
      <c r="I246">
        <v>707</v>
      </c>
      <c r="J246">
        <v>706628</v>
      </c>
      <c r="K246" s="1">
        <v>45905</v>
      </c>
      <c r="L246" t="s">
        <v>55</v>
      </c>
      <c r="M246" t="s">
        <v>54</v>
      </c>
      <c r="N246" t="s">
        <v>54</v>
      </c>
      <c r="O246" t="s">
        <v>54</v>
      </c>
    </row>
    <row r="247" spans="1:15" x14ac:dyDescent="0.3">
      <c r="A247">
        <v>6</v>
      </c>
      <c r="B247" s="1">
        <v>45908</v>
      </c>
      <c r="C247" s="1">
        <v>45901</v>
      </c>
      <c r="D247" t="s">
        <v>40</v>
      </c>
      <c r="E247">
        <v>21</v>
      </c>
      <c r="F247">
        <v>315162</v>
      </c>
      <c r="G247">
        <v>2.2000000000000002</v>
      </c>
      <c r="H247">
        <v>693356</v>
      </c>
      <c r="I247">
        <v>693</v>
      </c>
      <c r="J247">
        <v>692663</v>
      </c>
      <c r="K247" s="1">
        <v>45928</v>
      </c>
      <c r="L247" t="s">
        <v>53</v>
      </c>
      <c r="M247" t="s">
        <v>54</v>
      </c>
      <c r="N247" t="s">
        <v>54</v>
      </c>
      <c r="O247" t="s">
        <v>54</v>
      </c>
    </row>
    <row r="248" spans="1:15" x14ac:dyDescent="0.3">
      <c r="A248">
        <v>7</v>
      </c>
      <c r="B248" s="1">
        <v>45944</v>
      </c>
      <c r="C248" s="1">
        <v>45931</v>
      </c>
      <c r="D248" t="s">
        <v>40</v>
      </c>
      <c r="E248">
        <v>21</v>
      </c>
      <c r="F248">
        <v>76485</v>
      </c>
      <c r="G248">
        <v>2.2000000000000002</v>
      </c>
      <c r="H248">
        <v>168267</v>
      </c>
      <c r="I248">
        <v>168</v>
      </c>
      <c r="J248">
        <v>168099</v>
      </c>
      <c r="K248" s="1">
        <v>45964</v>
      </c>
      <c r="L248" t="s">
        <v>53</v>
      </c>
      <c r="M248" t="s">
        <v>54</v>
      </c>
      <c r="N248" t="s">
        <v>54</v>
      </c>
      <c r="O248" t="s">
        <v>54</v>
      </c>
    </row>
    <row r="249" spans="1:15" x14ac:dyDescent="0.3">
      <c r="A249">
        <v>8</v>
      </c>
      <c r="B249" s="1">
        <v>45973</v>
      </c>
      <c r="C249" s="1">
        <v>45962</v>
      </c>
      <c r="D249" t="s">
        <v>40</v>
      </c>
      <c r="E249">
        <v>21</v>
      </c>
      <c r="F249">
        <v>21226</v>
      </c>
      <c r="G249">
        <v>2.2000000000000002</v>
      </c>
      <c r="H249">
        <v>46697</v>
      </c>
      <c r="I249">
        <v>47</v>
      </c>
      <c r="J249">
        <v>46651</v>
      </c>
      <c r="K249" s="1">
        <v>45993</v>
      </c>
      <c r="L249" t="s">
        <v>55</v>
      </c>
      <c r="M249" t="s">
        <v>54</v>
      </c>
      <c r="N249" t="s">
        <v>54</v>
      </c>
      <c r="O249" t="s">
        <v>54</v>
      </c>
    </row>
    <row r="250" spans="1:15" x14ac:dyDescent="0.3">
      <c r="A250">
        <v>9</v>
      </c>
      <c r="B250" s="1">
        <v>45996</v>
      </c>
      <c r="C250" s="1">
        <v>45992</v>
      </c>
      <c r="D250" t="s">
        <v>40</v>
      </c>
      <c r="E250">
        <v>21</v>
      </c>
      <c r="F250">
        <v>11446</v>
      </c>
      <c r="G250">
        <v>2.2000000000000002</v>
      </c>
      <c r="H250">
        <v>25181</v>
      </c>
      <c r="I250">
        <v>25</v>
      </c>
      <c r="J250">
        <v>25156</v>
      </c>
      <c r="K250" s="1">
        <v>46016</v>
      </c>
      <c r="L250" t="s">
        <v>55</v>
      </c>
      <c r="M250" t="s">
        <v>54</v>
      </c>
      <c r="N250" t="s">
        <v>54</v>
      </c>
      <c r="O250" t="s">
        <v>54</v>
      </c>
    </row>
    <row r="251" spans="1:15" x14ac:dyDescent="0.3">
      <c r="A251">
        <v>10</v>
      </c>
      <c r="B251" s="1">
        <v>45664</v>
      </c>
      <c r="C251" s="1">
        <v>46023</v>
      </c>
      <c r="D251" t="s">
        <v>40</v>
      </c>
      <c r="E251">
        <v>21</v>
      </c>
      <c r="F251">
        <v>17667</v>
      </c>
      <c r="G251">
        <v>2.2000000000000002</v>
      </c>
      <c r="H251">
        <v>38867</v>
      </c>
      <c r="I251">
        <v>39</v>
      </c>
      <c r="J251">
        <v>38829</v>
      </c>
      <c r="K251" s="1">
        <v>45684</v>
      </c>
      <c r="L251" t="s">
        <v>55</v>
      </c>
      <c r="M251" t="s">
        <v>54</v>
      </c>
      <c r="N251" t="s">
        <v>54</v>
      </c>
      <c r="O251" t="s">
        <v>54</v>
      </c>
    </row>
    <row r="252" spans="1:15" x14ac:dyDescent="0.3">
      <c r="A252">
        <v>11</v>
      </c>
      <c r="B252" s="1">
        <v>45708</v>
      </c>
      <c r="C252" s="1">
        <v>46054</v>
      </c>
      <c r="D252" t="s">
        <v>40</v>
      </c>
      <c r="E252">
        <v>21</v>
      </c>
      <c r="F252">
        <v>24744</v>
      </c>
      <c r="G252">
        <v>2.2000000000000002</v>
      </c>
      <c r="H252">
        <v>54437</v>
      </c>
      <c r="I252">
        <v>54</v>
      </c>
      <c r="J252">
        <v>54382</v>
      </c>
      <c r="K252" s="1">
        <v>45728</v>
      </c>
      <c r="L252" t="s">
        <v>55</v>
      </c>
      <c r="M252" t="s">
        <v>54</v>
      </c>
      <c r="N252" t="s">
        <v>54</v>
      </c>
      <c r="O252" t="s">
        <v>54</v>
      </c>
    </row>
    <row r="253" spans="1:15" x14ac:dyDescent="0.3">
      <c r="A253">
        <v>12</v>
      </c>
      <c r="B253" s="1">
        <v>46088</v>
      </c>
      <c r="C253" s="1">
        <v>46082</v>
      </c>
      <c r="D253" t="s">
        <v>40</v>
      </c>
      <c r="E253">
        <v>21</v>
      </c>
      <c r="F253">
        <v>22730</v>
      </c>
      <c r="G253">
        <v>2.2000000000000002</v>
      </c>
      <c r="H253">
        <v>50006</v>
      </c>
      <c r="I253">
        <v>50</v>
      </c>
      <c r="J253">
        <v>49956</v>
      </c>
      <c r="K253" s="1">
        <v>46108</v>
      </c>
      <c r="L253" t="s">
        <v>53</v>
      </c>
      <c r="M253" t="s">
        <v>54</v>
      </c>
      <c r="N253" t="s">
        <v>54</v>
      </c>
      <c r="O253" t="s">
        <v>54</v>
      </c>
    </row>
    <row r="254" spans="1:15" x14ac:dyDescent="0.3">
      <c r="A254">
        <v>1</v>
      </c>
      <c r="B254" s="1">
        <v>45754</v>
      </c>
      <c r="C254" s="1">
        <v>45748</v>
      </c>
      <c r="D254" t="s">
        <v>40</v>
      </c>
      <c r="E254">
        <v>22</v>
      </c>
      <c r="F254">
        <v>55212</v>
      </c>
      <c r="G254">
        <v>6</v>
      </c>
      <c r="H254">
        <v>331272</v>
      </c>
      <c r="I254">
        <v>331</v>
      </c>
      <c r="J254">
        <v>330941</v>
      </c>
      <c r="K254" s="1">
        <v>45769</v>
      </c>
      <c r="L254" t="s">
        <v>53</v>
      </c>
      <c r="M254" t="s">
        <v>54</v>
      </c>
      <c r="N254" t="s">
        <v>54</v>
      </c>
      <c r="O254" t="s">
        <v>54</v>
      </c>
    </row>
    <row r="255" spans="1:15" x14ac:dyDescent="0.3">
      <c r="A255">
        <v>2</v>
      </c>
      <c r="B255" s="1">
        <v>45817</v>
      </c>
      <c r="C255" s="1">
        <v>45778</v>
      </c>
      <c r="D255" t="s">
        <v>40</v>
      </c>
      <c r="E255">
        <v>22</v>
      </c>
      <c r="F255">
        <v>169017</v>
      </c>
      <c r="G255">
        <v>6</v>
      </c>
      <c r="H255">
        <v>1014102</v>
      </c>
      <c r="I255">
        <v>1014</v>
      </c>
      <c r="J255">
        <v>1013088</v>
      </c>
      <c r="K255" s="1">
        <v>45832</v>
      </c>
      <c r="L255" t="s">
        <v>53</v>
      </c>
      <c r="M255" t="s">
        <v>54</v>
      </c>
      <c r="N255" t="s">
        <v>54</v>
      </c>
      <c r="O255" t="s">
        <v>54</v>
      </c>
    </row>
    <row r="256" spans="1:15" x14ac:dyDescent="0.3">
      <c r="A256">
        <v>3</v>
      </c>
      <c r="B256" s="1">
        <v>45817</v>
      </c>
      <c r="C256" s="1">
        <v>45809</v>
      </c>
      <c r="D256" t="s">
        <v>40</v>
      </c>
      <c r="E256">
        <v>22</v>
      </c>
      <c r="F256">
        <v>222654</v>
      </c>
      <c r="G256">
        <v>6</v>
      </c>
      <c r="H256">
        <v>1335924</v>
      </c>
      <c r="I256">
        <v>1336</v>
      </c>
      <c r="J256">
        <v>1334588</v>
      </c>
      <c r="K256" s="1">
        <v>45832</v>
      </c>
      <c r="L256" t="s">
        <v>53</v>
      </c>
      <c r="M256" t="s">
        <v>54</v>
      </c>
      <c r="N256" t="s">
        <v>54</v>
      </c>
      <c r="O256" t="s">
        <v>54</v>
      </c>
    </row>
    <row r="257" spans="1:15" x14ac:dyDescent="0.3">
      <c r="A257">
        <v>4</v>
      </c>
      <c r="B257" s="1">
        <v>45852</v>
      </c>
      <c r="C257" s="1">
        <v>45839</v>
      </c>
      <c r="D257" t="s">
        <v>40</v>
      </c>
      <c r="E257">
        <v>22</v>
      </c>
      <c r="F257">
        <v>267435</v>
      </c>
      <c r="G257">
        <v>6</v>
      </c>
      <c r="H257">
        <v>1604610</v>
      </c>
      <c r="I257">
        <v>1605</v>
      </c>
      <c r="J257">
        <v>1603005</v>
      </c>
      <c r="K257" s="1">
        <v>45867</v>
      </c>
      <c r="L257" t="s">
        <v>53</v>
      </c>
      <c r="M257" t="s">
        <v>54</v>
      </c>
      <c r="N257" t="s">
        <v>54</v>
      </c>
      <c r="O257" t="s">
        <v>54</v>
      </c>
    </row>
    <row r="258" spans="1:15" x14ac:dyDescent="0.3">
      <c r="A258">
        <v>5</v>
      </c>
      <c r="B258" s="1">
        <v>45883</v>
      </c>
      <c r="C258" s="1">
        <v>45870</v>
      </c>
      <c r="D258" t="s">
        <v>40</v>
      </c>
      <c r="E258">
        <v>22</v>
      </c>
      <c r="F258">
        <v>225236</v>
      </c>
      <c r="G258">
        <v>6</v>
      </c>
      <c r="H258">
        <v>1351416</v>
      </c>
      <c r="I258">
        <v>1351</v>
      </c>
      <c r="J258">
        <v>1350065</v>
      </c>
      <c r="K258" s="1">
        <v>45898</v>
      </c>
      <c r="L258" t="s">
        <v>53</v>
      </c>
      <c r="M258" t="s">
        <v>54</v>
      </c>
      <c r="N258" t="s">
        <v>54</v>
      </c>
      <c r="O258" t="s">
        <v>54</v>
      </c>
    </row>
    <row r="259" spans="1:15" x14ac:dyDescent="0.3">
      <c r="A259">
        <v>6</v>
      </c>
      <c r="B259" s="1">
        <v>45908</v>
      </c>
      <c r="C259" s="1">
        <v>45901</v>
      </c>
      <c r="D259" t="s">
        <v>40</v>
      </c>
      <c r="E259">
        <v>22</v>
      </c>
      <c r="F259">
        <v>201857</v>
      </c>
      <c r="G259">
        <v>6</v>
      </c>
      <c r="H259">
        <v>1211142</v>
      </c>
      <c r="I259">
        <v>1211</v>
      </c>
      <c r="J259">
        <v>1209931</v>
      </c>
      <c r="K259" s="1">
        <v>45923</v>
      </c>
      <c r="L259" t="s">
        <v>53</v>
      </c>
      <c r="M259" t="s">
        <v>54</v>
      </c>
      <c r="N259" t="s">
        <v>54</v>
      </c>
      <c r="O259" t="s">
        <v>54</v>
      </c>
    </row>
    <row r="260" spans="1:15" x14ac:dyDescent="0.3">
      <c r="A260">
        <v>7</v>
      </c>
      <c r="B260" s="1">
        <v>45938</v>
      </c>
      <c r="C260" s="1">
        <v>45931</v>
      </c>
      <c r="D260" t="s">
        <v>40</v>
      </c>
      <c r="E260">
        <v>22</v>
      </c>
      <c r="F260">
        <v>72194</v>
      </c>
      <c r="G260">
        <v>6</v>
      </c>
      <c r="H260">
        <v>433164</v>
      </c>
      <c r="I260">
        <v>433</v>
      </c>
      <c r="J260">
        <v>432731</v>
      </c>
      <c r="K260" s="1">
        <v>45953</v>
      </c>
      <c r="L260" t="s">
        <v>55</v>
      </c>
      <c r="M260" t="s">
        <v>54</v>
      </c>
      <c r="N260" t="s">
        <v>54</v>
      </c>
      <c r="O260" t="s">
        <v>54</v>
      </c>
    </row>
    <row r="261" spans="1:15" x14ac:dyDescent="0.3">
      <c r="A261">
        <v>8</v>
      </c>
      <c r="B261" s="1">
        <v>45973</v>
      </c>
      <c r="C261" s="1">
        <v>45962</v>
      </c>
      <c r="D261" t="s">
        <v>40</v>
      </c>
      <c r="E261">
        <v>22</v>
      </c>
      <c r="F261">
        <v>40403</v>
      </c>
      <c r="G261">
        <v>6</v>
      </c>
      <c r="H261">
        <v>242418</v>
      </c>
      <c r="I261">
        <v>242</v>
      </c>
      <c r="J261">
        <v>242176</v>
      </c>
      <c r="K261" s="1">
        <v>45988</v>
      </c>
      <c r="L261" t="s">
        <v>55</v>
      </c>
      <c r="M261" t="s">
        <v>54</v>
      </c>
      <c r="N261" t="s">
        <v>54</v>
      </c>
      <c r="O261" t="s">
        <v>54</v>
      </c>
    </row>
    <row r="262" spans="1:15" x14ac:dyDescent="0.3">
      <c r="A262">
        <v>9</v>
      </c>
      <c r="B262" s="1">
        <v>46003</v>
      </c>
      <c r="C262" s="1">
        <v>45992</v>
      </c>
      <c r="D262" t="s">
        <v>40</v>
      </c>
      <c r="E262">
        <v>22</v>
      </c>
      <c r="F262">
        <v>52561</v>
      </c>
      <c r="G262">
        <v>6</v>
      </c>
      <c r="H262">
        <v>315366</v>
      </c>
      <c r="I262">
        <v>315</v>
      </c>
      <c r="J262">
        <v>315051</v>
      </c>
      <c r="K262" s="1">
        <v>46018</v>
      </c>
      <c r="L262" t="s">
        <v>55</v>
      </c>
      <c r="M262" t="s">
        <v>54</v>
      </c>
      <c r="N262" t="s">
        <v>54</v>
      </c>
      <c r="O262" t="s">
        <v>54</v>
      </c>
    </row>
    <row r="263" spans="1:15" x14ac:dyDescent="0.3">
      <c r="A263">
        <v>10</v>
      </c>
      <c r="B263" s="1">
        <v>46029</v>
      </c>
      <c r="C263" s="1">
        <v>46023</v>
      </c>
      <c r="D263" t="s">
        <v>40</v>
      </c>
      <c r="E263">
        <v>22</v>
      </c>
      <c r="F263">
        <v>57832</v>
      </c>
      <c r="G263">
        <v>6</v>
      </c>
      <c r="H263">
        <v>346992</v>
      </c>
      <c r="I263">
        <v>347</v>
      </c>
      <c r="J263">
        <v>346645</v>
      </c>
      <c r="K263" s="1">
        <v>46044</v>
      </c>
      <c r="L263" t="s">
        <v>55</v>
      </c>
      <c r="M263" t="s">
        <v>54</v>
      </c>
      <c r="N263" t="s">
        <v>54</v>
      </c>
      <c r="O263" t="s">
        <v>54</v>
      </c>
    </row>
    <row r="264" spans="1:15" x14ac:dyDescent="0.3">
      <c r="A264">
        <v>11</v>
      </c>
      <c r="B264" s="1">
        <v>46072</v>
      </c>
      <c r="C264" s="1">
        <v>46054</v>
      </c>
      <c r="D264" t="s">
        <v>40</v>
      </c>
      <c r="E264">
        <v>22</v>
      </c>
      <c r="F264">
        <v>49218</v>
      </c>
      <c r="G264">
        <v>6</v>
      </c>
      <c r="H264">
        <v>295308</v>
      </c>
      <c r="I264">
        <v>295</v>
      </c>
      <c r="J264">
        <v>295013</v>
      </c>
      <c r="K264" s="1">
        <v>46087</v>
      </c>
      <c r="L264" t="s">
        <v>53</v>
      </c>
      <c r="M264" t="s">
        <v>54</v>
      </c>
      <c r="N264" t="s">
        <v>54</v>
      </c>
      <c r="O264" t="s">
        <v>54</v>
      </c>
    </row>
    <row r="265" spans="1:15" x14ac:dyDescent="0.3">
      <c r="A265">
        <v>12</v>
      </c>
      <c r="B265" s="1">
        <v>46088</v>
      </c>
      <c r="C265" s="1">
        <v>46082</v>
      </c>
      <c r="D265" t="s">
        <v>40</v>
      </c>
      <c r="E265">
        <v>22</v>
      </c>
      <c r="F265">
        <v>29755</v>
      </c>
      <c r="G265">
        <v>6</v>
      </c>
      <c r="H265">
        <v>178530</v>
      </c>
      <c r="I265">
        <v>179</v>
      </c>
      <c r="J265">
        <v>178351</v>
      </c>
      <c r="K265" s="1">
        <v>46103</v>
      </c>
      <c r="L265" t="s">
        <v>53</v>
      </c>
      <c r="M265" t="s">
        <v>54</v>
      </c>
      <c r="N265" t="s">
        <v>54</v>
      </c>
      <c r="O265" t="s">
        <v>54</v>
      </c>
    </row>
    <row r="266" spans="1:15" x14ac:dyDescent="0.3">
      <c r="A266">
        <v>1</v>
      </c>
      <c r="B266" s="1">
        <v>45755</v>
      </c>
      <c r="C266" s="1">
        <v>45748</v>
      </c>
      <c r="D266" t="s">
        <v>40</v>
      </c>
      <c r="E266">
        <v>23</v>
      </c>
      <c r="F266">
        <v>68638</v>
      </c>
      <c r="G266">
        <v>6</v>
      </c>
      <c r="H266">
        <v>411828</v>
      </c>
      <c r="I266">
        <v>412</v>
      </c>
      <c r="J266">
        <v>411416</v>
      </c>
      <c r="K266" s="1">
        <v>45770</v>
      </c>
      <c r="L266" t="s">
        <v>53</v>
      </c>
      <c r="M266" t="s">
        <v>54</v>
      </c>
      <c r="N266" t="s">
        <v>54</v>
      </c>
      <c r="O266" t="s">
        <v>54</v>
      </c>
    </row>
    <row r="267" spans="1:15" x14ac:dyDescent="0.3">
      <c r="A267">
        <v>2</v>
      </c>
      <c r="B267" s="1">
        <v>45789</v>
      </c>
      <c r="C267" s="1">
        <v>45778</v>
      </c>
      <c r="D267" t="s">
        <v>40</v>
      </c>
      <c r="E267">
        <v>23</v>
      </c>
      <c r="F267">
        <v>207567</v>
      </c>
      <c r="G267">
        <v>6</v>
      </c>
      <c r="H267">
        <v>1245402</v>
      </c>
      <c r="I267">
        <v>1245</v>
      </c>
      <c r="J267">
        <v>1244157</v>
      </c>
      <c r="K267" s="1">
        <v>45804</v>
      </c>
      <c r="L267" t="s">
        <v>53</v>
      </c>
      <c r="M267" t="s">
        <v>54</v>
      </c>
      <c r="N267" t="s">
        <v>54</v>
      </c>
      <c r="O267" t="s">
        <v>54</v>
      </c>
    </row>
    <row r="268" spans="1:15" x14ac:dyDescent="0.3">
      <c r="A268">
        <v>3</v>
      </c>
      <c r="B268" s="1">
        <v>45817</v>
      </c>
      <c r="C268" s="1">
        <v>45809</v>
      </c>
      <c r="D268" t="s">
        <v>40</v>
      </c>
      <c r="E268">
        <v>23</v>
      </c>
      <c r="F268">
        <v>278762</v>
      </c>
      <c r="G268">
        <v>6</v>
      </c>
      <c r="H268">
        <v>1672572</v>
      </c>
      <c r="I268">
        <v>1673</v>
      </c>
      <c r="J268">
        <v>1670899</v>
      </c>
      <c r="K268" s="1">
        <v>45832</v>
      </c>
      <c r="L268" t="s">
        <v>53</v>
      </c>
      <c r="M268" t="s">
        <v>54</v>
      </c>
      <c r="N268" t="s">
        <v>54</v>
      </c>
      <c r="O268" t="s">
        <v>54</v>
      </c>
    </row>
    <row r="269" spans="1:15" x14ac:dyDescent="0.3">
      <c r="A269">
        <v>4</v>
      </c>
      <c r="B269" s="1">
        <v>45852</v>
      </c>
      <c r="C269" s="1">
        <v>45839</v>
      </c>
      <c r="D269" t="s">
        <v>40</v>
      </c>
      <c r="E269">
        <v>23</v>
      </c>
      <c r="F269">
        <v>322060</v>
      </c>
      <c r="G269">
        <v>6</v>
      </c>
      <c r="H269">
        <v>1932360</v>
      </c>
      <c r="I269">
        <v>1932</v>
      </c>
      <c r="J269">
        <v>1930428</v>
      </c>
      <c r="K269" s="1">
        <v>45867</v>
      </c>
      <c r="L269" t="s">
        <v>53</v>
      </c>
      <c r="M269" t="s">
        <v>54</v>
      </c>
      <c r="N269" t="s">
        <v>54</v>
      </c>
      <c r="O269" t="s">
        <v>54</v>
      </c>
    </row>
    <row r="270" spans="1:15" x14ac:dyDescent="0.3">
      <c r="A270">
        <v>5</v>
      </c>
      <c r="B270" s="1">
        <v>45883</v>
      </c>
      <c r="C270" s="1">
        <v>45870</v>
      </c>
      <c r="D270" t="s">
        <v>40</v>
      </c>
      <c r="E270">
        <v>23</v>
      </c>
      <c r="F270">
        <v>298180</v>
      </c>
      <c r="G270">
        <v>6</v>
      </c>
      <c r="H270">
        <v>1789080</v>
      </c>
      <c r="I270">
        <v>1789</v>
      </c>
      <c r="J270">
        <v>1787291</v>
      </c>
      <c r="K270" s="1">
        <v>45898</v>
      </c>
      <c r="L270" t="s">
        <v>55</v>
      </c>
      <c r="M270" t="s">
        <v>54</v>
      </c>
      <c r="N270" t="s">
        <v>54</v>
      </c>
      <c r="O270" t="s">
        <v>54</v>
      </c>
    </row>
    <row r="271" spans="1:15" x14ac:dyDescent="0.3">
      <c r="A271">
        <v>6</v>
      </c>
      <c r="B271" s="1">
        <v>45908</v>
      </c>
      <c r="C271" s="1">
        <v>45901</v>
      </c>
      <c r="D271" t="s">
        <v>40</v>
      </c>
      <c r="E271">
        <v>23</v>
      </c>
      <c r="F271">
        <v>259620</v>
      </c>
      <c r="G271">
        <v>6</v>
      </c>
      <c r="H271">
        <v>1557720</v>
      </c>
      <c r="I271">
        <v>1558</v>
      </c>
      <c r="J271">
        <v>1556162</v>
      </c>
      <c r="K271" s="1">
        <v>45923</v>
      </c>
      <c r="L271" t="s">
        <v>53</v>
      </c>
      <c r="M271" t="s">
        <v>54</v>
      </c>
      <c r="N271" t="s">
        <v>54</v>
      </c>
      <c r="O271" t="s">
        <v>54</v>
      </c>
    </row>
    <row r="272" spans="1:15" x14ac:dyDescent="0.3">
      <c r="A272">
        <v>7</v>
      </c>
      <c r="B272" s="1">
        <v>45957</v>
      </c>
      <c r="C272" s="1">
        <v>45931</v>
      </c>
      <c r="D272" t="s">
        <v>40</v>
      </c>
      <c r="E272">
        <v>23</v>
      </c>
      <c r="F272">
        <v>79220</v>
      </c>
      <c r="G272">
        <v>6</v>
      </c>
      <c r="H272">
        <v>475320</v>
      </c>
      <c r="I272">
        <v>475</v>
      </c>
      <c r="J272">
        <v>474845</v>
      </c>
      <c r="K272" s="1">
        <v>45972</v>
      </c>
      <c r="L272" t="s">
        <v>53</v>
      </c>
      <c r="M272" t="s">
        <v>54</v>
      </c>
      <c r="N272" t="s">
        <v>54</v>
      </c>
      <c r="O272" t="s">
        <v>54</v>
      </c>
    </row>
    <row r="273" spans="1:15" x14ac:dyDescent="0.3">
      <c r="A273">
        <v>8</v>
      </c>
      <c r="B273" s="1">
        <v>45973</v>
      </c>
      <c r="C273" s="1">
        <v>45962</v>
      </c>
      <c r="D273" t="s">
        <v>40</v>
      </c>
      <c r="E273">
        <v>23</v>
      </c>
      <c r="F273">
        <v>45069</v>
      </c>
      <c r="G273">
        <v>6</v>
      </c>
      <c r="H273">
        <v>270414</v>
      </c>
      <c r="I273">
        <v>270</v>
      </c>
      <c r="J273">
        <v>270144</v>
      </c>
      <c r="K273" s="1">
        <v>45988</v>
      </c>
      <c r="L273" t="s">
        <v>55</v>
      </c>
      <c r="M273" t="s">
        <v>54</v>
      </c>
      <c r="N273" t="s">
        <v>54</v>
      </c>
      <c r="O273" t="s">
        <v>54</v>
      </c>
    </row>
    <row r="274" spans="1:15" x14ac:dyDescent="0.3">
      <c r="A274">
        <v>9</v>
      </c>
      <c r="B274" s="1">
        <v>46003</v>
      </c>
      <c r="C274" s="1">
        <v>45992</v>
      </c>
      <c r="D274" t="s">
        <v>40</v>
      </c>
      <c r="E274">
        <v>23</v>
      </c>
      <c r="F274">
        <v>62931</v>
      </c>
      <c r="G274">
        <v>6</v>
      </c>
      <c r="H274">
        <v>377586</v>
      </c>
      <c r="I274">
        <v>378</v>
      </c>
      <c r="J274">
        <v>377208</v>
      </c>
      <c r="K274" s="1">
        <v>46018</v>
      </c>
      <c r="L274" t="s">
        <v>55</v>
      </c>
      <c r="M274" t="s">
        <v>54</v>
      </c>
      <c r="N274" t="s">
        <v>54</v>
      </c>
      <c r="O274" t="s">
        <v>54</v>
      </c>
    </row>
    <row r="275" spans="1:15" x14ac:dyDescent="0.3">
      <c r="A275">
        <v>10</v>
      </c>
      <c r="B275" s="1">
        <v>46030</v>
      </c>
      <c r="C275" s="1">
        <v>46023</v>
      </c>
      <c r="D275" t="s">
        <v>40</v>
      </c>
      <c r="E275">
        <v>23</v>
      </c>
      <c r="F275">
        <v>63880</v>
      </c>
      <c r="G275">
        <v>6</v>
      </c>
      <c r="H275">
        <v>383280</v>
      </c>
      <c r="I275">
        <v>383</v>
      </c>
      <c r="J275">
        <v>382897</v>
      </c>
      <c r="K275" s="1">
        <v>46045</v>
      </c>
      <c r="L275" t="s">
        <v>53</v>
      </c>
      <c r="M275" t="s">
        <v>54</v>
      </c>
      <c r="N275" t="s">
        <v>54</v>
      </c>
      <c r="O275" t="s">
        <v>54</v>
      </c>
    </row>
    <row r="276" spans="1:15" x14ac:dyDescent="0.3">
      <c r="A276">
        <v>11</v>
      </c>
      <c r="B276" s="1">
        <v>46073</v>
      </c>
      <c r="C276" s="1">
        <v>46054</v>
      </c>
      <c r="D276" t="s">
        <v>40</v>
      </c>
      <c r="E276">
        <v>23</v>
      </c>
      <c r="F276">
        <v>54480</v>
      </c>
      <c r="G276">
        <v>6</v>
      </c>
      <c r="H276">
        <v>326880</v>
      </c>
      <c r="I276">
        <v>327</v>
      </c>
      <c r="J276">
        <v>326553</v>
      </c>
      <c r="K276" s="1">
        <v>46088</v>
      </c>
      <c r="L276" t="s">
        <v>53</v>
      </c>
      <c r="M276" t="s">
        <v>54</v>
      </c>
      <c r="N276" t="s">
        <v>54</v>
      </c>
      <c r="O276" t="s">
        <v>54</v>
      </c>
    </row>
    <row r="277" spans="1:15" x14ac:dyDescent="0.3">
      <c r="A277">
        <v>12</v>
      </c>
      <c r="B277" s="1">
        <v>46088</v>
      </c>
      <c r="C277" s="1">
        <v>46082</v>
      </c>
      <c r="D277" t="s">
        <v>40</v>
      </c>
      <c r="E277">
        <v>23</v>
      </c>
      <c r="F277">
        <v>31160</v>
      </c>
      <c r="G277">
        <v>6</v>
      </c>
      <c r="H277">
        <v>186960</v>
      </c>
      <c r="I277">
        <v>187</v>
      </c>
      <c r="J277">
        <v>186773</v>
      </c>
      <c r="K277" s="1">
        <v>46103</v>
      </c>
      <c r="L277" t="s">
        <v>53</v>
      </c>
      <c r="M277" t="s">
        <v>54</v>
      </c>
      <c r="N277" t="s">
        <v>54</v>
      </c>
      <c r="O277" t="s">
        <v>54</v>
      </c>
    </row>
    <row r="278" spans="1:15" x14ac:dyDescent="0.3">
      <c r="A278">
        <v>1</v>
      </c>
      <c r="B278" s="1">
        <v>45755</v>
      </c>
      <c r="C278" s="1">
        <v>45748</v>
      </c>
      <c r="D278" t="s">
        <v>40</v>
      </c>
      <c r="E278">
        <v>24</v>
      </c>
      <c r="F278">
        <v>80100</v>
      </c>
      <c r="G278">
        <v>6</v>
      </c>
      <c r="H278">
        <v>480600</v>
      </c>
      <c r="I278">
        <v>481</v>
      </c>
      <c r="J278">
        <v>480119</v>
      </c>
      <c r="K278" s="1">
        <v>45765</v>
      </c>
      <c r="L278" t="s">
        <v>53</v>
      </c>
      <c r="M278" t="s">
        <v>54</v>
      </c>
      <c r="N278" t="s">
        <v>54</v>
      </c>
      <c r="O278" t="s">
        <v>54</v>
      </c>
    </row>
    <row r="279" spans="1:15" x14ac:dyDescent="0.3">
      <c r="A279">
        <v>2</v>
      </c>
      <c r="B279" s="1">
        <v>45789</v>
      </c>
      <c r="C279" s="1">
        <v>45778</v>
      </c>
      <c r="D279" t="s">
        <v>40</v>
      </c>
      <c r="E279">
        <v>24</v>
      </c>
      <c r="F279">
        <v>150255</v>
      </c>
      <c r="G279">
        <v>6</v>
      </c>
      <c r="H279">
        <v>901530</v>
      </c>
      <c r="I279">
        <v>902</v>
      </c>
      <c r="J279">
        <v>900628</v>
      </c>
      <c r="K279" s="1">
        <v>45799</v>
      </c>
      <c r="L279" t="s">
        <v>53</v>
      </c>
      <c r="M279" t="s">
        <v>54</v>
      </c>
      <c r="N279" t="s">
        <v>54</v>
      </c>
      <c r="O279" t="s">
        <v>54</v>
      </c>
    </row>
    <row r="280" spans="1:15" x14ac:dyDescent="0.3">
      <c r="A280">
        <v>3</v>
      </c>
      <c r="B280" s="1">
        <v>45817</v>
      </c>
      <c r="C280" s="1">
        <v>45809</v>
      </c>
      <c r="D280" t="s">
        <v>40</v>
      </c>
      <c r="E280">
        <v>24</v>
      </c>
      <c r="F280">
        <v>249495</v>
      </c>
      <c r="G280">
        <v>6</v>
      </c>
      <c r="H280">
        <v>1496970</v>
      </c>
      <c r="I280">
        <v>1497</v>
      </c>
      <c r="J280">
        <v>1495473</v>
      </c>
      <c r="K280" s="1">
        <v>45827</v>
      </c>
      <c r="L280" t="s">
        <v>53</v>
      </c>
      <c r="M280" t="s">
        <v>54</v>
      </c>
      <c r="N280" t="s">
        <v>54</v>
      </c>
      <c r="O280" t="s">
        <v>54</v>
      </c>
    </row>
    <row r="281" spans="1:15" x14ac:dyDescent="0.3">
      <c r="A281">
        <v>4</v>
      </c>
      <c r="B281" s="1">
        <v>45852</v>
      </c>
      <c r="C281" s="1">
        <v>45839</v>
      </c>
      <c r="D281" t="s">
        <v>40</v>
      </c>
      <c r="E281">
        <v>24</v>
      </c>
      <c r="F281">
        <v>337710</v>
      </c>
      <c r="G281">
        <v>6</v>
      </c>
      <c r="H281">
        <v>2026260</v>
      </c>
      <c r="I281">
        <v>2026</v>
      </c>
      <c r="J281">
        <v>2024234</v>
      </c>
      <c r="K281" s="1">
        <v>45862</v>
      </c>
      <c r="L281" t="s">
        <v>53</v>
      </c>
      <c r="M281" t="s">
        <v>54</v>
      </c>
      <c r="N281" t="s">
        <v>54</v>
      </c>
      <c r="O281" t="s">
        <v>54</v>
      </c>
    </row>
    <row r="282" spans="1:15" x14ac:dyDescent="0.3">
      <c r="A282">
        <v>5</v>
      </c>
      <c r="B282" s="1">
        <v>45883</v>
      </c>
      <c r="C282" s="1">
        <v>45870</v>
      </c>
      <c r="D282" t="s">
        <v>40</v>
      </c>
      <c r="E282">
        <v>24</v>
      </c>
      <c r="F282">
        <v>224708</v>
      </c>
      <c r="G282">
        <v>6</v>
      </c>
      <c r="H282">
        <v>1348248</v>
      </c>
      <c r="I282">
        <v>1348</v>
      </c>
      <c r="J282">
        <v>1346900</v>
      </c>
      <c r="K282" s="1">
        <v>45893</v>
      </c>
      <c r="L282" t="s">
        <v>53</v>
      </c>
      <c r="M282" t="s">
        <v>54</v>
      </c>
      <c r="N282" t="s">
        <v>54</v>
      </c>
      <c r="O282" t="s">
        <v>54</v>
      </c>
    </row>
    <row r="283" spans="1:15" x14ac:dyDescent="0.3">
      <c r="A283">
        <v>6</v>
      </c>
      <c r="B283" s="1">
        <v>45908</v>
      </c>
      <c r="C283" s="1">
        <v>45901</v>
      </c>
      <c r="D283" t="s">
        <v>40</v>
      </c>
      <c r="E283">
        <v>24</v>
      </c>
      <c r="F283">
        <v>202133</v>
      </c>
      <c r="G283">
        <v>6</v>
      </c>
      <c r="H283">
        <v>1212798</v>
      </c>
      <c r="I283">
        <v>1213</v>
      </c>
      <c r="J283">
        <v>1211585</v>
      </c>
      <c r="K283" s="1">
        <v>45918</v>
      </c>
      <c r="L283" t="s">
        <v>53</v>
      </c>
      <c r="M283" t="s">
        <v>54</v>
      </c>
      <c r="N283" t="s">
        <v>54</v>
      </c>
      <c r="O283" t="s">
        <v>54</v>
      </c>
    </row>
    <row r="284" spans="1:15" x14ac:dyDescent="0.3">
      <c r="A284">
        <v>7</v>
      </c>
      <c r="B284" s="1">
        <v>45957</v>
      </c>
      <c r="C284" s="1">
        <v>45931</v>
      </c>
      <c r="D284" t="s">
        <v>40</v>
      </c>
      <c r="E284">
        <v>24</v>
      </c>
      <c r="F284">
        <v>87578</v>
      </c>
      <c r="G284">
        <v>6</v>
      </c>
      <c r="H284">
        <v>525468</v>
      </c>
      <c r="I284">
        <v>525</v>
      </c>
      <c r="J284">
        <v>524943</v>
      </c>
      <c r="K284" s="1">
        <v>45967</v>
      </c>
      <c r="L284" t="s">
        <v>53</v>
      </c>
      <c r="M284" t="s">
        <v>54</v>
      </c>
      <c r="N284" t="s">
        <v>54</v>
      </c>
      <c r="O284" t="s">
        <v>54</v>
      </c>
    </row>
    <row r="285" spans="1:15" x14ac:dyDescent="0.3">
      <c r="A285">
        <v>8</v>
      </c>
      <c r="B285" s="1">
        <v>45973</v>
      </c>
      <c r="C285" s="1">
        <v>45962</v>
      </c>
      <c r="D285" t="s">
        <v>40</v>
      </c>
      <c r="E285">
        <v>24</v>
      </c>
      <c r="F285">
        <v>65318</v>
      </c>
      <c r="G285">
        <v>6</v>
      </c>
      <c r="H285">
        <v>391908</v>
      </c>
      <c r="I285">
        <v>392</v>
      </c>
      <c r="J285">
        <v>391516</v>
      </c>
      <c r="K285" s="1">
        <v>45983</v>
      </c>
      <c r="L285" t="s">
        <v>53</v>
      </c>
      <c r="M285" t="s">
        <v>54</v>
      </c>
      <c r="N285" t="s">
        <v>54</v>
      </c>
      <c r="O285" t="s">
        <v>54</v>
      </c>
    </row>
    <row r="286" spans="1:15" x14ac:dyDescent="0.3">
      <c r="A286">
        <v>9</v>
      </c>
      <c r="B286" s="1">
        <v>46003</v>
      </c>
      <c r="C286" s="1">
        <v>45992</v>
      </c>
      <c r="D286" t="s">
        <v>40</v>
      </c>
      <c r="E286">
        <v>24</v>
      </c>
      <c r="F286">
        <v>66997</v>
      </c>
      <c r="G286">
        <v>6</v>
      </c>
      <c r="H286">
        <v>401982</v>
      </c>
      <c r="I286">
        <v>402</v>
      </c>
      <c r="J286">
        <v>401580</v>
      </c>
      <c r="K286" s="1">
        <v>46013</v>
      </c>
      <c r="L286" t="s">
        <v>53</v>
      </c>
      <c r="M286" t="s">
        <v>54</v>
      </c>
      <c r="N286" t="s">
        <v>54</v>
      </c>
      <c r="O286" t="s">
        <v>54</v>
      </c>
    </row>
    <row r="287" spans="1:15" x14ac:dyDescent="0.3">
      <c r="A287">
        <v>10</v>
      </c>
      <c r="B287" s="1">
        <v>46030</v>
      </c>
      <c r="C287" s="1">
        <v>46023</v>
      </c>
      <c r="D287" t="s">
        <v>40</v>
      </c>
      <c r="E287">
        <v>24</v>
      </c>
      <c r="F287">
        <v>75143</v>
      </c>
      <c r="G287">
        <v>6</v>
      </c>
      <c r="H287">
        <v>450858</v>
      </c>
      <c r="I287">
        <v>451</v>
      </c>
      <c r="J287">
        <v>450407</v>
      </c>
      <c r="K287" s="1">
        <v>46040</v>
      </c>
      <c r="L287" t="s">
        <v>53</v>
      </c>
      <c r="M287" t="s">
        <v>54</v>
      </c>
      <c r="N287" t="s">
        <v>54</v>
      </c>
      <c r="O287" t="s">
        <v>54</v>
      </c>
    </row>
    <row r="288" spans="1:15" x14ac:dyDescent="0.3">
      <c r="A288">
        <v>11</v>
      </c>
      <c r="B288" s="1">
        <v>46073</v>
      </c>
      <c r="C288" s="1">
        <v>46054</v>
      </c>
      <c r="D288" t="s">
        <v>40</v>
      </c>
      <c r="E288">
        <v>24</v>
      </c>
      <c r="F288">
        <v>59160</v>
      </c>
      <c r="G288">
        <v>6</v>
      </c>
      <c r="H288">
        <v>354960</v>
      </c>
      <c r="I288">
        <v>355</v>
      </c>
      <c r="J288">
        <v>354605</v>
      </c>
      <c r="K288" s="1">
        <v>46083</v>
      </c>
      <c r="L288" t="s">
        <v>53</v>
      </c>
      <c r="M288" t="s">
        <v>54</v>
      </c>
      <c r="N288" t="s">
        <v>54</v>
      </c>
      <c r="O288" t="s">
        <v>54</v>
      </c>
    </row>
    <row r="289" spans="1:15" x14ac:dyDescent="0.3">
      <c r="A289">
        <v>12</v>
      </c>
      <c r="B289" s="1">
        <v>46088</v>
      </c>
      <c r="C289" s="1">
        <v>46082</v>
      </c>
      <c r="D289" t="s">
        <v>40</v>
      </c>
      <c r="E289">
        <v>24</v>
      </c>
      <c r="F289">
        <v>61950</v>
      </c>
      <c r="G289">
        <v>6</v>
      </c>
      <c r="H289">
        <v>371700</v>
      </c>
      <c r="I289">
        <v>372</v>
      </c>
      <c r="J289">
        <v>371328</v>
      </c>
      <c r="K289" s="1">
        <v>46098</v>
      </c>
      <c r="L289" t="s">
        <v>53</v>
      </c>
      <c r="M289" t="s">
        <v>54</v>
      </c>
      <c r="N289" t="s">
        <v>54</v>
      </c>
      <c r="O289" t="s">
        <v>54</v>
      </c>
    </row>
    <row r="290" spans="1:15" x14ac:dyDescent="0.3">
      <c r="A290">
        <v>1</v>
      </c>
      <c r="B290" s="1">
        <v>45757</v>
      </c>
      <c r="C290" s="1">
        <v>45748</v>
      </c>
      <c r="D290" t="s">
        <v>40</v>
      </c>
      <c r="E290">
        <v>25</v>
      </c>
      <c r="F290">
        <v>970280</v>
      </c>
      <c r="G290">
        <v>6</v>
      </c>
      <c r="H290">
        <v>5821678</v>
      </c>
      <c r="I290">
        <v>5822</v>
      </c>
      <c r="J290">
        <v>5815856</v>
      </c>
      <c r="K290" s="1">
        <v>45767</v>
      </c>
      <c r="L290" t="s">
        <v>53</v>
      </c>
      <c r="M290" t="s">
        <v>54</v>
      </c>
      <c r="N290" t="s">
        <v>54</v>
      </c>
      <c r="O290" t="s">
        <v>54</v>
      </c>
    </row>
    <row r="291" spans="1:15" x14ac:dyDescent="0.3">
      <c r="A291">
        <v>2</v>
      </c>
      <c r="B291" s="1">
        <v>45789</v>
      </c>
      <c r="C291" s="1">
        <v>45778</v>
      </c>
      <c r="D291" t="s">
        <v>40</v>
      </c>
      <c r="E291">
        <v>25</v>
      </c>
      <c r="F291">
        <v>1358748</v>
      </c>
      <c r="G291">
        <v>6</v>
      </c>
      <c r="H291">
        <v>8152487</v>
      </c>
      <c r="I291">
        <v>8152</v>
      </c>
      <c r="J291">
        <v>8144335</v>
      </c>
      <c r="K291" s="1">
        <v>45799</v>
      </c>
      <c r="L291" t="s">
        <v>53</v>
      </c>
      <c r="M291" t="s">
        <v>54</v>
      </c>
      <c r="N291" t="s">
        <v>54</v>
      </c>
      <c r="O291" t="s">
        <v>54</v>
      </c>
    </row>
    <row r="292" spans="1:15" x14ac:dyDescent="0.3">
      <c r="A292">
        <v>3</v>
      </c>
      <c r="B292" s="1">
        <v>45817</v>
      </c>
      <c r="C292" s="1">
        <v>45809</v>
      </c>
      <c r="D292" t="s">
        <v>40</v>
      </c>
      <c r="E292">
        <v>25</v>
      </c>
      <c r="F292">
        <v>2403665</v>
      </c>
      <c r="G292">
        <v>6</v>
      </c>
      <c r="H292">
        <v>14421989</v>
      </c>
      <c r="I292">
        <v>14422</v>
      </c>
      <c r="J292">
        <v>14407567</v>
      </c>
      <c r="K292" s="1">
        <v>45827</v>
      </c>
      <c r="L292" t="s">
        <v>53</v>
      </c>
      <c r="M292" t="s">
        <v>54</v>
      </c>
      <c r="N292" t="s">
        <v>54</v>
      </c>
      <c r="O292" t="s">
        <v>54</v>
      </c>
    </row>
    <row r="293" spans="1:15" x14ac:dyDescent="0.3">
      <c r="A293">
        <v>4</v>
      </c>
      <c r="B293" s="1">
        <v>45852</v>
      </c>
      <c r="C293" s="1">
        <v>45839</v>
      </c>
      <c r="D293" t="s">
        <v>40</v>
      </c>
      <c r="E293">
        <v>25</v>
      </c>
      <c r="F293">
        <v>2919780</v>
      </c>
      <c r="G293">
        <v>6</v>
      </c>
      <c r="H293">
        <v>17518678</v>
      </c>
      <c r="I293">
        <v>17519</v>
      </c>
      <c r="J293">
        <v>17501159</v>
      </c>
      <c r="K293" s="1">
        <v>45862</v>
      </c>
      <c r="L293" t="s">
        <v>53</v>
      </c>
      <c r="M293" t="s">
        <v>54</v>
      </c>
      <c r="N293" t="s">
        <v>54</v>
      </c>
      <c r="O293" t="s">
        <v>54</v>
      </c>
    </row>
    <row r="294" spans="1:15" x14ac:dyDescent="0.3">
      <c r="A294">
        <v>5</v>
      </c>
      <c r="B294" s="1">
        <v>45883</v>
      </c>
      <c r="C294" s="1">
        <v>45870</v>
      </c>
      <c r="D294" t="s">
        <v>40</v>
      </c>
      <c r="E294">
        <v>25</v>
      </c>
      <c r="F294">
        <v>2097476</v>
      </c>
      <c r="G294">
        <v>6</v>
      </c>
      <c r="H294">
        <v>12584856</v>
      </c>
      <c r="I294">
        <v>12585</v>
      </c>
      <c r="J294">
        <v>12572271</v>
      </c>
      <c r="K294" s="1">
        <v>45893</v>
      </c>
      <c r="L294" t="s">
        <v>55</v>
      </c>
      <c r="M294" t="s">
        <v>54</v>
      </c>
      <c r="N294" t="s">
        <v>54</v>
      </c>
      <c r="O294" t="s">
        <v>54</v>
      </c>
    </row>
    <row r="295" spans="1:15" x14ac:dyDescent="0.3">
      <c r="A295">
        <v>6</v>
      </c>
      <c r="B295" s="1">
        <v>45916</v>
      </c>
      <c r="C295" s="1">
        <v>45901</v>
      </c>
      <c r="D295" t="s">
        <v>40</v>
      </c>
      <c r="E295">
        <v>25</v>
      </c>
      <c r="F295">
        <v>1600225</v>
      </c>
      <c r="G295">
        <v>6</v>
      </c>
      <c r="H295">
        <v>9601349</v>
      </c>
      <c r="I295">
        <v>9601</v>
      </c>
      <c r="J295">
        <v>9591748</v>
      </c>
      <c r="K295" s="1">
        <v>45926</v>
      </c>
      <c r="L295" t="s">
        <v>55</v>
      </c>
      <c r="M295" t="s">
        <v>54</v>
      </c>
      <c r="N295" t="s">
        <v>54</v>
      </c>
      <c r="O295" t="s">
        <v>54</v>
      </c>
    </row>
    <row r="296" spans="1:15" x14ac:dyDescent="0.3">
      <c r="A296">
        <v>7</v>
      </c>
      <c r="B296" s="1">
        <v>45944</v>
      </c>
      <c r="C296" s="1">
        <v>45931</v>
      </c>
      <c r="D296" t="s">
        <v>40</v>
      </c>
      <c r="E296">
        <v>25</v>
      </c>
      <c r="F296">
        <v>940703</v>
      </c>
      <c r="G296">
        <v>6</v>
      </c>
      <c r="H296">
        <v>5644216</v>
      </c>
      <c r="I296">
        <v>5644</v>
      </c>
      <c r="J296">
        <v>5638572</v>
      </c>
      <c r="K296" s="1">
        <v>45954</v>
      </c>
      <c r="L296" t="s">
        <v>55</v>
      </c>
      <c r="M296" t="s">
        <v>54</v>
      </c>
      <c r="N296" t="s">
        <v>54</v>
      </c>
      <c r="O296" t="s">
        <v>54</v>
      </c>
    </row>
    <row r="297" spans="1:15" x14ac:dyDescent="0.3">
      <c r="A297">
        <v>8</v>
      </c>
      <c r="B297" s="1">
        <v>45973</v>
      </c>
      <c r="C297" s="1">
        <v>45962</v>
      </c>
      <c r="D297" t="s">
        <v>40</v>
      </c>
      <c r="E297">
        <v>25</v>
      </c>
      <c r="F297">
        <v>708646</v>
      </c>
      <c r="G297">
        <v>6</v>
      </c>
      <c r="H297">
        <v>4251874</v>
      </c>
      <c r="I297">
        <v>4252</v>
      </c>
      <c r="J297">
        <v>4247623</v>
      </c>
      <c r="K297" s="1">
        <v>45983</v>
      </c>
      <c r="L297" t="s">
        <v>55</v>
      </c>
      <c r="M297" t="s">
        <v>54</v>
      </c>
      <c r="N297" t="s">
        <v>54</v>
      </c>
      <c r="O297" t="s">
        <v>54</v>
      </c>
    </row>
    <row r="298" spans="1:15" x14ac:dyDescent="0.3">
      <c r="A298">
        <v>9</v>
      </c>
      <c r="B298" s="1">
        <v>46013</v>
      </c>
      <c r="C298" s="1">
        <v>45992</v>
      </c>
      <c r="D298" t="s">
        <v>40</v>
      </c>
      <c r="E298">
        <v>25</v>
      </c>
      <c r="F298">
        <v>734937</v>
      </c>
      <c r="G298">
        <v>6</v>
      </c>
      <c r="H298">
        <v>4409624</v>
      </c>
      <c r="I298">
        <v>4410</v>
      </c>
      <c r="J298">
        <v>4405214</v>
      </c>
      <c r="K298" s="1">
        <v>46023</v>
      </c>
      <c r="L298" t="s">
        <v>55</v>
      </c>
      <c r="M298" t="s">
        <v>54</v>
      </c>
      <c r="N298" t="s">
        <v>54</v>
      </c>
      <c r="O298" t="s">
        <v>54</v>
      </c>
    </row>
    <row r="299" spans="1:15" x14ac:dyDescent="0.3">
      <c r="A299">
        <v>10</v>
      </c>
      <c r="B299" s="1">
        <v>46050</v>
      </c>
      <c r="C299" s="1">
        <v>46023</v>
      </c>
      <c r="D299" t="s">
        <v>40</v>
      </c>
      <c r="E299">
        <v>25</v>
      </c>
      <c r="F299">
        <v>469743</v>
      </c>
      <c r="G299">
        <v>6</v>
      </c>
      <c r="H299">
        <v>2818460</v>
      </c>
      <c r="I299">
        <v>2818</v>
      </c>
      <c r="J299">
        <v>2815641</v>
      </c>
      <c r="K299" s="1">
        <v>46060</v>
      </c>
      <c r="L299" t="s">
        <v>55</v>
      </c>
      <c r="M299" t="s">
        <v>54</v>
      </c>
      <c r="N299" t="s">
        <v>54</v>
      </c>
      <c r="O299" t="s">
        <v>54</v>
      </c>
    </row>
    <row r="300" spans="1:15" x14ac:dyDescent="0.3">
      <c r="A300">
        <v>11</v>
      </c>
      <c r="B300" s="1">
        <v>46072</v>
      </c>
      <c r="C300" s="1">
        <v>46054</v>
      </c>
      <c r="D300" t="s">
        <v>40</v>
      </c>
      <c r="E300">
        <v>25</v>
      </c>
      <c r="F300">
        <v>414841</v>
      </c>
      <c r="G300">
        <v>6</v>
      </c>
      <c r="H300">
        <v>2489046</v>
      </c>
      <c r="I300">
        <v>2489</v>
      </c>
      <c r="J300">
        <v>2486557</v>
      </c>
      <c r="K300" s="1">
        <v>46082</v>
      </c>
      <c r="L300" t="s">
        <v>55</v>
      </c>
      <c r="M300" t="s">
        <v>54</v>
      </c>
      <c r="N300" t="s">
        <v>54</v>
      </c>
      <c r="O300" t="s">
        <v>54</v>
      </c>
    </row>
    <row r="301" spans="1:15" x14ac:dyDescent="0.3">
      <c r="A301">
        <v>12</v>
      </c>
      <c r="B301" s="1">
        <v>46099</v>
      </c>
      <c r="C301" s="1">
        <v>46082</v>
      </c>
      <c r="D301" t="s">
        <v>40</v>
      </c>
      <c r="E301">
        <v>25</v>
      </c>
      <c r="F301">
        <v>574430</v>
      </c>
      <c r="G301">
        <v>6</v>
      </c>
      <c r="H301">
        <v>3446582</v>
      </c>
      <c r="I301">
        <v>3447</v>
      </c>
      <c r="J301">
        <v>3443136</v>
      </c>
      <c r="K301" s="1">
        <v>46109</v>
      </c>
      <c r="L301" t="s">
        <v>53</v>
      </c>
      <c r="M301" t="s">
        <v>54</v>
      </c>
      <c r="N301" t="s">
        <v>54</v>
      </c>
      <c r="O301" t="s">
        <v>54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83C3D-382D-490A-8162-15A9FEF39159}">
  <dimension ref="A1:N301"/>
  <sheetViews>
    <sheetView topLeftCell="A2" workbookViewId="0">
      <selection sqref="A1:N301"/>
    </sheetView>
  </sheetViews>
  <sheetFormatPr defaultRowHeight="14.4" x14ac:dyDescent="0.3"/>
  <cols>
    <col min="1" max="1" width="12.33203125" bestFit="1" customWidth="1"/>
    <col min="2" max="2" width="13.88671875" bestFit="1" customWidth="1"/>
    <col min="3" max="3" width="14.33203125" bestFit="1" customWidth="1"/>
    <col min="4" max="4" width="15.44140625" bestFit="1" customWidth="1"/>
    <col min="5" max="5" width="10.109375" bestFit="1" customWidth="1"/>
    <col min="6" max="6" width="21.5546875" bestFit="1" customWidth="1"/>
    <col min="7" max="7" width="15.33203125" bestFit="1" customWidth="1"/>
    <col min="8" max="8" width="16.5546875" bestFit="1" customWidth="1"/>
    <col min="9" max="9" width="6.44140625" bestFit="1" customWidth="1"/>
    <col min="10" max="10" width="19.88671875" bestFit="1" customWidth="1"/>
    <col min="11" max="11" width="11.109375" bestFit="1" customWidth="1"/>
    <col min="12" max="12" width="15.44140625" bestFit="1" customWidth="1"/>
  </cols>
  <sheetData>
    <row r="1" spans="1:14" x14ac:dyDescent="0.3">
      <c r="A1" t="s">
        <v>41</v>
      </c>
      <c r="B1" t="s">
        <v>42</v>
      </c>
      <c r="C1" t="s">
        <v>43</v>
      </c>
      <c r="D1" t="s">
        <v>36</v>
      </c>
      <c r="E1" t="s">
        <v>0</v>
      </c>
      <c r="F1" t="s">
        <v>38</v>
      </c>
      <c r="G1" t="s">
        <v>44</v>
      </c>
      <c r="H1" t="s">
        <v>45</v>
      </c>
      <c r="I1" t="s">
        <v>46</v>
      </c>
      <c r="J1" t="s">
        <v>47</v>
      </c>
      <c r="K1" t="s">
        <v>48</v>
      </c>
      <c r="L1" t="s">
        <v>49</v>
      </c>
      <c r="M1" t="s">
        <v>81</v>
      </c>
      <c r="N1" t="s">
        <v>82</v>
      </c>
    </row>
    <row r="2" spans="1:14" x14ac:dyDescent="0.3">
      <c r="A2">
        <v>1</v>
      </c>
      <c r="B2" s="1">
        <v>45789</v>
      </c>
      <c r="C2" s="1">
        <v>45748</v>
      </c>
      <c r="D2" t="s">
        <v>40</v>
      </c>
      <c r="E2">
        <v>1</v>
      </c>
      <c r="F2">
        <v>209819</v>
      </c>
      <c r="G2">
        <v>2.67</v>
      </c>
      <c r="H2">
        <v>560218</v>
      </c>
      <c r="I2">
        <v>560</v>
      </c>
      <c r="J2">
        <v>559657</v>
      </c>
      <c r="K2" s="1">
        <v>45804</v>
      </c>
      <c r="L2" t="s">
        <v>53</v>
      </c>
      <c r="M2" t="str">
        <f t="shared" ref="M2:M65" si="0">IF(ROUND(H2-I2,0)=ROUND(J2,0),"OK","Review")</f>
        <v>Review</v>
      </c>
      <c r="N2">
        <f>ROUND(H2-I2-J2,2)</f>
        <v>1</v>
      </c>
    </row>
    <row r="3" spans="1:14" x14ac:dyDescent="0.3">
      <c r="A3">
        <v>2</v>
      </c>
      <c r="B3" s="1">
        <v>45818</v>
      </c>
      <c r="C3" s="1">
        <v>45778</v>
      </c>
      <c r="D3" t="s">
        <v>40</v>
      </c>
      <c r="E3">
        <v>1</v>
      </c>
      <c r="F3">
        <v>274677</v>
      </c>
      <c r="G3">
        <v>2.67</v>
      </c>
      <c r="H3">
        <v>733387</v>
      </c>
      <c r="I3">
        <v>733</v>
      </c>
      <c r="J3">
        <v>732654</v>
      </c>
      <c r="K3" s="1">
        <v>45833</v>
      </c>
      <c r="L3" t="s">
        <v>53</v>
      </c>
      <c r="M3" t="str">
        <f t="shared" si="0"/>
        <v>OK</v>
      </c>
      <c r="N3">
        <f t="shared" ref="N3:N65" si="1">ROUND(H3-I3-J3,2)</f>
        <v>0</v>
      </c>
    </row>
    <row r="4" spans="1:14" x14ac:dyDescent="0.3">
      <c r="A4">
        <v>3</v>
      </c>
      <c r="B4" s="1">
        <v>45845</v>
      </c>
      <c r="C4" s="1">
        <v>45809</v>
      </c>
      <c r="D4" t="s">
        <v>40</v>
      </c>
      <c r="E4">
        <v>1</v>
      </c>
      <c r="F4">
        <v>611235</v>
      </c>
      <c r="G4">
        <v>2.67</v>
      </c>
      <c r="H4">
        <v>1631997</v>
      </c>
      <c r="I4">
        <v>1632</v>
      </c>
      <c r="J4">
        <v>1630365</v>
      </c>
      <c r="K4" s="1">
        <v>45860</v>
      </c>
      <c r="L4" t="s">
        <v>53</v>
      </c>
      <c r="M4" t="str">
        <f t="shared" si="0"/>
        <v>OK</v>
      </c>
      <c r="N4">
        <f t="shared" si="1"/>
        <v>0</v>
      </c>
    </row>
    <row r="5" spans="1:14" x14ac:dyDescent="0.3">
      <c r="A5">
        <v>4</v>
      </c>
      <c r="B5" s="1">
        <v>45880</v>
      </c>
      <c r="C5" s="1">
        <v>45839</v>
      </c>
      <c r="D5" t="s">
        <v>40</v>
      </c>
      <c r="E5">
        <v>1</v>
      </c>
      <c r="F5">
        <v>897647</v>
      </c>
      <c r="G5">
        <v>2.67</v>
      </c>
      <c r="H5">
        <v>2396716</v>
      </c>
      <c r="I5">
        <v>2397</v>
      </c>
      <c r="J5">
        <v>2394320</v>
      </c>
      <c r="K5" s="1">
        <v>45895</v>
      </c>
      <c r="L5" t="s">
        <v>53</v>
      </c>
      <c r="M5" t="str">
        <f t="shared" si="0"/>
        <v>Review</v>
      </c>
      <c r="N5">
        <f t="shared" si="1"/>
        <v>-1</v>
      </c>
    </row>
    <row r="6" spans="1:14" x14ac:dyDescent="0.3">
      <c r="A6">
        <v>5</v>
      </c>
      <c r="B6" s="1">
        <v>45915</v>
      </c>
      <c r="C6" s="1">
        <v>45870</v>
      </c>
      <c r="D6" t="s">
        <v>40</v>
      </c>
      <c r="E6">
        <v>1</v>
      </c>
      <c r="F6">
        <v>448823</v>
      </c>
      <c r="G6">
        <v>2.67</v>
      </c>
      <c r="H6">
        <v>1198357</v>
      </c>
      <c r="I6">
        <v>1198</v>
      </c>
      <c r="J6">
        <v>1197158</v>
      </c>
      <c r="K6" s="1">
        <v>45930</v>
      </c>
      <c r="L6" t="s">
        <v>53</v>
      </c>
      <c r="M6" t="str">
        <f t="shared" si="0"/>
        <v>Review</v>
      </c>
      <c r="N6">
        <f t="shared" si="1"/>
        <v>1</v>
      </c>
    </row>
    <row r="7" spans="1:14" x14ac:dyDescent="0.3">
      <c r="A7">
        <v>6</v>
      </c>
      <c r="B7" s="1">
        <v>45938</v>
      </c>
      <c r="C7" s="1">
        <v>45901</v>
      </c>
      <c r="D7" t="s">
        <v>40</v>
      </c>
      <c r="E7">
        <v>1</v>
      </c>
      <c r="F7">
        <v>217455</v>
      </c>
      <c r="G7">
        <v>2.67</v>
      </c>
      <c r="H7">
        <v>580604</v>
      </c>
      <c r="I7">
        <v>581</v>
      </c>
      <c r="J7">
        <v>580023</v>
      </c>
      <c r="K7" s="1">
        <v>45953</v>
      </c>
      <c r="L7" t="s">
        <v>53</v>
      </c>
      <c r="M7" t="str">
        <f t="shared" si="0"/>
        <v>OK</v>
      </c>
      <c r="N7">
        <f t="shared" si="1"/>
        <v>0</v>
      </c>
    </row>
    <row r="8" spans="1:14" x14ac:dyDescent="0.3">
      <c r="A8">
        <v>7</v>
      </c>
      <c r="B8" s="1">
        <v>45970</v>
      </c>
      <c r="C8" s="1">
        <v>45931</v>
      </c>
      <c r="D8" t="s">
        <v>40</v>
      </c>
      <c r="E8">
        <v>1</v>
      </c>
      <c r="F8">
        <v>152769</v>
      </c>
      <c r="G8">
        <v>2.67</v>
      </c>
      <c r="H8">
        <v>407893</v>
      </c>
      <c r="I8">
        <v>408</v>
      </c>
      <c r="J8">
        <v>407485</v>
      </c>
      <c r="K8" s="1">
        <v>45985</v>
      </c>
      <c r="L8" t="s">
        <v>53</v>
      </c>
      <c r="M8" t="str">
        <f t="shared" si="0"/>
        <v>OK</v>
      </c>
      <c r="N8">
        <f t="shared" si="1"/>
        <v>0</v>
      </c>
    </row>
    <row r="9" spans="1:14" x14ac:dyDescent="0.3">
      <c r="A9">
        <v>8</v>
      </c>
      <c r="B9" s="1">
        <v>45997</v>
      </c>
      <c r="C9" s="1">
        <v>45962</v>
      </c>
      <c r="D9" t="s">
        <v>40</v>
      </c>
      <c r="E9">
        <v>1</v>
      </c>
      <c r="F9">
        <v>216193</v>
      </c>
      <c r="G9">
        <v>2.67</v>
      </c>
      <c r="H9">
        <v>577234</v>
      </c>
      <c r="I9">
        <v>577</v>
      </c>
      <c r="J9">
        <v>576657</v>
      </c>
      <c r="K9" s="1">
        <v>46012</v>
      </c>
      <c r="L9" t="s">
        <v>53</v>
      </c>
      <c r="M9" t="str">
        <f t="shared" si="0"/>
        <v>OK</v>
      </c>
      <c r="N9">
        <f t="shared" si="1"/>
        <v>0</v>
      </c>
    </row>
    <row r="10" spans="1:14" x14ac:dyDescent="0.3">
      <c r="A10">
        <v>9</v>
      </c>
      <c r="B10" s="1">
        <v>46049</v>
      </c>
      <c r="C10" s="1">
        <v>45992</v>
      </c>
      <c r="D10" t="s">
        <v>40</v>
      </c>
      <c r="E10">
        <v>1</v>
      </c>
      <c r="F10">
        <v>355304</v>
      </c>
      <c r="G10">
        <v>2.67</v>
      </c>
      <c r="H10">
        <v>948661</v>
      </c>
      <c r="I10">
        <v>949</v>
      </c>
      <c r="J10">
        <v>947713</v>
      </c>
      <c r="K10" s="1">
        <v>46064</v>
      </c>
      <c r="L10" t="s">
        <v>53</v>
      </c>
      <c r="M10" t="str">
        <f t="shared" si="0"/>
        <v>Review</v>
      </c>
      <c r="N10">
        <f t="shared" si="1"/>
        <v>-1</v>
      </c>
    </row>
    <row r="11" spans="1:14" x14ac:dyDescent="0.3">
      <c r="A11">
        <v>10</v>
      </c>
      <c r="B11" s="1">
        <v>46074</v>
      </c>
      <c r="C11" s="1">
        <v>46023</v>
      </c>
      <c r="D11" t="s">
        <v>40</v>
      </c>
      <c r="E11">
        <v>1</v>
      </c>
      <c r="F11">
        <v>83708</v>
      </c>
      <c r="G11">
        <v>2.67</v>
      </c>
      <c r="H11">
        <v>223501</v>
      </c>
      <c r="I11">
        <v>224</v>
      </c>
      <c r="J11">
        <v>223277</v>
      </c>
      <c r="K11" s="1">
        <v>46089</v>
      </c>
      <c r="L11" t="s">
        <v>53</v>
      </c>
      <c r="M11" t="str">
        <f t="shared" si="0"/>
        <v>OK</v>
      </c>
      <c r="N11">
        <f t="shared" si="1"/>
        <v>0</v>
      </c>
    </row>
    <row r="12" spans="1:14" x14ac:dyDescent="0.3">
      <c r="A12">
        <v>11</v>
      </c>
      <c r="B12" s="1">
        <v>46105</v>
      </c>
      <c r="C12" s="1">
        <v>46054</v>
      </c>
      <c r="D12" t="s">
        <v>40</v>
      </c>
      <c r="E12">
        <v>1</v>
      </c>
      <c r="F12">
        <v>101267</v>
      </c>
      <c r="G12">
        <v>2.67</v>
      </c>
      <c r="H12">
        <v>270383</v>
      </c>
      <c r="I12">
        <v>270</v>
      </c>
      <c r="J12">
        <v>270112</v>
      </c>
      <c r="K12" s="1">
        <v>46120</v>
      </c>
      <c r="L12" t="s">
        <v>53</v>
      </c>
      <c r="M12" t="str">
        <f t="shared" si="0"/>
        <v>Review</v>
      </c>
      <c r="N12">
        <f t="shared" si="1"/>
        <v>1</v>
      </c>
    </row>
    <row r="13" spans="1:14" x14ac:dyDescent="0.3">
      <c r="A13">
        <v>12</v>
      </c>
      <c r="B13" s="1">
        <v>46105</v>
      </c>
      <c r="C13" s="1">
        <v>46082</v>
      </c>
      <c r="D13" t="s">
        <v>40</v>
      </c>
      <c r="E13">
        <v>1</v>
      </c>
      <c r="F13">
        <v>95418</v>
      </c>
      <c r="G13">
        <v>2.67</v>
      </c>
      <c r="H13">
        <v>254765</v>
      </c>
      <c r="I13">
        <v>255</v>
      </c>
      <c r="J13">
        <v>254510</v>
      </c>
      <c r="K13" s="1">
        <v>46120</v>
      </c>
      <c r="L13" t="s">
        <v>53</v>
      </c>
      <c r="M13" t="str">
        <f t="shared" si="0"/>
        <v>OK</v>
      </c>
      <c r="N13">
        <f t="shared" si="1"/>
        <v>0</v>
      </c>
    </row>
    <row r="14" spans="1:14" x14ac:dyDescent="0.3">
      <c r="A14">
        <v>1</v>
      </c>
      <c r="B14" s="1">
        <v>45782</v>
      </c>
      <c r="C14" s="1">
        <v>45748</v>
      </c>
      <c r="D14" t="s">
        <v>40</v>
      </c>
      <c r="E14">
        <v>2</v>
      </c>
      <c r="F14">
        <v>59664</v>
      </c>
      <c r="G14">
        <v>4</v>
      </c>
      <c r="H14">
        <v>238656</v>
      </c>
      <c r="I14">
        <v>239</v>
      </c>
      <c r="J14">
        <v>238417</v>
      </c>
      <c r="K14" s="1">
        <v>45797</v>
      </c>
      <c r="L14" t="s">
        <v>53</v>
      </c>
      <c r="M14" t="str">
        <f t="shared" si="0"/>
        <v>OK</v>
      </c>
      <c r="N14">
        <f t="shared" si="1"/>
        <v>0</v>
      </c>
    </row>
    <row r="15" spans="1:14" x14ac:dyDescent="0.3">
      <c r="A15">
        <v>2</v>
      </c>
      <c r="B15" s="1">
        <v>45805</v>
      </c>
      <c r="C15" s="1">
        <v>45778</v>
      </c>
      <c r="D15" t="s">
        <v>40</v>
      </c>
      <c r="E15">
        <v>2</v>
      </c>
      <c r="F15">
        <v>142434</v>
      </c>
      <c r="G15">
        <v>4</v>
      </c>
      <c r="H15">
        <v>569736</v>
      </c>
      <c r="I15">
        <v>570</v>
      </c>
      <c r="J15">
        <v>569166</v>
      </c>
      <c r="K15" s="1">
        <v>45820</v>
      </c>
      <c r="L15" t="s">
        <v>53</v>
      </c>
      <c r="M15" t="str">
        <f t="shared" si="0"/>
        <v>OK</v>
      </c>
      <c r="N15">
        <f t="shared" si="1"/>
        <v>0</v>
      </c>
    </row>
    <row r="16" spans="1:14" x14ac:dyDescent="0.3">
      <c r="A16">
        <v>3</v>
      </c>
      <c r="B16" s="1">
        <v>45834</v>
      </c>
      <c r="C16" s="1">
        <v>45809</v>
      </c>
      <c r="D16" t="s">
        <v>40</v>
      </c>
      <c r="E16">
        <v>2</v>
      </c>
      <c r="F16">
        <v>209574</v>
      </c>
      <c r="G16">
        <v>4</v>
      </c>
      <c r="H16">
        <v>838296</v>
      </c>
      <c r="I16">
        <v>838</v>
      </c>
      <c r="J16">
        <v>837458</v>
      </c>
      <c r="K16" s="1">
        <v>45849</v>
      </c>
      <c r="L16" t="s">
        <v>53</v>
      </c>
      <c r="M16" t="str">
        <f t="shared" si="0"/>
        <v>OK</v>
      </c>
      <c r="N16">
        <f t="shared" si="1"/>
        <v>0</v>
      </c>
    </row>
    <row r="17" spans="1:14" x14ac:dyDescent="0.3">
      <c r="A17">
        <v>4</v>
      </c>
      <c r="B17" s="1">
        <v>45854</v>
      </c>
      <c r="C17" s="1">
        <v>45839</v>
      </c>
      <c r="D17" t="s">
        <v>40</v>
      </c>
      <c r="E17">
        <v>2</v>
      </c>
      <c r="F17">
        <v>247152</v>
      </c>
      <c r="G17">
        <v>4</v>
      </c>
      <c r="H17">
        <v>988608</v>
      </c>
      <c r="I17">
        <v>989</v>
      </c>
      <c r="J17">
        <v>987619</v>
      </c>
      <c r="K17" s="1">
        <v>45869</v>
      </c>
      <c r="L17" t="s">
        <v>53</v>
      </c>
      <c r="M17" t="str">
        <f t="shared" si="0"/>
        <v>OK</v>
      </c>
      <c r="N17">
        <f t="shared" si="1"/>
        <v>0</v>
      </c>
    </row>
    <row r="18" spans="1:14" x14ac:dyDescent="0.3">
      <c r="A18">
        <v>5</v>
      </c>
      <c r="B18" s="1">
        <v>45887</v>
      </c>
      <c r="C18" s="1">
        <v>45870</v>
      </c>
      <c r="D18" t="s">
        <v>40</v>
      </c>
      <c r="E18">
        <v>2</v>
      </c>
      <c r="F18">
        <v>170958</v>
      </c>
      <c r="G18">
        <v>4</v>
      </c>
      <c r="H18">
        <v>683832</v>
      </c>
      <c r="I18">
        <v>684</v>
      </c>
      <c r="J18">
        <v>683148</v>
      </c>
      <c r="K18" s="1">
        <v>45902</v>
      </c>
      <c r="L18" t="s">
        <v>55</v>
      </c>
      <c r="M18" t="str">
        <f t="shared" si="0"/>
        <v>OK</v>
      </c>
      <c r="N18">
        <f t="shared" si="1"/>
        <v>0</v>
      </c>
    </row>
    <row r="19" spans="1:14" x14ac:dyDescent="0.3">
      <c r="A19">
        <v>6</v>
      </c>
      <c r="B19" s="1">
        <v>45912</v>
      </c>
      <c r="C19" s="1">
        <v>45901</v>
      </c>
      <c r="D19" t="s">
        <v>40</v>
      </c>
      <c r="E19">
        <v>2</v>
      </c>
      <c r="F19">
        <v>151764</v>
      </c>
      <c r="G19">
        <v>4</v>
      </c>
      <c r="H19">
        <v>607056</v>
      </c>
      <c r="I19">
        <v>607</v>
      </c>
      <c r="J19">
        <v>606449</v>
      </c>
      <c r="K19" s="1">
        <v>45927</v>
      </c>
      <c r="L19" t="s">
        <v>53</v>
      </c>
      <c r="M19" t="str">
        <f t="shared" si="0"/>
        <v>OK</v>
      </c>
      <c r="N19">
        <f t="shared" si="1"/>
        <v>0</v>
      </c>
    </row>
    <row r="20" spans="1:14" x14ac:dyDescent="0.3">
      <c r="A20">
        <v>7</v>
      </c>
      <c r="B20" s="1">
        <v>45946</v>
      </c>
      <c r="C20" s="1">
        <v>45931</v>
      </c>
      <c r="D20" t="s">
        <v>40</v>
      </c>
      <c r="E20">
        <v>2</v>
      </c>
      <c r="F20">
        <v>64434</v>
      </c>
      <c r="G20">
        <v>4</v>
      </c>
      <c r="H20">
        <v>257736</v>
      </c>
      <c r="I20">
        <v>258</v>
      </c>
      <c r="J20">
        <v>257478</v>
      </c>
      <c r="K20" s="1">
        <v>45961</v>
      </c>
      <c r="L20" t="s">
        <v>53</v>
      </c>
      <c r="M20" t="str">
        <f t="shared" si="0"/>
        <v>OK</v>
      </c>
      <c r="N20">
        <f t="shared" si="1"/>
        <v>0</v>
      </c>
    </row>
    <row r="21" spans="1:14" x14ac:dyDescent="0.3">
      <c r="A21">
        <v>8</v>
      </c>
      <c r="B21" s="1">
        <v>45992</v>
      </c>
      <c r="C21" s="1">
        <v>45962</v>
      </c>
      <c r="D21" t="s">
        <v>40</v>
      </c>
      <c r="E21">
        <v>2</v>
      </c>
      <c r="F21">
        <v>36330</v>
      </c>
      <c r="G21">
        <v>4</v>
      </c>
      <c r="H21">
        <v>145320</v>
      </c>
      <c r="I21">
        <v>145</v>
      </c>
      <c r="J21">
        <v>145175</v>
      </c>
      <c r="K21" s="1">
        <v>46007</v>
      </c>
      <c r="L21" t="s">
        <v>55</v>
      </c>
      <c r="M21" t="str">
        <f t="shared" si="0"/>
        <v>OK</v>
      </c>
      <c r="N21">
        <f t="shared" si="1"/>
        <v>0</v>
      </c>
    </row>
    <row r="22" spans="1:14" x14ac:dyDescent="0.3">
      <c r="A22">
        <v>9</v>
      </c>
      <c r="B22" s="1">
        <v>46003</v>
      </c>
      <c r="C22" s="1">
        <v>45992</v>
      </c>
      <c r="D22" t="s">
        <v>40</v>
      </c>
      <c r="E22">
        <v>2</v>
      </c>
      <c r="F22">
        <v>26292</v>
      </c>
      <c r="G22">
        <v>4</v>
      </c>
      <c r="H22">
        <v>105168</v>
      </c>
      <c r="I22">
        <v>105</v>
      </c>
      <c r="J22">
        <v>105063</v>
      </c>
      <c r="K22" s="1">
        <v>46018</v>
      </c>
      <c r="L22" t="s">
        <v>55</v>
      </c>
      <c r="M22" t="str">
        <f t="shared" si="0"/>
        <v>OK</v>
      </c>
      <c r="N22">
        <f t="shared" si="1"/>
        <v>0</v>
      </c>
    </row>
    <row r="23" spans="1:14" x14ac:dyDescent="0.3">
      <c r="A23">
        <v>10</v>
      </c>
      <c r="B23" s="1">
        <v>46029</v>
      </c>
      <c r="C23" s="1">
        <v>46023</v>
      </c>
      <c r="D23" t="s">
        <v>40</v>
      </c>
      <c r="E23">
        <v>2</v>
      </c>
      <c r="F23">
        <v>28206</v>
      </c>
      <c r="G23">
        <v>4</v>
      </c>
      <c r="H23">
        <v>112824</v>
      </c>
      <c r="I23">
        <v>113</v>
      </c>
      <c r="J23">
        <v>112711</v>
      </c>
      <c r="K23" s="1">
        <v>46044</v>
      </c>
      <c r="L23" t="s">
        <v>53</v>
      </c>
      <c r="M23" t="str">
        <f t="shared" si="0"/>
        <v>OK</v>
      </c>
      <c r="N23">
        <f t="shared" si="1"/>
        <v>0</v>
      </c>
    </row>
    <row r="24" spans="1:14" x14ac:dyDescent="0.3">
      <c r="A24">
        <v>11</v>
      </c>
      <c r="B24" s="1">
        <v>46074</v>
      </c>
      <c r="C24" s="1">
        <v>46054</v>
      </c>
      <c r="D24" t="s">
        <v>40</v>
      </c>
      <c r="E24">
        <v>2</v>
      </c>
      <c r="F24">
        <v>24264</v>
      </c>
      <c r="G24">
        <v>4</v>
      </c>
      <c r="H24">
        <v>97056</v>
      </c>
      <c r="I24">
        <v>97</v>
      </c>
      <c r="J24">
        <v>96959</v>
      </c>
      <c r="K24" s="1">
        <v>46089</v>
      </c>
      <c r="L24" t="s">
        <v>53</v>
      </c>
      <c r="M24" t="str">
        <f t="shared" si="0"/>
        <v>OK</v>
      </c>
      <c r="N24">
        <f t="shared" si="1"/>
        <v>0</v>
      </c>
    </row>
    <row r="25" spans="1:14" x14ac:dyDescent="0.3">
      <c r="A25">
        <v>12</v>
      </c>
      <c r="B25" s="1">
        <v>46112</v>
      </c>
      <c r="C25" s="1">
        <v>46082</v>
      </c>
      <c r="D25" t="s">
        <v>40</v>
      </c>
      <c r="E25">
        <v>2</v>
      </c>
      <c r="F25">
        <v>36072</v>
      </c>
      <c r="G25">
        <v>4</v>
      </c>
      <c r="H25">
        <v>144288</v>
      </c>
      <c r="I25">
        <v>144</v>
      </c>
      <c r="J25">
        <v>144144</v>
      </c>
      <c r="K25" s="1">
        <v>46127</v>
      </c>
      <c r="L25" t="s">
        <v>53</v>
      </c>
      <c r="M25" t="str">
        <f t="shared" si="0"/>
        <v>OK</v>
      </c>
      <c r="N25">
        <f t="shared" si="1"/>
        <v>0</v>
      </c>
    </row>
    <row r="26" spans="1:14" x14ac:dyDescent="0.3">
      <c r="A26">
        <v>1</v>
      </c>
      <c r="B26" s="1">
        <v>45782</v>
      </c>
      <c r="C26" s="1">
        <v>45748</v>
      </c>
      <c r="D26" t="s">
        <v>40</v>
      </c>
      <c r="E26">
        <v>3</v>
      </c>
      <c r="F26">
        <v>261840</v>
      </c>
      <c r="G26">
        <v>3.9</v>
      </c>
      <c r="H26">
        <v>1021176</v>
      </c>
      <c r="I26">
        <v>1021</v>
      </c>
      <c r="J26">
        <v>1020155</v>
      </c>
      <c r="K26" s="1">
        <v>45797</v>
      </c>
      <c r="L26" t="s">
        <v>53</v>
      </c>
      <c r="M26" t="str">
        <f t="shared" si="0"/>
        <v>OK</v>
      </c>
      <c r="N26">
        <f t="shared" si="1"/>
        <v>0</v>
      </c>
    </row>
    <row r="27" spans="1:14" x14ac:dyDescent="0.3">
      <c r="A27">
        <v>2</v>
      </c>
      <c r="B27" s="1">
        <v>45805</v>
      </c>
      <c r="C27" s="1">
        <v>45778</v>
      </c>
      <c r="D27" t="s">
        <v>40</v>
      </c>
      <c r="E27">
        <v>3</v>
      </c>
      <c r="F27">
        <v>579600</v>
      </c>
      <c r="G27">
        <v>3.9</v>
      </c>
      <c r="H27">
        <v>2260440</v>
      </c>
      <c r="I27">
        <v>2260</v>
      </c>
      <c r="J27">
        <v>2258180</v>
      </c>
      <c r="K27" s="1">
        <v>45820</v>
      </c>
      <c r="L27" t="s">
        <v>53</v>
      </c>
      <c r="M27" t="str">
        <f t="shared" si="0"/>
        <v>OK</v>
      </c>
      <c r="N27">
        <f t="shared" si="1"/>
        <v>0</v>
      </c>
    </row>
    <row r="28" spans="1:14" x14ac:dyDescent="0.3">
      <c r="A28">
        <v>3</v>
      </c>
      <c r="B28" s="1">
        <v>45834</v>
      </c>
      <c r="C28" s="1">
        <v>45809</v>
      </c>
      <c r="D28" t="s">
        <v>40</v>
      </c>
      <c r="E28">
        <v>3</v>
      </c>
      <c r="F28">
        <v>887940</v>
      </c>
      <c r="G28">
        <v>3.9</v>
      </c>
      <c r="H28">
        <v>3462966</v>
      </c>
      <c r="I28">
        <v>3463</v>
      </c>
      <c r="J28">
        <v>3459503</v>
      </c>
      <c r="K28" s="1">
        <v>45849</v>
      </c>
      <c r="L28" t="s">
        <v>53</v>
      </c>
      <c r="M28" t="str">
        <f t="shared" si="0"/>
        <v>OK</v>
      </c>
      <c r="N28">
        <f t="shared" si="1"/>
        <v>0</v>
      </c>
    </row>
    <row r="29" spans="1:14" x14ac:dyDescent="0.3">
      <c r="A29">
        <v>4</v>
      </c>
      <c r="B29" s="1">
        <v>45854</v>
      </c>
      <c r="C29" s="1">
        <v>45839</v>
      </c>
      <c r="D29" t="s">
        <v>40</v>
      </c>
      <c r="E29">
        <v>3</v>
      </c>
      <c r="F29">
        <v>1208880</v>
      </c>
      <c r="G29">
        <v>3.9</v>
      </c>
      <c r="H29">
        <v>4714632</v>
      </c>
      <c r="I29">
        <v>4715</v>
      </c>
      <c r="J29">
        <v>4709917</v>
      </c>
      <c r="K29" s="1">
        <v>45869</v>
      </c>
      <c r="L29" t="s">
        <v>53</v>
      </c>
      <c r="M29" t="str">
        <f t="shared" si="0"/>
        <v>OK</v>
      </c>
      <c r="N29">
        <f t="shared" si="1"/>
        <v>0</v>
      </c>
    </row>
    <row r="30" spans="1:14" x14ac:dyDescent="0.3">
      <c r="A30">
        <v>5</v>
      </c>
      <c r="B30" s="1">
        <v>45887</v>
      </c>
      <c r="C30" s="1">
        <v>45870</v>
      </c>
      <c r="D30" t="s">
        <v>40</v>
      </c>
      <c r="E30">
        <v>3</v>
      </c>
      <c r="F30">
        <v>834270</v>
      </c>
      <c r="G30">
        <v>3.9</v>
      </c>
      <c r="H30">
        <v>3253653</v>
      </c>
      <c r="I30">
        <v>3254</v>
      </c>
      <c r="J30">
        <v>3250399</v>
      </c>
      <c r="K30" s="1">
        <v>45902</v>
      </c>
      <c r="L30" t="s">
        <v>55</v>
      </c>
      <c r="M30" t="str">
        <f t="shared" si="0"/>
        <v>OK</v>
      </c>
      <c r="N30">
        <f t="shared" si="1"/>
        <v>0</v>
      </c>
    </row>
    <row r="31" spans="1:14" x14ac:dyDescent="0.3">
      <c r="A31">
        <v>6</v>
      </c>
      <c r="B31" s="1">
        <v>45912</v>
      </c>
      <c r="C31" s="1">
        <v>45901</v>
      </c>
      <c r="D31" t="s">
        <v>40</v>
      </c>
      <c r="E31">
        <v>3</v>
      </c>
      <c r="F31">
        <v>597360</v>
      </c>
      <c r="G31">
        <v>3.9</v>
      </c>
      <c r="H31">
        <v>2329704</v>
      </c>
      <c r="I31">
        <v>2330</v>
      </c>
      <c r="J31">
        <v>2327374</v>
      </c>
      <c r="K31" s="1">
        <v>45927</v>
      </c>
      <c r="L31" t="s">
        <v>53</v>
      </c>
      <c r="M31" t="str">
        <f t="shared" si="0"/>
        <v>OK</v>
      </c>
      <c r="N31">
        <f t="shared" si="1"/>
        <v>0</v>
      </c>
    </row>
    <row r="32" spans="1:14" x14ac:dyDescent="0.3">
      <c r="A32">
        <v>7</v>
      </c>
      <c r="B32" s="1">
        <v>45946</v>
      </c>
      <c r="C32" s="1">
        <v>45931</v>
      </c>
      <c r="D32" t="s">
        <v>40</v>
      </c>
      <c r="E32">
        <v>3</v>
      </c>
      <c r="F32">
        <v>237390</v>
      </c>
      <c r="G32">
        <v>3.9</v>
      </c>
      <c r="H32">
        <v>925821</v>
      </c>
      <c r="I32">
        <v>926</v>
      </c>
      <c r="J32">
        <v>924895</v>
      </c>
      <c r="K32" s="1">
        <v>45961</v>
      </c>
      <c r="L32" t="s">
        <v>53</v>
      </c>
      <c r="M32" t="str">
        <f t="shared" si="0"/>
        <v>OK</v>
      </c>
      <c r="N32">
        <f t="shared" si="1"/>
        <v>0</v>
      </c>
    </row>
    <row r="33" spans="1:14" x14ac:dyDescent="0.3">
      <c r="A33">
        <v>8</v>
      </c>
      <c r="B33" s="1">
        <v>45992</v>
      </c>
      <c r="C33" s="1">
        <v>45962</v>
      </c>
      <c r="D33" t="s">
        <v>40</v>
      </c>
      <c r="E33">
        <v>3</v>
      </c>
      <c r="F33">
        <v>150810</v>
      </c>
      <c r="G33">
        <v>3.9</v>
      </c>
      <c r="H33">
        <v>588159</v>
      </c>
      <c r="I33">
        <v>588</v>
      </c>
      <c r="J33">
        <v>587571</v>
      </c>
      <c r="K33" s="1">
        <v>46007</v>
      </c>
      <c r="L33" t="s">
        <v>55</v>
      </c>
      <c r="M33" t="str">
        <f t="shared" si="0"/>
        <v>OK</v>
      </c>
      <c r="N33">
        <f t="shared" si="1"/>
        <v>0</v>
      </c>
    </row>
    <row r="34" spans="1:14" x14ac:dyDescent="0.3">
      <c r="A34">
        <v>9</v>
      </c>
      <c r="B34" s="1">
        <v>46003</v>
      </c>
      <c r="C34" s="1">
        <v>45992</v>
      </c>
      <c r="D34" t="s">
        <v>40</v>
      </c>
      <c r="E34">
        <v>3</v>
      </c>
      <c r="F34">
        <v>175080</v>
      </c>
      <c r="G34">
        <v>3.9</v>
      </c>
      <c r="H34">
        <v>682812</v>
      </c>
      <c r="I34">
        <v>683</v>
      </c>
      <c r="J34">
        <v>682129</v>
      </c>
      <c r="K34" s="1">
        <v>46018</v>
      </c>
      <c r="L34" t="s">
        <v>55</v>
      </c>
      <c r="M34" t="str">
        <f t="shared" si="0"/>
        <v>OK</v>
      </c>
      <c r="N34">
        <f t="shared" si="1"/>
        <v>0</v>
      </c>
    </row>
    <row r="35" spans="1:14" x14ac:dyDescent="0.3">
      <c r="A35">
        <v>10</v>
      </c>
      <c r="B35" s="1">
        <v>46029</v>
      </c>
      <c r="C35" s="1">
        <v>46023</v>
      </c>
      <c r="D35" t="s">
        <v>40</v>
      </c>
      <c r="E35">
        <v>3</v>
      </c>
      <c r="F35">
        <v>200040</v>
      </c>
      <c r="G35">
        <v>3.9</v>
      </c>
      <c r="H35">
        <v>780156</v>
      </c>
      <c r="I35">
        <v>780</v>
      </c>
      <c r="J35">
        <v>779376</v>
      </c>
      <c r="K35" s="1">
        <v>46044</v>
      </c>
      <c r="L35" t="s">
        <v>55</v>
      </c>
      <c r="M35" t="str">
        <f t="shared" si="0"/>
        <v>OK</v>
      </c>
      <c r="N35">
        <f t="shared" si="1"/>
        <v>0</v>
      </c>
    </row>
    <row r="36" spans="1:14" x14ac:dyDescent="0.3">
      <c r="A36">
        <v>11</v>
      </c>
      <c r="B36" s="1">
        <v>46074</v>
      </c>
      <c r="C36" s="1">
        <v>46054</v>
      </c>
      <c r="D36" t="s">
        <v>40</v>
      </c>
      <c r="E36">
        <v>3</v>
      </c>
      <c r="F36">
        <v>155580</v>
      </c>
      <c r="G36">
        <v>3.9</v>
      </c>
      <c r="H36">
        <v>606762</v>
      </c>
      <c r="I36">
        <v>607</v>
      </c>
      <c r="J36">
        <v>606155</v>
      </c>
      <c r="K36" s="1">
        <v>46089</v>
      </c>
      <c r="L36" t="s">
        <v>55</v>
      </c>
      <c r="M36" t="str">
        <f t="shared" si="0"/>
        <v>OK</v>
      </c>
      <c r="N36">
        <f t="shared" si="1"/>
        <v>0</v>
      </c>
    </row>
    <row r="37" spans="1:14" x14ac:dyDescent="0.3">
      <c r="A37">
        <v>12</v>
      </c>
      <c r="B37" s="1">
        <v>46112</v>
      </c>
      <c r="C37" s="1">
        <v>46082</v>
      </c>
      <c r="D37" t="s">
        <v>40</v>
      </c>
      <c r="E37">
        <v>3</v>
      </c>
      <c r="F37">
        <v>160590</v>
      </c>
      <c r="G37">
        <v>3.9</v>
      </c>
      <c r="H37">
        <v>626301</v>
      </c>
      <c r="I37">
        <v>626</v>
      </c>
      <c r="J37">
        <v>625675</v>
      </c>
      <c r="K37" s="1">
        <v>46127</v>
      </c>
      <c r="L37" t="s">
        <v>53</v>
      </c>
      <c r="M37" t="str">
        <f t="shared" si="0"/>
        <v>OK</v>
      </c>
      <c r="N37">
        <f t="shared" si="1"/>
        <v>0</v>
      </c>
    </row>
    <row r="38" spans="1:14" x14ac:dyDescent="0.3">
      <c r="A38">
        <v>1</v>
      </c>
      <c r="B38" s="1">
        <v>45754</v>
      </c>
      <c r="C38" s="1">
        <v>45748</v>
      </c>
      <c r="D38" t="s">
        <v>40</v>
      </c>
      <c r="E38">
        <v>4</v>
      </c>
      <c r="F38">
        <v>261840</v>
      </c>
      <c r="G38">
        <v>2.7</v>
      </c>
      <c r="H38">
        <v>706968</v>
      </c>
      <c r="I38">
        <v>707</v>
      </c>
      <c r="J38">
        <v>706261</v>
      </c>
      <c r="K38" s="1">
        <v>45814</v>
      </c>
      <c r="L38" t="s">
        <v>53</v>
      </c>
      <c r="M38" t="str">
        <f t="shared" si="0"/>
        <v>OK</v>
      </c>
      <c r="N38">
        <f t="shared" si="1"/>
        <v>0</v>
      </c>
    </row>
    <row r="39" spans="1:14" x14ac:dyDescent="0.3">
      <c r="A39">
        <v>2</v>
      </c>
      <c r="B39" s="1">
        <v>45817</v>
      </c>
      <c r="C39" s="1">
        <v>45778</v>
      </c>
      <c r="D39" t="s">
        <v>40</v>
      </c>
      <c r="E39">
        <v>4</v>
      </c>
      <c r="F39">
        <v>579600</v>
      </c>
      <c r="G39">
        <v>2.7</v>
      </c>
      <c r="H39">
        <v>1564920</v>
      </c>
      <c r="I39">
        <v>1565</v>
      </c>
      <c r="J39">
        <v>1563355</v>
      </c>
      <c r="K39" s="1">
        <v>45877</v>
      </c>
      <c r="L39" t="s">
        <v>53</v>
      </c>
      <c r="M39" t="str">
        <f t="shared" si="0"/>
        <v>OK</v>
      </c>
      <c r="N39">
        <f t="shared" si="1"/>
        <v>0</v>
      </c>
    </row>
    <row r="40" spans="1:14" x14ac:dyDescent="0.3">
      <c r="A40">
        <v>3</v>
      </c>
      <c r="B40" s="1">
        <v>45817</v>
      </c>
      <c r="C40" s="1">
        <v>45809</v>
      </c>
      <c r="D40" t="s">
        <v>40</v>
      </c>
      <c r="E40">
        <v>4</v>
      </c>
      <c r="F40">
        <v>887940</v>
      </c>
      <c r="G40">
        <v>2.7</v>
      </c>
      <c r="H40">
        <v>2397438</v>
      </c>
      <c r="I40">
        <v>2397</v>
      </c>
      <c r="J40">
        <v>2395041</v>
      </c>
      <c r="K40" s="1">
        <v>45877</v>
      </c>
      <c r="L40" t="s">
        <v>53</v>
      </c>
      <c r="M40" t="str">
        <f t="shared" si="0"/>
        <v>OK</v>
      </c>
      <c r="N40">
        <f t="shared" si="1"/>
        <v>0</v>
      </c>
    </row>
    <row r="41" spans="1:14" x14ac:dyDescent="0.3">
      <c r="A41">
        <v>4</v>
      </c>
      <c r="B41" s="1">
        <v>45852</v>
      </c>
      <c r="C41" s="1">
        <v>45839</v>
      </c>
      <c r="D41" t="s">
        <v>40</v>
      </c>
      <c r="E41">
        <v>4</v>
      </c>
      <c r="F41">
        <v>1208880</v>
      </c>
      <c r="G41">
        <v>2.7</v>
      </c>
      <c r="H41">
        <v>3263976</v>
      </c>
      <c r="I41">
        <v>3264</v>
      </c>
      <c r="J41">
        <v>3260712</v>
      </c>
      <c r="K41" s="1">
        <v>45912</v>
      </c>
      <c r="L41" t="s">
        <v>53</v>
      </c>
      <c r="M41" t="str">
        <f t="shared" si="0"/>
        <v>OK</v>
      </c>
      <c r="N41">
        <f t="shared" si="1"/>
        <v>0</v>
      </c>
    </row>
    <row r="42" spans="1:14" x14ac:dyDescent="0.3">
      <c r="A42">
        <v>5</v>
      </c>
      <c r="B42" s="1">
        <v>45883</v>
      </c>
      <c r="C42" s="1">
        <v>45870</v>
      </c>
      <c r="D42" t="s">
        <v>40</v>
      </c>
      <c r="E42">
        <v>4</v>
      </c>
      <c r="F42">
        <v>834270</v>
      </c>
      <c r="G42">
        <v>2.7</v>
      </c>
      <c r="H42">
        <v>2252529</v>
      </c>
      <c r="I42">
        <v>2253</v>
      </c>
      <c r="J42">
        <v>2250276</v>
      </c>
      <c r="K42" s="1">
        <v>45943</v>
      </c>
      <c r="L42" t="s">
        <v>53</v>
      </c>
      <c r="M42" t="str">
        <f t="shared" si="0"/>
        <v>OK</v>
      </c>
      <c r="N42">
        <f t="shared" si="1"/>
        <v>0</v>
      </c>
    </row>
    <row r="43" spans="1:14" x14ac:dyDescent="0.3">
      <c r="A43">
        <v>6</v>
      </c>
      <c r="B43" s="1">
        <v>45908</v>
      </c>
      <c r="C43" s="1">
        <v>45901</v>
      </c>
      <c r="D43" t="s">
        <v>40</v>
      </c>
      <c r="E43">
        <v>4</v>
      </c>
      <c r="F43">
        <v>597360</v>
      </c>
      <c r="G43">
        <v>2.7</v>
      </c>
      <c r="H43">
        <v>1612872</v>
      </c>
      <c r="I43">
        <v>1613</v>
      </c>
      <c r="J43">
        <v>1611259</v>
      </c>
      <c r="K43" s="1">
        <v>45968</v>
      </c>
      <c r="L43" t="s">
        <v>53</v>
      </c>
      <c r="M43" t="str">
        <f t="shared" si="0"/>
        <v>OK</v>
      </c>
      <c r="N43">
        <f t="shared" si="1"/>
        <v>0</v>
      </c>
    </row>
    <row r="44" spans="1:14" x14ac:dyDescent="0.3">
      <c r="A44">
        <v>7</v>
      </c>
      <c r="B44" s="1">
        <v>45938</v>
      </c>
      <c r="C44" s="1">
        <v>45931</v>
      </c>
      <c r="D44" t="s">
        <v>40</v>
      </c>
      <c r="E44">
        <v>4</v>
      </c>
      <c r="F44">
        <v>237390</v>
      </c>
      <c r="G44">
        <v>2.7</v>
      </c>
      <c r="H44">
        <v>640953</v>
      </c>
      <c r="I44">
        <v>641</v>
      </c>
      <c r="J44">
        <v>640312</v>
      </c>
      <c r="K44" s="1">
        <v>45998</v>
      </c>
      <c r="L44" t="s">
        <v>53</v>
      </c>
      <c r="M44" t="str">
        <f t="shared" si="0"/>
        <v>OK</v>
      </c>
      <c r="N44">
        <f t="shared" si="1"/>
        <v>0</v>
      </c>
    </row>
    <row r="45" spans="1:14" x14ac:dyDescent="0.3">
      <c r="A45">
        <v>8</v>
      </c>
      <c r="B45" s="1">
        <v>45973</v>
      </c>
      <c r="C45" s="1">
        <v>45962</v>
      </c>
      <c r="D45" t="s">
        <v>40</v>
      </c>
      <c r="E45">
        <v>4</v>
      </c>
      <c r="F45">
        <v>150810</v>
      </c>
      <c r="G45">
        <v>2.7</v>
      </c>
      <c r="H45">
        <v>407187</v>
      </c>
      <c r="I45">
        <v>407</v>
      </c>
      <c r="J45">
        <v>406780</v>
      </c>
      <c r="K45" s="1">
        <v>46033</v>
      </c>
      <c r="L45" t="s">
        <v>53</v>
      </c>
      <c r="M45" t="str">
        <f t="shared" si="0"/>
        <v>OK</v>
      </c>
      <c r="N45">
        <f t="shared" si="1"/>
        <v>0</v>
      </c>
    </row>
    <row r="46" spans="1:14" x14ac:dyDescent="0.3">
      <c r="A46">
        <v>9</v>
      </c>
      <c r="B46" s="1">
        <v>46003</v>
      </c>
      <c r="C46" s="1">
        <v>45992</v>
      </c>
      <c r="D46" t="s">
        <v>40</v>
      </c>
      <c r="E46">
        <v>4</v>
      </c>
      <c r="F46">
        <v>175080</v>
      </c>
      <c r="G46">
        <v>2.7</v>
      </c>
      <c r="H46">
        <v>472716</v>
      </c>
      <c r="I46">
        <v>473</v>
      </c>
      <c r="J46">
        <v>472243</v>
      </c>
      <c r="K46" s="1">
        <v>46063</v>
      </c>
      <c r="L46" t="s">
        <v>53</v>
      </c>
      <c r="M46" t="str">
        <f t="shared" si="0"/>
        <v>OK</v>
      </c>
      <c r="N46">
        <f t="shared" si="1"/>
        <v>0</v>
      </c>
    </row>
    <row r="47" spans="1:14" x14ac:dyDescent="0.3">
      <c r="A47">
        <v>10</v>
      </c>
      <c r="B47" s="1">
        <v>46029</v>
      </c>
      <c r="C47" s="1">
        <v>46023</v>
      </c>
      <c r="D47" t="s">
        <v>40</v>
      </c>
      <c r="E47">
        <v>4</v>
      </c>
      <c r="F47">
        <v>200040</v>
      </c>
      <c r="G47">
        <v>2.7</v>
      </c>
      <c r="H47">
        <v>540108</v>
      </c>
      <c r="I47">
        <v>540</v>
      </c>
      <c r="J47">
        <v>539568</v>
      </c>
      <c r="K47" s="1">
        <v>46089</v>
      </c>
      <c r="L47" t="s">
        <v>53</v>
      </c>
      <c r="M47" t="str">
        <f t="shared" si="0"/>
        <v>OK</v>
      </c>
      <c r="N47">
        <f t="shared" si="1"/>
        <v>0</v>
      </c>
    </row>
    <row r="48" spans="1:14" x14ac:dyDescent="0.3">
      <c r="A48">
        <v>11</v>
      </c>
      <c r="B48" s="1">
        <v>46072</v>
      </c>
      <c r="C48" s="1">
        <v>46054</v>
      </c>
      <c r="D48" t="s">
        <v>40</v>
      </c>
      <c r="E48">
        <v>4</v>
      </c>
      <c r="F48">
        <v>155580</v>
      </c>
      <c r="G48">
        <v>2.7</v>
      </c>
      <c r="H48">
        <v>420066</v>
      </c>
      <c r="I48">
        <v>420</v>
      </c>
      <c r="J48">
        <v>419646</v>
      </c>
      <c r="K48" s="1">
        <v>46132</v>
      </c>
      <c r="L48" t="s">
        <v>53</v>
      </c>
      <c r="M48" t="str">
        <f t="shared" si="0"/>
        <v>OK</v>
      </c>
      <c r="N48">
        <f t="shared" si="1"/>
        <v>0</v>
      </c>
    </row>
    <row r="49" spans="1:14" x14ac:dyDescent="0.3">
      <c r="A49">
        <v>12</v>
      </c>
      <c r="B49" s="1">
        <v>46088</v>
      </c>
      <c r="C49" s="1">
        <v>46082</v>
      </c>
      <c r="D49" t="s">
        <v>40</v>
      </c>
      <c r="E49">
        <v>4</v>
      </c>
      <c r="F49">
        <v>160590</v>
      </c>
      <c r="G49">
        <v>2.7</v>
      </c>
      <c r="H49">
        <v>433593</v>
      </c>
      <c r="I49">
        <v>434</v>
      </c>
      <c r="J49">
        <v>433159</v>
      </c>
      <c r="K49" s="1">
        <v>46148</v>
      </c>
      <c r="L49" t="s">
        <v>53</v>
      </c>
      <c r="M49" t="str">
        <f t="shared" si="0"/>
        <v>OK</v>
      </c>
      <c r="N49">
        <f t="shared" si="1"/>
        <v>0</v>
      </c>
    </row>
    <row r="50" spans="1:14" x14ac:dyDescent="0.3">
      <c r="A50">
        <v>1</v>
      </c>
      <c r="B50" s="1">
        <v>45754</v>
      </c>
      <c r="C50" s="1">
        <v>45748</v>
      </c>
      <c r="D50" t="s">
        <v>40</v>
      </c>
      <c r="E50">
        <v>5</v>
      </c>
      <c r="F50">
        <v>110052</v>
      </c>
      <c r="G50">
        <v>2.89</v>
      </c>
      <c r="H50">
        <v>318050</v>
      </c>
      <c r="I50">
        <v>318</v>
      </c>
      <c r="J50">
        <v>317732</v>
      </c>
      <c r="K50" s="1">
        <v>45769</v>
      </c>
      <c r="L50" t="s">
        <v>53</v>
      </c>
      <c r="M50" t="str">
        <f t="shared" si="0"/>
        <v>OK</v>
      </c>
      <c r="N50">
        <f t="shared" si="1"/>
        <v>0</v>
      </c>
    </row>
    <row r="51" spans="1:14" x14ac:dyDescent="0.3">
      <c r="A51">
        <v>2</v>
      </c>
      <c r="B51" s="1">
        <v>45785</v>
      </c>
      <c r="C51" s="1">
        <v>45778</v>
      </c>
      <c r="D51" t="s">
        <v>40</v>
      </c>
      <c r="E51">
        <v>5</v>
      </c>
      <c r="F51">
        <v>224220</v>
      </c>
      <c r="G51">
        <v>2.89</v>
      </c>
      <c r="H51">
        <v>647996</v>
      </c>
      <c r="I51">
        <v>648</v>
      </c>
      <c r="J51">
        <v>647348</v>
      </c>
      <c r="K51" s="1">
        <v>45800</v>
      </c>
      <c r="L51" t="s">
        <v>53</v>
      </c>
      <c r="M51" t="str">
        <f t="shared" si="0"/>
        <v>OK</v>
      </c>
      <c r="N51">
        <f t="shared" si="1"/>
        <v>0</v>
      </c>
    </row>
    <row r="52" spans="1:14" x14ac:dyDescent="0.3">
      <c r="A52">
        <v>3</v>
      </c>
      <c r="B52" s="1">
        <v>45817</v>
      </c>
      <c r="C52" s="1">
        <v>45809</v>
      </c>
      <c r="D52" t="s">
        <v>40</v>
      </c>
      <c r="E52">
        <v>5</v>
      </c>
      <c r="F52">
        <v>309600</v>
      </c>
      <c r="G52">
        <v>2.89</v>
      </c>
      <c r="H52">
        <v>894744</v>
      </c>
      <c r="I52">
        <v>895</v>
      </c>
      <c r="J52">
        <v>893849</v>
      </c>
      <c r="K52" s="1">
        <v>45832</v>
      </c>
      <c r="L52" t="s">
        <v>53</v>
      </c>
      <c r="M52" t="str">
        <f t="shared" si="0"/>
        <v>OK</v>
      </c>
      <c r="N52">
        <f t="shared" si="1"/>
        <v>0</v>
      </c>
    </row>
    <row r="53" spans="1:14" x14ac:dyDescent="0.3">
      <c r="A53">
        <v>4</v>
      </c>
      <c r="B53" s="1">
        <v>46085</v>
      </c>
      <c r="C53" s="1">
        <v>45839</v>
      </c>
      <c r="D53" t="s">
        <v>40</v>
      </c>
      <c r="E53">
        <v>5</v>
      </c>
      <c r="F53">
        <v>484140</v>
      </c>
      <c r="G53">
        <v>2.89</v>
      </c>
      <c r="H53">
        <v>1399165</v>
      </c>
      <c r="I53">
        <v>1399</v>
      </c>
      <c r="J53">
        <v>1397765</v>
      </c>
      <c r="K53" s="1">
        <v>46100</v>
      </c>
      <c r="L53" t="s">
        <v>53</v>
      </c>
      <c r="M53" t="str">
        <f t="shared" si="0"/>
        <v>Review</v>
      </c>
      <c r="N53">
        <f t="shared" si="1"/>
        <v>1</v>
      </c>
    </row>
    <row r="54" spans="1:14" x14ac:dyDescent="0.3">
      <c r="A54">
        <v>5</v>
      </c>
      <c r="B54" s="1">
        <v>46085</v>
      </c>
      <c r="C54" s="1">
        <v>45870</v>
      </c>
      <c r="D54" t="s">
        <v>40</v>
      </c>
      <c r="E54">
        <v>5</v>
      </c>
      <c r="F54">
        <v>358464</v>
      </c>
      <c r="G54">
        <v>2.89</v>
      </c>
      <c r="H54">
        <v>1035961</v>
      </c>
      <c r="I54">
        <v>1036</v>
      </c>
      <c r="J54">
        <v>1034925</v>
      </c>
      <c r="K54" s="1">
        <v>46100</v>
      </c>
      <c r="L54" t="s">
        <v>55</v>
      </c>
      <c r="M54" t="str">
        <f t="shared" si="0"/>
        <v>OK</v>
      </c>
      <c r="N54">
        <f t="shared" si="1"/>
        <v>0</v>
      </c>
    </row>
    <row r="55" spans="1:14" x14ac:dyDescent="0.3">
      <c r="A55">
        <v>6</v>
      </c>
      <c r="B55" s="1">
        <v>46070</v>
      </c>
      <c r="C55" s="1">
        <v>45901</v>
      </c>
      <c r="D55" t="s">
        <v>40</v>
      </c>
      <c r="E55">
        <v>5</v>
      </c>
      <c r="F55">
        <v>304452</v>
      </c>
      <c r="G55">
        <v>2.89</v>
      </c>
      <c r="H55">
        <v>879866</v>
      </c>
      <c r="I55">
        <v>880</v>
      </c>
      <c r="J55">
        <v>878986</v>
      </c>
      <c r="K55" s="1">
        <v>46085</v>
      </c>
      <c r="L55" t="s">
        <v>53</v>
      </c>
      <c r="M55" t="str">
        <f t="shared" si="0"/>
        <v>OK</v>
      </c>
      <c r="N55">
        <f t="shared" si="1"/>
        <v>0</v>
      </c>
    </row>
    <row r="56" spans="1:14" x14ac:dyDescent="0.3">
      <c r="A56">
        <v>7</v>
      </c>
      <c r="B56" s="1">
        <v>46070</v>
      </c>
      <c r="C56" s="1">
        <v>45931</v>
      </c>
      <c r="D56" t="s">
        <v>40</v>
      </c>
      <c r="E56">
        <v>5</v>
      </c>
      <c r="F56">
        <v>130080</v>
      </c>
      <c r="G56">
        <v>2.89</v>
      </c>
      <c r="H56">
        <v>375931</v>
      </c>
      <c r="I56">
        <v>376</v>
      </c>
      <c r="J56">
        <v>375555</v>
      </c>
      <c r="K56" s="1">
        <v>46085</v>
      </c>
      <c r="L56" t="s">
        <v>53</v>
      </c>
      <c r="M56" t="str">
        <f t="shared" si="0"/>
        <v>OK</v>
      </c>
      <c r="N56">
        <f t="shared" si="1"/>
        <v>0</v>
      </c>
    </row>
    <row r="57" spans="1:14" x14ac:dyDescent="0.3">
      <c r="A57">
        <v>8</v>
      </c>
      <c r="B57" s="1">
        <v>46070</v>
      </c>
      <c r="C57" s="1">
        <v>45962</v>
      </c>
      <c r="D57" t="s">
        <v>40</v>
      </c>
      <c r="E57">
        <v>5</v>
      </c>
      <c r="F57">
        <v>109752</v>
      </c>
      <c r="G57">
        <v>2.89</v>
      </c>
      <c r="H57">
        <v>317183</v>
      </c>
      <c r="I57">
        <v>317</v>
      </c>
      <c r="J57">
        <v>316866</v>
      </c>
      <c r="K57" s="1">
        <v>46085</v>
      </c>
      <c r="L57" t="s">
        <v>55</v>
      </c>
      <c r="M57" t="str">
        <f t="shared" si="0"/>
        <v>OK</v>
      </c>
      <c r="N57">
        <f t="shared" si="1"/>
        <v>0</v>
      </c>
    </row>
    <row r="58" spans="1:14" x14ac:dyDescent="0.3">
      <c r="A58">
        <v>9</v>
      </c>
      <c r="B58" s="1">
        <v>46070</v>
      </c>
      <c r="C58" s="1">
        <v>45992</v>
      </c>
      <c r="D58" t="s">
        <v>40</v>
      </c>
      <c r="E58">
        <v>5</v>
      </c>
      <c r="F58">
        <v>119412</v>
      </c>
      <c r="G58">
        <v>2.89</v>
      </c>
      <c r="H58">
        <v>345101</v>
      </c>
      <c r="I58">
        <v>345</v>
      </c>
      <c r="J58">
        <v>344756</v>
      </c>
      <c r="K58" s="1">
        <v>46085</v>
      </c>
      <c r="L58" t="s">
        <v>55</v>
      </c>
      <c r="M58" t="str">
        <f t="shared" si="0"/>
        <v>OK</v>
      </c>
      <c r="N58">
        <f t="shared" si="1"/>
        <v>0</v>
      </c>
    </row>
    <row r="59" spans="1:14" x14ac:dyDescent="0.3">
      <c r="A59">
        <v>10</v>
      </c>
      <c r="B59" s="1">
        <v>46070</v>
      </c>
      <c r="C59" s="1">
        <v>46023</v>
      </c>
      <c r="D59" t="s">
        <v>40</v>
      </c>
      <c r="E59">
        <v>5</v>
      </c>
      <c r="F59">
        <v>137700</v>
      </c>
      <c r="G59">
        <v>2.89</v>
      </c>
      <c r="H59">
        <v>397953</v>
      </c>
      <c r="I59">
        <v>398</v>
      </c>
      <c r="J59">
        <v>397555</v>
      </c>
      <c r="K59" s="1">
        <v>46085</v>
      </c>
      <c r="L59" t="s">
        <v>53</v>
      </c>
      <c r="M59" t="str">
        <f t="shared" si="0"/>
        <v>OK</v>
      </c>
      <c r="N59">
        <f t="shared" si="1"/>
        <v>0</v>
      </c>
    </row>
    <row r="60" spans="1:14" x14ac:dyDescent="0.3">
      <c r="A60">
        <v>11</v>
      </c>
      <c r="B60" s="1">
        <v>46070</v>
      </c>
      <c r="C60" s="1">
        <v>46054</v>
      </c>
      <c r="D60" t="s">
        <v>40</v>
      </c>
      <c r="E60">
        <v>5</v>
      </c>
      <c r="F60">
        <v>89196</v>
      </c>
      <c r="G60">
        <v>2.89</v>
      </c>
      <c r="H60">
        <v>257776</v>
      </c>
      <c r="I60">
        <v>258</v>
      </c>
      <c r="J60">
        <v>257519</v>
      </c>
      <c r="K60" s="1">
        <v>46085</v>
      </c>
      <c r="L60" t="s">
        <v>53</v>
      </c>
      <c r="M60" t="str">
        <f t="shared" si="0"/>
        <v>Review</v>
      </c>
      <c r="N60">
        <f t="shared" si="1"/>
        <v>-1</v>
      </c>
    </row>
    <row r="61" spans="1:14" x14ac:dyDescent="0.3">
      <c r="A61">
        <v>12</v>
      </c>
      <c r="B61" s="1">
        <v>46070</v>
      </c>
      <c r="C61" s="1">
        <v>46082</v>
      </c>
      <c r="D61" t="s">
        <v>40</v>
      </c>
      <c r="E61">
        <v>5</v>
      </c>
      <c r="F61">
        <v>79152</v>
      </c>
      <c r="G61">
        <v>2.89</v>
      </c>
      <c r="H61">
        <v>228749</v>
      </c>
      <c r="I61">
        <v>229</v>
      </c>
      <c r="J61">
        <v>228521</v>
      </c>
      <c r="K61" s="1">
        <v>46085</v>
      </c>
      <c r="L61" t="s">
        <v>53</v>
      </c>
      <c r="M61" t="str">
        <f t="shared" si="0"/>
        <v>Review</v>
      </c>
      <c r="N61">
        <f t="shared" si="1"/>
        <v>-1</v>
      </c>
    </row>
    <row r="62" spans="1:14" x14ac:dyDescent="0.3">
      <c r="A62">
        <v>1</v>
      </c>
      <c r="B62" s="1">
        <v>46116</v>
      </c>
      <c r="C62" s="1">
        <v>45748</v>
      </c>
      <c r="D62" t="s">
        <v>40</v>
      </c>
      <c r="E62">
        <v>6</v>
      </c>
      <c r="F62">
        <v>323682</v>
      </c>
      <c r="G62">
        <v>2.9</v>
      </c>
      <c r="H62">
        <v>938679</v>
      </c>
      <c r="I62">
        <v>939</v>
      </c>
      <c r="J62">
        <v>937740</v>
      </c>
      <c r="K62" s="1">
        <v>46126</v>
      </c>
      <c r="L62" t="s">
        <v>53</v>
      </c>
      <c r="M62" t="str">
        <f t="shared" si="0"/>
        <v>OK</v>
      </c>
      <c r="N62">
        <f t="shared" si="1"/>
        <v>0</v>
      </c>
    </row>
    <row r="63" spans="1:14" x14ac:dyDescent="0.3">
      <c r="A63">
        <v>2</v>
      </c>
      <c r="B63" s="1">
        <v>45791</v>
      </c>
      <c r="C63" s="1">
        <v>45778</v>
      </c>
      <c r="D63" t="s">
        <v>40</v>
      </c>
      <c r="E63">
        <v>6</v>
      </c>
      <c r="F63">
        <v>255734</v>
      </c>
      <c r="G63">
        <v>2.9</v>
      </c>
      <c r="H63">
        <v>741629</v>
      </c>
      <c r="I63">
        <v>742</v>
      </c>
      <c r="J63">
        <v>740887</v>
      </c>
      <c r="K63" s="1">
        <v>45801</v>
      </c>
      <c r="L63" t="s">
        <v>53</v>
      </c>
      <c r="M63" t="str">
        <f t="shared" si="0"/>
        <v>OK</v>
      </c>
      <c r="N63">
        <f t="shared" si="1"/>
        <v>0</v>
      </c>
    </row>
    <row r="64" spans="1:14" x14ac:dyDescent="0.3">
      <c r="A64">
        <v>3</v>
      </c>
      <c r="B64" s="1">
        <v>45818</v>
      </c>
      <c r="C64" s="1">
        <v>45809</v>
      </c>
      <c r="D64" t="s">
        <v>40</v>
      </c>
      <c r="E64">
        <v>6</v>
      </c>
      <c r="F64">
        <v>517407</v>
      </c>
      <c r="G64">
        <v>2.9</v>
      </c>
      <c r="H64">
        <v>1500481</v>
      </c>
      <c r="I64">
        <v>1500</v>
      </c>
      <c r="J64">
        <v>1498981</v>
      </c>
      <c r="K64" s="1">
        <v>45828</v>
      </c>
      <c r="L64" t="s">
        <v>53</v>
      </c>
      <c r="M64" t="str">
        <f t="shared" si="0"/>
        <v>OK</v>
      </c>
      <c r="N64">
        <f t="shared" si="1"/>
        <v>0</v>
      </c>
    </row>
    <row r="65" spans="1:14" x14ac:dyDescent="0.3">
      <c r="A65">
        <v>4</v>
      </c>
      <c r="B65" s="1">
        <v>45842</v>
      </c>
      <c r="C65" s="1">
        <v>45839</v>
      </c>
      <c r="D65" t="s">
        <v>40</v>
      </c>
      <c r="E65">
        <v>6</v>
      </c>
      <c r="F65">
        <v>480028</v>
      </c>
      <c r="G65">
        <v>2.9</v>
      </c>
      <c r="H65">
        <v>1392080</v>
      </c>
      <c r="I65">
        <v>1392</v>
      </c>
      <c r="J65">
        <v>1390688</v>
      </c>
      <c r="K65" s="1">
        <v>45852</v>
      </c>
      <c r="L65" t="s">
        <v>53</v>
      </c>
      <c r="M65" t="str">
        <f t="shared" si="0"/>
        <v>OK</v>
      </c>
      <c r="N65">
        <f t="shared" si="1"/>
        <v>0</v>
      </c>
    </row>
    <row r="66" spans="1:14" x14ac:dyDescent="0.3">
      <c r="A66">
        <v>5</v>
      </c>
      <c r="B66" s="1">
        <v>45887</v>
      </c>
      <c r="C66" s="1">
        <v>45870</v>
      </c>
      <c r="D66" t="s">
        <v>40</v>
      </c>
      <c r="E66">
        <v>6</v>
      </c>
      <c r="F66">
        <v>373756</v>
      </c>
      <c r="G66">
        <v>2.9</v>
      </c>
      <c r="H66">
        <v>1083892</v>
      </c>
      <c r="I66">
        <v>1084</v>
      </c>
      <c r="J66">
        <v>1082808</v>
      </c>
      <c r="K66" s="1">
        <v>45897</v>
      </c>
      <c r="L66" t="s">
        <v>55</v>
      </c>
      <c r="M66" t="str">
        <f t="shared" ref="M66:M129" si="2">IF(ROUND(H66-I66,0)=ROUND(J66,0),"OK","Review")</f>
        <v>OK</v>
      </c>
      <c r="N66">
        <f t="shared" ref="N66:N129" si="3">ROUND(H66-I66-J66,2)</f>
        <v>0</v>
      </c>
    </row>
    <row r="67" spans="1:14" x14ac:dyDescent="0.3">
      <c r="A67">
        <v>6</v>
      </c>
      <c r="B67" s="1">
        <v>45917</v>
      </c>
      <c r="C67" s="1">
        <v>45901</v>
      </c>
      <c r="D67" t="s">
        <v>40</v>
      </c>
      <c r="E67">
        <v>6</v>
      </c>
      <c r="F67">
        <v>276438</v>
      </c>
      <c r="G67">
        <v>2.9</v>
      </c>
      <c r="H67">
        <v>801670</v>
      </c>
      <c r="I67">
        <v>802</v>
      </c>
      <c r="J67">
        <v>800868</v>
      </c>
      <c r="K67" s="1">
        <v>45927</v>
      </c>
      <c r="L67" t="s">
        <v>55</v>
      </c>
      <c r="M67" t="str">
        <f t="shared" si="2"/>
        <v>OK</v>
      </c>
      <c r="N67">
        <f t="shared" si="3"/>
        <v>0</v>
      </c>
    </row>
    <row r="68" spans="1:14" x14ac:dyDescent="0.3">
      <c r="A68">
        <v>7</v>
      </c>
      <c r="B68" s="1">
        <v>45939</v>
      </c>
      <c r="C68" s="1">
        <v>45931</v>
      </c>
      <c r="D68" t="s">
        <v>40</v>
      </c>
      <c r="E68">
        <v>6</v>
      </c>
      <c r="F68">
        <v>88630</v>
      </c>
      <c r="G68">
        <v>2.9</v>
      </c>
      <c r="H68">
        <v>257026</v>
      </c>
      <c r="I68">
        <v>257</v>
      </c>
      <c r="J68">
        <v>256769</v>
      </c>
      <c r="K68" s="1">
        <v>45949</v>
      </c>
      <c r="L68" t="s">
        <v>55</v>
      </c>
      <c r="M68" t="str">
        <f t="shared" si="2"/>
        <v>OK</v>
      </c>
      <c r="N68">
        <f t="shared" si="3"/>
        <v>0</v>
      </c>
    </row>
    <row r="69" spans="1:14" x14ac:dyDescent="0.3">
      <c r="A69">
        <v>8</v>
      </c>
      <c r="B69" s="1">
        <v>45992</v>
      </c>
      <c r="C69" s="1">
        <v>45962</v>
      </c>
      <c r="D69" t="s">
        <v>40</v>
      </c>
      <c r="E69">
        <v>6</v>
      </c>
      <c r="F69">
        <v>73745</v>
      </c>
      <c r="G69">
        <v>2.9</v>
      </c>
      <c r="H69">
        <v>213860</v>
      </c>
      <c r="I69">
        <v>214</v>
      </c>
      <c r="J69">
        <v>213646</v>
      </c>
      <c r="K69" s="1">
        <v>46002</v>
      </c>
      <c r="L69" t="s">
        <v>55</v>
      </c>
      <c r="M69" t="str">
        <f t="shared" si="2"/>
        <v>OK</v>
      </c>
      <c r="N69">
        <f t="shared" si="3"/>
        <v>0</v>
      </c>
    </row>
    <row r="70" spans="1:14" x14ac:dyDescent="0.3">
      <c r="A70">
        <v>9</v>
      </c>
      <c r="B70" s="1">
        <v>46003</v>
      </c>
      <c r="C70" s="1">
        <v>45992</v>
      </c>
      <c r="D70" t="s">
        <v>40</v>
      </c>
      <c r="E70">
        <v>6</v>
      </c>
      <c r="F70">
        <v>82779</v>
      </c>
      <c r="G70">
        <v>2.9</v>
      </c>
      <c r="H70">
        <v>240059</v>
      </c>
      <c r="I70">
        <v>240</v>
      </c>
      <c r="J70">
        <v>239819</v>
      </c>
      <c r="K70" s="1">
        <v>46013</v>
      </c>
      <c r="L70" t="s">
        <v>55</v>
      </c>
      <c r="M70" t="str">
        <f t="shared" si="2"/>
        <v>OK</v>
      </c>
      <c r="N70">
        <f t="shared" si="3"/>
        <v>0</v>
      </c>
    </row>
    <row r="71" spans="1:14" x14ac:dyDescent="0.3">
      <c r="A71">
        <v>10</v>
      </c>
      <c r="B71" s="1">
        <v>46050</v>
      </c>
      <c r="C71" s="1">
        <v>46023</v>
      </c>
      <c r="D71" t="s">
        <v>40</v>
      </c>
      <c r="E71">
        <v>6</v>
      </c>
      <c r="F71">
        <v>68041</v>
      </c>
      <c r="G71">
        <v>2.9</v>
      </c>
      <c r="H71">
        <v>197320</v>
      </c>
      <c r="I71">
        <v>197</v>
      </c>
      <c r="J71">
        <v>197122</v>
      </c>
      <c r="K71" s="1">
        <v>46060</v>
      </c>
      <c r="L71" t="s">
        <v>55</v>
      </c>
      <c r="M71" t="str">
        <f t="shared" si="2"/>
        <v>Review</v>
      </c>
      <c r="N71">
        <f t="shared" si="3"/>
        <v>1</v>
      </c>
    </row>
    <row r="72" spans="1:14" x14ac:dyDescent="0.3">
      <c r="A72">
        <v>11</v>
      </c>
      <c r="B72" s="1">
        <v>46074</v>
      </c>
      <c r="C72" s="1">
        <v>46054</v>
      </c>
      <c r="D72" t="s">
        <v>40</v>
      </c>
      <c r="E72">
        <v>6</v>
      </c>
      <c r="F72">
        <v>58988</v>
      </c>
      <c r="G72">
        <v>2.9</v>
      </c>
      <c r="H72">
        <v>171064</v>
      </c>
      <c r="I72">
        <v>171</v>
      </c>
      <c r="J72">
        <v>170893</v>
      </c>
      <c r="K72" s="1">
        <v>46084</v>
      </c>
      <c r="L72" t="s">
        <v>55</v>
      </c>
      <c r="M72" t="str">
        <f t="shared" si="2"/>
        <v>OK</v>
      </c>
      <c r="N72">
        <f t="shared" si="3"/>
        <v>0</v>
      </c>
    </row>
    <row r="73" spans="1:14" x14ac:dyDescent="0.3">
      <c r="A73">
        <v>12</v>
      </c>
      <c r="B73" s="1">
        <v>46105</v>
      </c>
      <c r="C73" s="1">
        <v>46082</v>
      </c>
      <c r="D73" t="s">
        <v>40</v>
      </c>
      <c r="E73">
        <v>6</v>
      </c>
      <c r="F73">
        <v>145516</v>
      </c>
      <c r="G73">
        <v>2.9</v>
      </c>
      <c r="H73">
        <v>421996</v>
      </c>
      <c r="I73">
        <v>422</v>
      </c>
      <c r="J73">
        <v>421574</v>
      </c>
      <c r="K73" s="1">
        <v>46115</v>
      </c>
      <c r="L73" t="s">
        <v>53</v>
      </c>
      <c r="M73" t="str">
        <f t="shared" si="2"/>
        <v>OK</v>
      </c>
      <c r="N73">
        <f t="shared" si="3"/>
        <v>0</v>
      </c>
    </row>
    <row r="74" spans="1:14" x14ac:dyDescent="0.3">
      <c r="A74">
        <v>1</v>
      </c>
      <c r="B74" s="1">
        <v>46116</v>
      </c>
      <c r="C74" s="1">
        <v>45748</v>
      </c>
      <c r="D74" t="s">
        <v>40</v>
      </c>
      <c r="E74">
        <v>7</v>
      </c>
      <c r="F74">
        <v>207898</v>
      </c>
      <c r="G74">
        <v>2.9</v>
      </c>
      <c r="H74">
        <v>602903</v>
      </c>
      <c r="I74">
        <v>603</v>
      </c>
      <c r="J74">
        <v>602300</v>
      </c>
      <c r="K74" s="1">
        <v>46123</v>
      </c>
      <c r="L74" t="s">
        <v>53</v>
      </c>
      <c r="M74" t="str">
        <f t="shared" si="2"/>
        <v>OK</v>
      </c>
      <c r="N74">
        <f t="shared" si="3"/>
        <v>0</v>
      </c>
    </row>
    <row r="75" spans="1:14" x14ac:dyDescent="0.3">
      <c r="A75">
        <v>2</v>
      </c>
      <c r="B75" s="1">
        <v>45791</v>
      </c>
      <c r="C75" s="1">
        <v>45778</v>
      </c>
      <c r="D75" t="s">
        <v>40</v>
      </c>
      <c r="E75">
        <v>7</v>
      </c>
      <c r="F75">
        <v>286144</v>
      </c>
      <c r="G75">
        <v>2.9</v>
      </c>
      <c r="H75">
        <v>829817</v>
      </c>
      <c r="I75">
        <v>830</v>
      </c>
      <c r="J75">
        <v>828988</v>
      </c>
      <c r="K75" s="1">
        <v>45798</v>
      </c>
      <c r="L75" t="s">
        <v>53</v>
      </c>
      <c r="M75" t="str">
        <f t="shared" si="2"/>
        <v>Review</v>
      </c>
      <c r="N75">
        <f t="shared" si="3"/>
        <v>-1</v>
      </c>
    </row>
    <row r="76" spans="1:14" x14ac:dyDescent="0.3">
      <c r="A76">
        <v>3</v>
      </c>
      <c r="B76" s="1">
        <v>45818</v>
      </c>
      <c r="C76" s="1">
        <v>45809</v>
      </c>
      <c r="D76" t="s">
        <v>40</v>
      </c>
      <c r="E76">
        <v>7</v>
      </c>
      <c r="F76">
        <v>694213</v>
      </c>
      <c r="G76">
        <v>2.9</v>
      </c>
      <c r="H76">
        <v>2013217</v>
      </c>
      <c r="I76">
        <v>2013</v>
      </c>
      <c r="J76">
        <v>2011204</v>
      </c>
      <c r="K76" s="1">
        <v>45825</v>
      </c>
      <c r="L76" t="s">
        <v>53</v>
      </c>
      <c r="M76" t="str">
        <f t="shared" si="2"/>
        <v>OK</v>
      </c>
      <c r="N76">
        <f t="shared" si="3"/>
        <v>0</v>
      </c>
    </row>
    <row r="77" spans="1:14" x14ac:dyDescent="0.3">
      <c r="A77">
        <v>4</v>
      </c>
      <c r="B77" s="1">
        <v>45842</v>
      </c>
      <c r="C77" s="1">
        <v>45839</v>
      </c>
      <c r="D77" t="s">
        <v>40</v>
      </c>
      <c r="E77">
        <v>7</v>
      </c>
      <c r="F77">
        <v>864747</v>
      </c>
      <c r="G77">
        <v>2.9</v>
      </c>
      <c r="H77">
        <v>2507767</v>
      </c>
      <c r="I77">
        <v>2508</v>
      </c>
      <c r="J77">
        <v>2505259</v>
      </c>
      <c r="K77" s="1">
        <v>45849</v>
      </c>
      <c r="L77" t="s">
        <v>53</v>
      </c>
      <c r="M77" t="str">
        <f t="shared" si="2"/>
        <v>OK</v>
      </c>
      <c r="N77">
        <f t="shared" si="3"/>
        <v>0</v>
      </c>
    </row>
    <row r="78" spans="1:14" x14ac:dyDescent="0.3">
      <c r="A78">
        <v>5</v>
      </c>
      <c r="B78" s="1">
        <v>45887</v>
      </c>
      <c r="C78" s="1">
        <v>45870</v>
      </c>
      <c r="D78" t="s">
        <v>40</v>
      </c>
      <c r="E78">
        <v>7</v>
      </c>
      <c r="F78">
        <v>537907</v>
      </c>
      <c r="G78">
        <v>2.9</v>
      </c>
      <c r="H78">
        <v>1559931</v>
      </c>
      <c r="I78">
        <v>1560</v>
      </c>
      <c r="J78">
        <v>1558371</v>
      </c>
      <c r="K78" s="1">
        <v>45894</v>
      </c>
      <c r="L78" t="s">
        <v>53</v>
      </c>
      <c r="M78" t="str">
        <f t="shared" si="2"/>
        <v>OK</v>
      </c>
      <c r="N78">
        <f t="shared" si="3"/>
        <v>0</v>
      </c>
    </row>
    <row r="79" spans="1:14" x14ac:dyDescent="0.3">
      <c r="A79">
        <v>6</v>
      </c>
      <c r="B79" s="1">
        <v>45917</v>
      </c>
      <c r="C79" s="1">
        <v>45901</v>
      </c>
      <c r="D79" t="s">
        <v>40</v>
      </c>
      <c r="E79">
        <v>7</v>
      </c>
      <c r="F79">
        <v>337010</v>
      </c>
      <c r="G79">
        <v>2.9</v>
      </c>
      <c r="H79">
        <v>977328</v>
      </c>
      <c r="I79">
        <v>977</v>
      </c>
      <c r="J79">
        <v>976351</v>
      </c>
      <c r="K79" s="1">
        <v>45924</v>
      </c>
      <c r="L79" t="s">
        <v>53</v>
      </c>
      <c r="M79" t="str">
        <f t="shared" si="2"/>
        <v>OK</v>
      </c>
      <c r="N79">
        <f t="shared" si="3"/>
        <v>0</v>
      </c>
    </row>
    <row r="80" spans="1:14" x14ac:dyDescent="0.3">
      <c r="A80">
        <v>7</v>
      </c>
      <c r="B80" s="1">
        <v>45939</v>
      </c>
      <c r="C80" s="1">
        <v>45931</v>
      </c>
      <c r="D80" t="s">
        <v>40</v>
      </c>
      <c r="E80">
        <v>7</v>
      </c>
      <c r="F80">
        <v>239036</v>
      </c>
      <c r="G80">
        <v>2.9</v>
      </c>
      <c r="H80">
        <v>693206</v>
      </c>
      <c r="I80">
        <v>693</v>
      </c>
      <c r="J80">
        <v>692513</v>
      </c>
      <c r="K80" s="1">
        <v>45946</v>
      </c>
      <c r="L80" t="s">
        <v>53</v>
      </c>
      <c r="M80" t="str">
        <f t="shared" si="2"/>
        <v>OK</v>
      </c>
      <c r="N80">
        <f t="shared" si="3"/>
        <v>0</v>
      </c>
    </row>
    <row r="81" spans="1:14" x14ac:dyDescent="0.3">
      <c r="A81">
        <v>8</v>
      </c>
      <c r="B81" s="1">
        <v>45992</v>
      </c>
      <c r="C81" s="1">
        <v>45962</v>
      </c>
      <c r="D81" t="s">
        <v>40</v>
      </c>
      <c r="E81">
        <v>7</v>
      </c>
      <c r="F81">
        <v>230110</v>
      </c>
      <c r="G81">
        <v>2.9</v>
      </c>
      <c r="H81">
        <v>667318</v>
      </c>
      <c r="I81">
        <v>667</v>
      </c>
      <c r="J81">
        <v>666650</v>
      </c>
      <c r="K81" s="1">
        <v>45999</v>
      </c>
      <c r="L81" t="s">
        <v>53</v>
      </c>
      <c r="M81" t="str">
        <f t="shared" si="2"/>
        <v>Review</v>
      </c>
      <c r="N81">
        <f t="shared" si="3"/>
        <v>1</v>
      </c>
    </row>
    <row r="82" spans="1:14" x14ac:dyDescent="0.3">
      <c r="A82">
        <v>9</v>
      </c>
      <c r="B82" s="1">
        <v>46003</v>
      </c>
      <c r="C82" s="1">
        <v>45992</v>
      </c>
      <c r="D82" t="s">
        <v>40</v>
      </c>
      <c r="E82">
        <v>7</v>
      </c>
      <c r="F82">
        <v>251404</v>
      </c>
      <c r="G82">
        <v>2.9</v>
      </c>
      <c r="H82">
        <v>729073</v>
      </c>
      <c r="I82">
        <v>729</v>
      </c>
      <c r="J82">
        <v>728344</v>
      </c>
      <c r="K82" s="1">
        <v>46010</v>
      </c>
      <c r="L82" t="s">
        <v>53</v>
      </c>
      <c r="M82" t="str">
        <f t="shared" si="2"/>
        <v>OK</v>
      </c>
      <c r="N82">
        <f t="shared" si="3"/>
        <v>0</v>
      </c>
    </row>
    <row r="83" spans="1:14" x14ac:dyDescent="0.3">
      <c r="A83">
        <v>10</v>
      </c>
      <c r="B83" s="1">
        <v>46050</v>
      </c>
      <c r="C83" s="1">
        <v>46023</v>
      </c>
      <c r="D83" t="s">
        <v>40</v>
      </c>
      <c r="E83">
        <v>7</v>
      </c>
      <c r="F83">
        <v>155774</v>
      </c>
      <c r="G83">
        <v>2.9</v>
      </c>
      <c r="H83">
        <v>451745</v>
      </c>
      <c r="I83">
        <v>452</v>
      </c>
      <c r="J83">
        <v>451293</v>
      </c>
      <c r="K83" s="1">
        <v>46057</v>
      </c>
      <c r="L83" t="s">
        <v>53</v>
      </c>
      <c r="M83" t="str">
        <f t="shared" si="2"/>
        <v>OK</v>
      </c>
      <c r="N83">
        <f t="shared" si="3"/>
        <v>0</v>
      </c>
    </row>
    <row r="84" spans="1:14" x14ac:dyDescent="0.3">
      <c r="A84">
        <v>11</v>
      </c>
      <c r="B84" s="1">
        <v>46074</v>
      </c>
      <c r="C84" s="1">
        <v>46054</v>
      </c>
      <c r="D84" t="s">
        <v>40</v>
      </c>
      <c r="E84">
        <v>7</v>
      </c>
      <c r="F84">
        <v>101237</v>
      </c>
      <c r="G84">
        <v>2.9</v>
      </c>
      <c r="H84">
        <v>293587</v>
      </c>
      <c r="I84">
        <v>294</v>
      </c>
      <c r="J84">
        <v>293294</v>
      </c>
      <c r="K84" s="1">
        <v>46081</v>
      </c>
      <c r="L84" t="s">
        <v>53</v>
      </c>
      <c r="M84" t="str">
        <f t="shared" si="2"/>
        <v>Review</v>
      </c>
      <c r="N84">
        <f t="shared" si="3"/>
        <v>-1</v>
      </c>
    </row>
    <row r="85" spans="1:14" x14ac:dyDescent="0.3">
      <c r="A85">
        <v>12</v>
      </c>
      <c r="B85" s="1">
        <v>46105</v>
      </c>
      <c r="C85" s="1">
        <v>46082</v>
      </c>
      <c r="D85" t="s">
        <v>40</v>
      </c>
      <c r="E85">
        <v>7</v>
      </c>
      <c r="F85">
        <v>150263</v>
      </c>
      <c r="G85">
        <v>2.9</v>
      </c>
      <c r="H85">
        <v>435762</v>
      </c>
      <c r="I85">
        <v>436</v>
      </c>
      <c r="J85">
        <v>435327</v>
      </c>
      <c r="K85" s="1">
        <v>46112</v>
      </c>
      <c r="L85" t="s">
        <v>53</v>
      </c>
      <c r="M85" t="str">
        <f t="shared" si="2"/>
        <v>Review</v>
      </c>
      <c r="N85">
        <f t="shared" si="3"/>
        <v>-1</v>
      </c>
    </row>
    <row r="86" spans="1:14" x14ac:dyDescent="0.3">
      <c r="A86">
        <v>1</v>
      </c>
      <c r="B86" s="1">
        <v>46116</v>
      </c>
      <c r="C86" s="1">
        <v>45748</v>
      </c>
      <c r="D86" t="s">
        <v>40</v>
      </c>
      <c r="E86">
        <v>8</v>
      </c>
      <c r="F86">
        <v>441827</v>
      </c>
      <c r="G86">
        <v>2.67</v>
      </c>
      <c r="H86">
        <v>1179678</v>
      </c>
      <c r="I86">
        <v>1180</v>
      </c>
      <c r="J86">
        <v>1178498</v>
      </c>
      <c r="K86" s="1">
        <v>46131</v>
      </c>
      <c r="L86" t="s">
        <v>53</v>
      </c>
      <c r="M86" t="str">
        <f t="shared" si="2"/>
        <v>OK</v>
      </c>
      <c r="N86">
        <f t="shared" si="3"/>
        <v>0</v>
      </c>
    </row>
    <row r="87" spans="1:14" x14ac:dyDescent="0.3">
      <c r="A87">
        <v>2</v>
      </c>
      <c r="B87" s="1">
        <v>45791</v>
      </c>
      <c r="C87" s="1">
        <v>45778</v>
      </c>
      <c r="D87" t="s">
        <v>40</v>
      </c>
      <c r="E87">
        <v>8</v>
      </c>
      <c r="F87">
        <v>626816</v>
      </c>
      <c r="G87">
        <v>2.67</v>
      </c>
      <c r="H87">
        <v>1673598</v>
      </c>
      <c r="I87">
        <v>1674</v>
      </c>
      <c r="J87">
        <v>1671924</v>
      </c>
      <c r="K87" s="1">
        <v>45806</v>
      </c>
      <c r="L87" t="s">
        <v>53</v>
      </c>
      <c r="M87" t="str">
        <f t="shared" si="2"/>
        <v>OK</v>
      </c>
      <c r="N87">
        <f t="shared" si="3"/>
        <v>0</v>
      </c>
    </row>
    <row r="88" spans="1:14" x14ac:dyDescent="0.3">
      <c r="A88">
        <v>3</v>
      </c>
      <c r="B88" s="1">
        <v>45818</v>
      </c>
      <c r="C88" s="1">
        <v>45809</v>
      </c>
      <c r="D88" t="s">
        <v>40</v>
      </c>
      <c r="E88">
        <v>8</v>
      </c>
      <c r="F88">
        <v>1655025</v>
      </c>
      <c r="G88">
        <v>2.67</v>
      </c>
      <c r="H88">
        <v>4418916</v>
      </c>
      <c r="I88">
        <v>4419</v>
      </c>
      <c r="J88">
        <v>4414497</v>
      </c>
      <c r="K88" s="1">
        <v>45833</v>
      </c>
      <c r="L88" t="s">
        <v>53</v>
      </c>
      <c r="M88" t="str">
        <f t="shared" si="2"/>
        <v>OK</v>
      </c>
      <c r="N88">
        <f t="shared" si="3"/>
        <v>0</v>
      </c>
    </row>
    <row r="89" spans="1:14" x14ac:dyDescent="0.3">
      <c r="A89">
        <v>4</v>
      </c>
      <c r="B89" s="1">
        <v>45842</v>
      </c>
      <c r="C89" s="1">
        <v>45839</v>
      </c>
      <c r="D89" t="s">
        <v>40</v>
      </c>
      <c r="E89">
        <v>8</v>
      </c>
      <c r="F89">
        <v>1651751</v>
      </c>
      <c r="G89">
        <v>2.67</v>
      </c>
      <c r="H89">
        <v>4410175</v>
      </c>
      <c r="I89">
        <v>4410</v>
      </c>
      <c r="J89">
        <v>4405765</v>
      </c>
      <c r="K89" s="1">
        <v>45857</v>
      </c>
      <c r="L89" t="s">
        <v>53</v>
      </c>
      <c r="M89" t="str">
        <f t="shared" si="2"/>
        <v>OK</v>
      </c>
      <c r="N89">
        <f t="shared" si="3"/>
        <v>0</v>
      </c>
    </row>
    <row r="90" spans="1:14" x14ac:dyDescent="0.3">
      <c r="A90">
        <v>5</v>
      </c>
      <c r="B90" s="1">
        <v>45887</v>
      </c>
      <c r="C90" s="1">
        <v>45870</v>
      </c>
      <c r="D90" t="s">
        <v>40</v>
      </c>
      <c r="E90">
        <v>8</v>
      </c>
      <c r="F90">
        <v>993951</v>
      </c>
      <c r="G90">
        <v>2.67</v>
      </c>
      <c r="H90">
        <v>2653850</v>
      </c>
      <c r="I90">
        <v>2654</v>
      </c>
      <c r="J90">
        <v>2651196</v>
      </c>
      <c r="K90" s="1">
        <v>45902</v>
      </c>
      <c r="L90" t="s">
        <v>55</v>
      </c>
      <c r="M90" t="str">
        <f t="shared" si="2"/>
        <v>OK</v>
      </c>
      <c r="N90">
        <f t="shared" si="3"/>
        <v>0</v>
      </c>
    </row>
    <row r="91" spans="1:14" x14ac:dyDescent="0.3">
      <c r="A91">
        <v>6</v>
      </c>
      <c r="B91" s="1">
        <v>45917</v>
      </c>
      <c r="C91" s="1">
        <v>45901</v>
      </c>
      <c r="D91" t="s">
        <v>40</v>
      </c>
      <c r="E91">
        <v>8</v>
      </c>
      <c r="F91">
        <v>691147</v>
      </c>
      <c r="G91">
        <v>2.67</v>
      </c>
      <c r="H91">
        <v>1845362</v>
      </c>
      <c r="I91">
        <v>1845</v>
      </c>
      <c r="J91">
        <v>1843517</v>
      </c>
      <c r="K91" s="1">
        <v>45932</v>
      </c>
      <c r="L91" t="s">
        <v>53</v>
      </c>
      <c r="M91" t="str">
        <f t="shared" si="2"/>
        <v>OK</v>
      </c>
      <c r="N91">
        <f t="shared" si="3"/>
        <v>0</v>
      </c>
    </row>
    <row r="92" spans="1:14" x14ac:dyDescent="0.3">
      <c r="A92">
        <v>7</v>
      </c>
      <c r="B92" s="1">
        <v>45939</v>
      </c>
      <c r="C92" s="1">
        <v>45931</v>
      </c>
      <c r="D92" t="s">
        <v>40</v>
      </c>
      <c r="E92">
        <v>8</v>
      </c>
      <c r="F92">
        <v>380298</v>
      </c>
      <c r="G92">
        <v>2.67</v>
      </c>
      <c r="H92">
        <v>1015396</v>
      </c>
      <c r="I92">
        <v>1015</v>
      </c>
      <c r="J92">
        <v>1014381</v>
      </c>
      <c r="K92" s="1">
        <v>45954</v>
      </c>
      <c r="L92" t="s">
        <v>53</v>
      </c>
      <c r="M92" t="str">
        <f t="shared" si="2"/>
        <v>OK</v>
      </c>
      <c r="N92">
        <f t="shared" si="3"/>
        <v>0</v>
      </c>
    </row>
    <row r="93" spans="1:14" x14ac:dyDescent="0.3">
      <c r="A93">
        <v>8</v>
      </c>
      <c r="B93" s="1">
        <v>45992</v>
      </c>
      <c r="C93" s="1">
        <v>45962</v>
      </c>
      <c r="D93" t="s">
        <v>40</v>
      </c>
      <c r="E93">
        <v>8</v>
      </c>
      <c r="F93">
        <v>590454</v>
      </c>
      <c r="G93">
        <v>2.67</v>
      </c>
      <c r="H93">
        <v>1576511</v>
      </c>
      <c r="I93">
        <v>1577</v>
      </c>
      <c r="J93">
        <v>1574935</v>
      </c>
      <c r="K93" s="1">
        <v>46007</v>
      </c>
      <c r="L93" t="s">
        <v>55</v>
      </c>
      <c r="M93" t="str">
        <f t="shared" si="2"/>
        <v>Review</v>
      </c>
      <c r="N93">
        <f t="shared" si="3"/>
        <v>-1</v>
      </c>
    </row>
    <row r="94" spans="1:14" x14ac:dyDescent="0.3">
      <c r="A94">
        <v>9</v>
      </c>
      <c r="B94" s="1">
        <v>46003</v>
      </c>
      <c r="C94" s="1">
        <v>45992</v>
      </c>
      <c r="D94" t="s">
        <v>40</v>
      </c>
      <c r="E94">
        <v>8</v>
      </c>
      <c r="F94">
        <v>753687</v>
      </c>
      <c r="G94">
        <v>2.67</v>
      </c>
      <c r="H94">
        <v>2012345</v>
      </c>
      <c r="I94">
        <v>2012</v>
      </c>
      <c r="J94">
        <v>2010332</v>
      </c>
      <c r="K94" s="1">
        <v>46018</v>
      </c>
      <c r="L94" t="s">
        <v>55</v>
      </c>
      <c r="M94" t="str">
        <f t="shared" si="2"/>
        <v>Review</v>
      </c>
      <c r="N94">
        <f t="shared" si="3"/>
        <v>1</v>
      </c>
    </row>
    <row r="95" spans="1:14" x14ac:dyDescent="0.3">
      <c r="A95">
        <v>10</v>
      </c>
      <c r="B95" s="1">
        <v>46050</v>
      </c>
      <c r="C95" s="1">
        <v>46023</v>
      </c>
      <c r="D95" t="s">
        <v>40</v>
      </c>
      <c r="E95">
        <v>8</v>
      </c>
      <c r="F95">
        <v>282805</v>
      </c>
      <c r="G95">
        <v>2.67</v>
      </c>
      <c r="H95">
        <v>755091</v>
      </c>
      <c r="I95">
        <v>755</v>
      </c>
      <c r="J95">
        <v>754335</v>
      </c>
      <c r="K95" s="1">
        <v>46065</v>
      </c>
      <c r="L95" t="s">
        <v>53</v>
      </c>
      <c r="M95" t="str">
        <f t="shared" si="2"/>
        <v>Review</v>
      </c>
      <c r="N95">
        <f t="shared" si="3"/>
        <v>1</v>
      </c>
    </row>
    <row r="96" spans="1:14" x14ac:dyDescent="0.3">
      <c r="A96">
        <v>11</v>
      </c>
      <c r="B96" s="1">
        <v>46074</v>
      </c>
      <c r="C96" s="1">
        <v>46054</v>
      </c>
      <c r="D96" t="s">
        <v>40</v>
      </c>
      <c r="E96">
        <v>8</v>
      </c>
      <c r="F96">
        <v>232502</v>
      </c>
      <c r="G96">
        <v>2.67</v>
      </c>
      <c r="H96">
        <v>620781</v>
      </c>
      <c r="I96">
        <v>621</v>
      </c>
      <c r="J96">
        <v>620160</v>
      </c>
      <c r="K96" s="1">
        <v>46089</v>
      </c>
      <c r="L96" t="s">
        <v>53</v>
      </c>
      <c r="M96" t="str">
        <f t="shared" si="2"/>
        <v>OK</v>
      </c>
      <c r="N96">
        <f t="shared" si="3"/>
        <v>0</v>
      </c>
    </row>
    <row r="97" spans="1:14" x14ac:dyDescent="0.3">
      <c r="A97">
        <v>12</v>
      </c>
      <c r="B97" s="1">
        <v>46105</v>
      </c>
      <c r="C97" s="1">
        <v>46082</v>
      </c>
      <c r="D97" t="s">
        <v>40</v>
      </c>
      <c r="E97">
        <v>8</v>
      </c>
      <c r="F97">
        <v>360310</v>
      </c>
      <c r="G97">
        <v>2.67</v>
      </c>
      <c r="H97">
        <v>962027</v>
      </c>
      <c r="I97">
        <v>962</v>
      </c>
      <c r="J97">
        <v>961065</v>
      </c>
      <c r="K97" s="1">
        <v>46120</v>
      </c>
      <c r="L97" t="s">
        <v>53</v>
      </c>
      <c r="M97" t="str">
        <f t="shared" si="2"/>
        <v>OK</v>
      </c>
      <c r="N97">
        <f t="shared" si="3"/>
        <v>0</v>
      </c>
    </row>
    <row r="98" spans="1:14" x14ac:dyDescent="0.3">
      <c r="A98">
        <v>1</v>
      </c>
      <c r="B98" s="1">
        <v>45755</v>
      </c>
      <c r="C98" s="1">
        <v>45748</v>
      </c>
      <c r="D98" t="s">
        <v>40</v>
      </c>
      <c r="E98">
        <v>9</v>
      </c>
      <c r="F98">
        <v>137022</v>
      </c>
      <c r="G98">
        <v>3.4</v>
      </c>
      <c r="H98">
        <v>465873</v>
      </c>
      <c r="I98">
        <v>466</v>
      </c>
      <c r="J98">
        <v>465408</v>
      </c>
      <c r="K98" s="1">
        <v>45770</v>
      </c>
      <c r="L98" t="s">
        <v>53</v>
      </c>
      <c r="M98" t="str">
        <f t="shared" si="2"/>
        <v>Review</v>
      </c>
      <c r="N98">
        <f t="shared" si="3"/>
        <v>-1</v>
      </c>
    </row>
    <row r="99" spans="1:14" x14ac:dyDescent="0.3">
      <c r="A99">
        <v>2</v>
      </c>
      <c r="B99" s="1">
        <v>45789</v>
      </c>
      <c r="C99" s="1">
        <v>45778</v>
      </c>
      <c r="D99" t="s">
        <v>40</v>
      </c>
      <c r="E99">
        <v>9</v>
      </c>
      <c r="F99">
        <v>264196</v>
      </c>
      <c r="G99">
        <v>3.4</v>
      </c>
      <c r="H99">
        <v>898266</v>
      </c>
      <c r="I99">
        <v>898</v>
      </c>
      <c r="J99">
        <v>897368</v>
      </c>
      <c r="K99" s="1">
        <v>45804</v>
      </c>
      <c r="L99" t="s">
        <v>53</v>
      </c>
      <c r="M99" t="str">
        <f t="shared" si="2"/>
        <v>OK</v>
      </c>
      <c r="N99">
        <f t="shared" si="3"/>
        <v>0</v>
      </c>
    </row>
    <row r="100" spans="1:14" x14ac:dyDescent="0.3">
      <c r="A100">
        <v>3</v>
      </c>
      <c r="B100" s="1">
        <v>45817</v>
      </c>
      <c r="C100" s="1">
        <v>45809</v>
      </c>
      <c r="D100" t="s">
        <v>40</v>
      </c>
      <c r="E100">
        <v>9</v>
      </c>
      <c r="F100">
        <v>423789</v>
      </c>
      <c r="G100">
        <v>3.4</v>
      </c>
      <c r="H100">
        <v>1440882</v>
      </c>
      <c r="I100">
        <v>1441</v>
      </c>
      <c r="J100">
        <v>1439441</v>
      </c>
      <c r="K100" s="1">
        <v>45832</v>
      </c>
      <c r="L100" t="s">
        <v>53</v>
      </c>
      <c r="M100" t="str">
        <f t="shared" si="2"/>
        <v>OK</v>
      </c>
      <c r="N100">
        <f t="shared" si="3"/>
        <v>0</v>
      </c>
    </row>
    <row r="101" spans="1:14" x14ac:dyDescent="0.3">
      <c r="A101">
        <v>4</v>
      </c>
      <c r="B101" s="1">
        <v>45852</v>
      </c>
      <c r="C101" s="1">
        <v>45839</v>
      </c>
      <c r="D101" t="s">
        <v>40</v>
      </c>
      <c r="E101">
        <v>9</v>
      </c>
      <c r="F101">
        <v>615882</v>
      </c>
      <c r="G101">
        <v>3.4</v>
      </c>
      <c r="H101">
        <v>2093999</v>
      </c>
      <c r="I101">
        <v>2094</v>
      </c>
      <c r="J101">
        <v>2091905</v>
      </c>
      <c r="K101" s="1">
        <v>45867</v>
      </c>
      <c r="L101" t="s">
        <v>53</v>
      </c>
      <c r="M101" t="str">
        <f t="shared" si="2"/>
        <v>OK</v>
      </c>
      <c r="N101">
        <f t="shared" si="3"/>
        <v>0</v>
      </c>
    </row>
    <row r="102" spans="1:14" x14ac:dyDescent="0.3">
      <c r="A102">
        <v>5</v>
      </c>
      <c r="B102" s="1">
        <v>45883</v>
      </c>
      <c r="C102" s="1">
        <v>45870</v>
      </c>
      <c r="D102" t="s">
        <v>40</v>
      </c>
      <c r="E102">
        <v>9</v>
      </c>
      <c r="F102">
        <v>508221</v>
      </c>
      <c r="G102">
        <v>3.4</v>
      </c>
      <c r="H102">
        <v>1727951</v>
      </c>
      <c r="I102">
        <v>1728</v>
      </c>
      <c r="J102">
        <v>1726223</v>
      </c>
      <c r="K102" s="1">
        <v>45898</v>
      </c>
      <c r="L102" t="s">
        <v>55</v>
      </c>
      <c r="M102" t="str">
        <f t="shared" si="2"/>
        <v>OK</v>
      </c>
      <c r="N102">
        <f t="shared" si="3"/>
        <v>0</v>
      </c>
    </row>
    <row r="103" spans="1:14" x14ac:dyDescent="0.3">
      <c r="A103">
        <v>6</v>
      </c>
      <c r="B103" s="1">
        <v>45908</v>
      </c>
      <c r="C103" s="1">
        <v>45901</v>
      </c>
      <c r="D103" t="s">
        <v>40</v>
      </c>
      <c r="E103">
        <v>9</v>
      </c>
      <c r="F103">
        <v>315109</v>
      </c>
      <c r="G103">
        <v>3.4</v>
      </c>
      <c r="H103">
        <v>1071369</v>
      </c>
      <c r="I103">
        <v>1071</v>
      </c>
      <c r="J103">
        <v>1070298</v>
      </c>
      <c r="K103" s="1">
        <v>45923</v>
      </c>
      <c r="L103" t="s">
        <v>53</v>
      </c>
      <c r="M103" t="str">
        <f t="shared" si="2"/>
        <v>OK</v>
      </c>
      <c r="N103">
        <f t="shared" si="3"/>
        <v>0</v>
      </c>
    </row>
    <row r="104" spans="1:14" x14ac:dyDescent="0.3">
      <c r="A104">
        <v>7</v>
      </c>
      <c r="B104" s="1">
        <v>45957</v>
      </c>
      <c r="C104" s="1">
        <v>45931</v>
      </c>
      <c r="D104" t="s">
        <v>40</v>
      </c>
      <c r="E104">
        <v>9</v>
      </c>
      <c r="F104">
        <v>227708</v>
      </c>
      <c r="G104">
        <v>3.4</v>
      </c>
      <c r="H104">
        <v>774208</v>
      </c>
      <c r="I104">
        <v>774</v>
      </c>
      <c r="J104">
        <v>773434</v>
      </c>
      <c r="K104" s="1">
        <v>45972</v>
      </c>
      <c r="L104" t="s">
        <v>53</v>
      </c>
      <c r="M104" t="str">
        <f t="shared" si="2"/>
        <v>OK</v>
      </c>
      <c r="N104">
        <f t="shared" si="3"/>
        <v>0</v>
      </c>
    </row>
    <row r="105" spans="1:14" x14ac:dyDescent="0.3">
      <c r="A105">
        <v>8</v>
      </c>
      <c r="B105" s="1">
        <v>45973</v>
      </c>
      <c r="C105" s="1">
        <v>45962</v>
      </c>
      <c r="D105" t="s">
        <v>40</v>
      </c>
      <c r="E105">
        <v>9</v>
      </c>
      <c r="F105">
        <v>191891</v>
      </c>
      <c r="G105">
        <v>3.4</v>
      </c>
      <c r="H105">
        <v>652430</v>
      </c>
      <c r="I105">
        <v>652</v>
      </c>
      <c r="J105">
        <v>651777</v>
      </c>
      <c r="K105" s="1">
        <v>45988</v>
      </c>
      <c r="L105" t="s">
        <v>55</v>
      </c>
      <c r="M105" t="str">
        <f t="shared" si="2"/>
        <v>Review</v>
      </c>
      <c r="N105">
        <f t="shared" si="3"/>
        <v>1</v>
      </c>
    </row>
    <row r="106" spans="1:14" x14ac:dyDescent="0.3">
      <c r="A106">
        <v>9</v>
      </c>
      <c r="B106" s="1">
        <v>46003</v>
      </c>
      <c r="C106" s="1">
        <v>45992</v>
      </c>
      <c r="D106" t="s">
        <v>40</v>
      </c>
      <c r="E106">
        <v>9</v>
      </c>
      <c r="F106">
        <v>250326</v>
      </c>
      <c r="G106">
        <v>3.4</v>
      </c>
      <c r="H106">
        <v>851110</v>
      </c>
      <c r="I106">
        <v>851</v>
      </c>
      <c r="J106">
        <v>850259</v>
      </c>
      <c r="K106" s="1">
        <v>46018</v>
      </c>
      <c r="L106" t="s">
        <v>55</v>
      </c>
      <c r="M106" t="str">
        <f t="shared" si="2"/>
        <v>OK</v>
      </c>
      <c r="N106">
        <f t="shared" si="3"/>
        <v>0</v>
      </c>
    </row>
    <row r="107" spans="1:14" x14ac:dyDescent="0.3">
      <c r="A107">
        <v>10</v>
      </c>
      <c r="B107" s="1">
        <v>46030</v>
      </c>
      <c r="C107" s="1">
        <v>46023</v>
      </c>
      <c r="D107" t="s">
        <v>40</v>
      </c>
      <c r="E107">
        <v>9</v>
      </c>
      <c r="F107">
        <v>114966</v>
      </c>
      <c r="G107">
        <v>3.4</v>
      </c>
      <c r="H107">
        <v>390885</v>
      </c>
      <c r="I107">
        <v>391</v>
      </c>
      <c r="J107">
        <v>390494</v>
      </c>
      <c r="K107" s="1">
        <v>46045</v>
      </c>
      <c r="L107" t="s">
        <v>55</v>
      </c>
      <c r="M107" t="str">
        <f t="shared" si="2"/>
        <v>OK</v>
      </c>
      <c r="N107">
        <f t="shared" si="3"/>
        <v>0</v>
      </c>
    </row>
    <row r="108" spans="1:14" x14ac:dyDescent="0.3">
      <c r="A108">
        <v>11</v>
      </c>
      <c r="B108" s="1">
        <v>46073</v>
      </c>
      <c r="C108" s="1">
        <v>46054</v>
      </c>
      <c r="D108" t="s">
        <v>40</v>
      </c>
      <c r="E108">
        <v>9</v>
      </c>
      <c r="F108">
        <v>101644</v>
      </c>
      <c r="G108">
        <v>3.4</v>
      </c>
      <c r="H108">
        <v>345589</v>
      </c>
      <c r="I108">
        <v>346</v>
      </c>
      <c r="J108">
        <v>345243</v>
      </c>
      <c r="K108" s="1">
        <v>46088</v>
      </c>
      <c r="L108" t="s">
        <v>55</v>
      </c>
      <c r="M108" t="str">
        <f t="shared" si="2"/>
        <v>OK</v>
      </c>
      <c r="N108">
        <f t="shared" si="3"/>
        <v>0</v>
      </c>
    </row>
    <row r="109" spans="1:14" x14ac:dyDescent="0.3">
      <c r="A109">
        <v>12</v>
      </c>
      <c r="B109" s="1">
        <v>46088</v>
      </c>
      <c r="C109" s="1">
        <v>46082</v>
      </c>
      <c r="D109" t="s">
        <v>40</v>
      </c>
      <c r="E109">
        <v>9</v>
      </c>
      <c r="F109">
        <v>94005</v>
      </c>
      <c r="G109">
        <v>3.4</v>
      </c>
      <c r="H109">
        <v>319617</v>
      </c>
      <c r="I109">
        <v>320</v>
      </c>
      <c r="J109">
        <v>319297</v>
      </c>
      <c r="K109" s="1">
        <v>46103</v>
      </c>
      <c r="L109" t="s">
        <v>53</v>
      </c>
      <c r="M109" t="str">
        <f t="shared" si="2"/>
        <v>OK</v>
      </c>
      <c r="N109">
        <f t="shared" si="3"/>
        <v>0</v>
      </c>
    </row>
    <row r="110" spans="1:14" x14ac:dyDescent="0.3">
      <c r="A110">
        <v>1</v>
      </c>
      <c r="B110" s="1">
        <v>45789</v>
      </c>
      <c r="C110" s="1">
        <v>45748</v>
      </c>
      <c r="D110" t="s">
        <v>40</v>
      </c>
      <c r="E110">
        <v>10</v>
      </c>
      <c r="F110">
        <v>250800</v>
      </c>
      <c r="G110">
        <v>2.67</v>
      </c>
      <c r="H110">
        <v>669636</v>
      </c>
      <c r="I110">
        <v>670</v>
      </c>
      <c r="J110">
        <v>668966</v>
      </c>
      <c r="K110" s="1">
        <v>45804</v>
      </c>
      <c r="L110" t="s">
        <v>53</v>
      </c>
      <c r="M110" t="str">
        <f t="shared" si="2"/>
        <v>OK</v>
      </c>
      <c r="N110">
        <f t="shared" si="3"/>
        <v>0</v>
      </c>
    </row>
    <row r="111" spans="1:14" x14ac:dyDescent="0.3">
      <c r="A111">
        <v>2</v>
      </c>
      <c r="B111" s="1">
        <v>45818</v>
      </c>
      <c r="C111" s="1">
        <v>45778</v>
      </c>
      <c r="D111" t="s">
        <v>40</v>
      </c>
      <c r="E111">
        <v>10</v>
      </c>
      <c r="F111">
        <v>695400</v>
      </c>
      <c r="G111">
        <v>2.67</v>
      </c>
      <c r="H111">
        <v>1856718</v>
      </c>
      <c r="I111">
        <v>1857</v>
      </c>
      <c r="J111">
        <v>1854861</v>
      </c>
      <c r="K111" s="1">
        <v>45833</v>
      </c>
      <c r="L111" t="s">
        <v>53</v>
      </c>
      <c r="M111" t="str">
        <f t="shared" si="2"/>
        <v>OK</v>
      </c>
      <c r="N111">
        <f t="shared" si="3"/>
        <v>0</v>
      </c>
    </row>
    <row r="112" spans="1:14" x14ac:dyDescent="0.3">
      <c r="A112">
        <v>3</v>
      </c>
      <c r="B112" s="1">
        <v>45845</v>
      </c>
      <c r="C112" s="1">
        <v>45809</v>
      </c>
      <c r="D112" t="s">
        <v>40</v>
      </c>
      <c r="E112">
        <v>10</v>
      </c>
      <c r="F112">
        <v>1079100</v>
      </c>
      <c r="G112">
        <v>2.67</v>
      </c>
      <c r="H112">
        <v>2881197</v>
      </c>
      <c r="I112">
        <v>2881</v>
      </c>
      <c r="J112">
        <v>2878316</v>
      </c>
      <c r="K112" s="1">
        <v>45860</v>
      </c>
      <c r="L112" t="s">
        <v>53</v>
      </c>
      <c r="M112" t="str">
        <f t="shared" si="2"/>
        <v>OK</v>
      </c>
      <c r="N112">
        <f t="shared" si="3"/>
        <v>0</v>
      </c>
    </row>
    <row r="113" spans="1:14" x14ac:dyDescent="0.3">
      <c r="A113">
        <v>4</v>
      </c>
      <c r="B113" s="1">
        <v>45880</v>
      </c>
      <c r="C113" s="1">
        <v>45839</v>
      </c>
      <c r="D113" t="s">
        <v>40</v>
      </c>
      <c r="E113">
        <v>10</v>
      </c>
      <c r="F113">
        <v>1250700</v>
      </c>
      <c r="G113">
        <v>2.67</v>
      </c>
      <c r="H113">
        <v>3339369</v>
      </c>
      <c r="I113">
        <v>3339</v>
      </c>
      <c r="J113">
        <v>3336030</v>
      </c>
      <c r="K113" s="1">
        <v>45895</v>
      </c>
      <c r="L113" t="s">
        <v>53</v>
      </c>
      <c r="M113" t="str">
        <f t="shared" si="2"/>
        <v>OK</v>
      </c>
      <c r="N113">
        <f t="shared" si="3"/>
        <v>0</v>
      </c>
    </row>
    <row r="114" spans="1:14" x14ac:dyDescent="0.3">
      <c r="A114">
        <v>5</v>
      </c>
      <c r="B114" s="1">
        <v>45915</v>
      </c>
      <c r="C114" s="1">
        <v>45870</v>
      </c>
      <c r="D114" t="s">
        <v>40</v>
      </c>
      <c r="E114">
        <v>10</v>
      </c>
      <c r="F114">
        <v>775500</v>
      </c>
      <c r="G114">
        <v>2.67</v>
      </c>
      <c r="H114">
        <v>2070585</v>
      </c>
      <c r="I114">
        <v>2071</v>
      </c>
      <c r="J114">
        <v>2068514</v>
      </c>
      <c r="K114" s="1">
        <v>45930</v>
      </c>
      <c r="L114" t="s">
        <v>53</v>
      </c>
      <c r="M114" t="str">
        <f t="shared" si="2"/>
        <v>OK</v>
      </c>
      <c r="N114">
        <f t="shared" si="3"/>
        <v>0</v>
      </c>
    </row>
    <row r="115" spans="1:14" x14ac:dyDescent="0.3">
      <c r="A115">
        <v>6</v>
      </c>
      <c r="B115" s="1">
        <v>45938</v>
      </c>
      <c r="C115" s="1">
        <v>45901</v>
      </c>
      <c r="D115" t="s">
        <v>40</v>
      </c>
      <c r="E115">
        <v>10</v>
      </c>
      <c r="F115">
        <v>572100</v>
      </c>
      <c r="G115">
        <v>2.67</v>
      </c>
      <c r="H115">
        <v>1527507</v>
      </c>
      <c r="I115">
        <v>1528</v>
      </c>
      <c r="J115">
        <v>1525979</v>
      </c>
      <c r="K115" s="1">
        <v>45953</v>
      </c>
      <c r="L115" t="s">
        <v>53</v>
      </c>
      <c r="M115" t="str">
        <f t="shared" si="2"/>
        <v>OK</v>
      </c>
      <c r="N115">
        <f t="shared" si="3"/>
        <v>0</v>
      </c>
    </row>
    <row r="116" spans="1:14" x14ac:dyDescent="0.3">
      <c r="A116">
        <v>7</v>
      </c>
      <c r="B116" s="1">
        <v>45970</v>
      </c>
      <c r="C116" s="1">
        <v>45931</v>
      </c>
      <c r="D116" t="s">
        <v>40</v>
      </c>
      <c r="E116">
        <v>10</v>
      </c>
      <c r="F116">
        <v>354900</v>
      </c>
      <c r="G116">
        <v>2.67</v>
      </c>
      <c r="H116">
        <v>947583</v>
      </c>
      <c r="I116">
        <v>948</v>
      </c>
      <c r="J116">
        <v>946635</v>
      </c>
      <c r="K116" s="1">
        <v>45985</v>
      </c>
      <c r="L116" t="s">
        <v>55</v>
      </c>
      <c r="M116" t="str">
        <f t="shared" si="2"/>
        <v>OK</v>
      </c>
      <c r="N116">
        <f t="shared" si="3"/>
        <v>0</v>
      </c>
    </row>
    <row r="117" spans="1:14" x14ac:dyDescent="0.3">
      <c r="A117">
        <v>8</v>
      </c>
      <c r="B117" s="1">
        <v>45997</v>
      </c>
      <c r="C117" s="1">
        <v>45962</v>
      </c>
      <c r="D117" t="s">
        <v>40</v>
      </c>
      <c r="E117">
        <v>10</v>
      </c>
      <c r="F117">
        <v>326700</v>
      </c>
      <c r="G117">
        <v>2.67</v>
      </c>
      <c r="H117">
        <v>872289</v>
      </c>
      <c r="I117">
        <v>872</v>
      </c>
      <c r="J117">
        <v>871417</v>
      </c>
      <c r="K117" s="1">
        <v>46012</v>
      </c>
      <c r="L117" t="s">
        <v>55</v>
      </c>
      <c r="M117" t="str">
        <f t="shared" si="2"/>
        <v>OK</v>
      </c>
      <c r="N117">
        <f t="shared" si="3"/>
        <v>0</v>
      </c>
    </row>
    <row r="118" spans="1:14" x14ac:dyDescent="0.3">
      <c r="A118">
        <v>9</v>
      </c>
      <c r="B118" s="1">
        <v>46049</v>
      </c>
      <c r="C118" s="1">
        <v>45992</v>
      </c>
      <c r="D118" t="s">
        <v>40</v>
      </c>
      <c r="E118">
        <v>10</v>
      </c>
      <c r="F118">
        <v>462000</v>
      </c>
      <c r="G118">
        <v>2.67</v>
      </c>
      <c r="H118">
        <v>1233540</v>
      </c>
      <c r="I118">
        <v>1234</v>
      </c>
      <c r="J118">
        <v>1232306</v>
      </c>
      <c r="K118" s="1">
        <v>46064</v>
      </c>
      <c r="L118" t="s">
        <v>55</v>
      </c>
      <c r="M118" t="str">
        <f t="shared" si="2"/>
        <v>OK</v>
      </c>
      <c r="N118">
        <f t="shared" si="3"/>
        <v>0</v>
      </c>
    </row>
    <row r="119" spans="1:14" x14ac:dyDescent="0.3">
      <c r="A119">
        <v>10</v>
      </c>
      <c r="B119" s="1">
        <v>46074</v>
      </c>
      <c r="C119" s="1">
        <v>46023</v>
      </c>
      <c r="D119" t="s">
        <v>40</v>
      </c>
      <c r="E119">
        <v>10</v>
      </c>
      <c r="F119">
        <v>431700</v>
      </c>
      <c r="G119">
        <v>2.67</v>
      </c>
      <c r="H119">
        <v>1152639</v>
      </c>
      <c r="I119">
        <v>1153</v>
      </c>
      <c r="J119">
        <v>1151486</v>
      </c>
      <c r="K119" s="1">
        <v>46089</v>
      </c>
      <c r="L119" t="s">
        <v>55</v>
      </c>
      <c r="M119" t="str">
        <f t="shared" si="2"/>
        <v>OK</v>
      </c>
      <c r="N119">
        <f t="shared" si="3"/>
        <v>0</v>
      </c>
    </row>
    <row r="120" spans="1:14" x14ac:dyDescent="0.3">
      <c r="A120">
        <v>11</v>
      </c>
      <c r="B120" s="1">
        <v>46105</v>
      </c>
      <c r="C120" s="1">
        <v>46054</v>
      </c>
      <c r="D120" t="s">
        <v>40</v>
      </c>
      <c r="E120">
        <v>10</v>
      </c>
      <c r="F120">
        <v>323100</v>
      </c>
      <c r="G120">
        <v>2.67</v>
      </c>
      <c r="H120">
        <v>862677</v>
      </c>
      <c r="I120">
        <v>863</v>
      </c>
      <c r="J120">
        <v>861814</v>
      </c>
      <c r="K120" s="1">
        <v>46120</v>
      </c>
      <c r="L120" t="s">
        <v>53</v>
      </c>
      <c r="M120" t="str">
        <f t="shared" si="2"/>
        <v>OK</v>
      </c>
      <c r="N120">
        <f t="shared" si="3"/>
        <v>0</v>
      </c>
    </row>
    <row r="121" spans="1:14" x14ac:dyDescent="0.3">
      <c r="A121">
        <v>12</v>
      </c>
      <c r="B121" s="1">
        <v>46105</v>
      </c>
      <c r="C121" s="1">
        <v>46082</v>
      </c>
      <c r="D121" t="s">
        <v>40</v>
      </c>
      <c r="E121">
        <v>10</v>
      </c>
      <c r="F121">
        <v>249900</v>
      </c>
      <c r="G121">
        <v>2.67</v>
      </c>
      <c r="H121">
        <v>667233</v>
      </c>
      <c r="I121">
        <v>667</v>
      </c>
      <c r="J121">
        <v>666566</v>
      </c>
      <c r="K121" s="1">
        <v>46120</v>
      </c>
      <c r="L121" t="s">
        <v>53</v>
      </c>
      <c r="M121" t="str">
        <f t="shared" si="2"/>
        <v>OK</v>
      </c>
      <c r="N121">
        <f t="shared" si="3"/>
        <v>0</v>
      </c>
    </row>
    <row r="122" spans="1:14" x14ac:dyDescent="0.3">
      <c r="A122">
        <v>1</v>
      </c>
      <c r="B122" s="1">
        <v>45789</v>
      </c>
      <c r="C122" s="1">
        <v>45748</v>
      </c>
      <c r="D122" t="s">
        <v>40</v>
      </c>
      <c r="E122">
        <v>11</v>
      </c>
      <c r="F122">
        <v>168457</v>
      </c>
      <c r="G122">
        <v>2.67</v>
      </c>
      <c r="H122">
        <v>449779</v>
      </c>
      <c r="I122">
        <v>450</v>
      </c>
      <c r="J122">
        <v>449330</v>
      </c>
      <c r="K122" s="1">
        <v>45804</v>
      </c>
      <c r="L122" t="s">
        <v>53</v>
      </c>
      <c r="M122" t="str">
        <f t="shared" si="2"/>
        <v>Review</v>
      </c>
      <c r="N122">
        <f t="shared" si="3"/>
        <v>-1</v>
      </c>
    </row>
    <row r="123" spans="1:14" x14ac:dyDescent="0.3">
      <c r="A123">
        <v>2</v>
      </c>
      <c r="B123" s="1">
        <v>45818</v>
      </c>
      <c r="C123" s="1">
        <v>45778</v>
      </c>
      <c r="D123" t="s">
        <v>40</v>
      </c>
      <c r="E123">
        <v>11</v>
      </c>
      <c r="F123">
        <v>191144</v>
      </c>
      <c r="G123">
        <v>2.67</v>
      </c>
      <c r="H123">
        <v>510354</v>
      </c>
      <c r="I123">
        <v>510</v>
      </c>
      <c r="J123">
        <v>509843</v>
      </c>
      <c r="K123" s="1">
        <v>45833</v>
      </c>
      <c r="L123" t="s">
        <v>53</v>
      </c>
      <c r="M123" t="str">
        <f t="shared" si="2"/>
        <v>Review</v>
      </c>
      <c r="N123">
        <f t="shared" si="3"/>
        <v>1</v>
      </c>
    </row>
    <row r="124" spans="1:14" x14ac:dyDescent="0.3">
      <c r="A124">
        <v>3</v>
      </c>
      <c r="B124" s="1">
        <v>45845</v>
      </c>
      <c r="C124" s="1">
        <v>45809</v>
      </c>
      <c r="D124" t="s">
        <v>40</v>
      </c>
      <c r="E124">
        <v>11</v>
      </c>
      <c r="F124">
        <v>370909</v>
      </c>
      <c r="G124">
        <v>2.67</v>
      </c>
      <c r="H124">
        <v>990327</v>
      </c>
      <c r="I124">
        <v>990</v>
      </c>
      <c r="J124">
        <v>989337</v>
      </c>
      <c r="K124" s="1">
        <v>45860</v>
      </c>
      <c r="L124" t="s">
        <v>53</v>
      </c>
      <c r="M124" t="str">
        <f t="shared" si="2"/>
        <v>OK</v>
      </c>
      <c r="N124">
        <f t="shared" si="3"/>
        <v>0</v>
      </c>
    </row>
    <row r="125" spans="1:14" x14ac:dyDescent="0.3">
      <c r="A125">
        <v>4</v>
      </c>
      <c r="B125" s="1">
        <v>45880</v>
      </c>
      <c r="C125" s="1">
        <v>45839</v>
      </c>
      <c r="D125" t="s">
        <v>40</v>
      </c>
      <c r="E125">
        <v>11</v>
      </c>
      <c r="F125">
        <v>406505</v>
      </c>
      <c r="G125">
        <v>2.67</v>
      </c>
      <c r="H125">
        <v>1085369</v>
      </c>
      <c r="I125">
        <v>1085</v>
      </c>
      <c r="J125">
        <v>1084283</v>
      </c>
      <c r="K125" s="1">
        <v>45895</v>
      </c>
      <c r="L125" t="s">
        <v>53</v>
      </c>
      <c r="M125" t="str">
        <f t="shared" si="2"/>
        <v>Review</v>
      </c>
      <c r="N125">
        <f t="shared" si="3"/>
        <v>1</v>
      </c>
    </row>
    <row r="126" spans="1:14" x14ac:dyDescent="0.3">
      <c r="A126">
        <v>5</v>
      </c>
      <c r="B126" s="1">
        <v>45915</v>
      </c>
      <c r="C126" s="1">
        <v>45870</v>
      </c>
      <c r="D126" t="s">
        <v>40</v>
      </c>
      <c r="E126">
        <v>11</v>
      </c>
      <c r="F126">
        <v>239028</v>
      </c>
      <c r="G126">
        <v>2.67</v>
      </c>
      <c r="H126">
        <v>638205</v>
      </c>
      <c r="I126">
        <v>638</v>
      </c>
      <c r="J126">
        <v>637567</v>
      </c>
      <c r="K126" s="1">
        <v>45930</v>
      </c>
      <c r="L126" t="s">
        <v>55</v>
      </c>
      <c r="M126" t="str">
        <f t="shared" si="2"/>
        <v>OK</v>
      </c>
      <c r="N126">
        <f t="shared" si="3"/>
        <v>0</v>
      </c>
    </row>
    <row r="127" spans="1:14" x14ac:dyDescent="0.3">
      <c r="A127">
        <v>6</v>
      </c>
      <c r="B127" s="1">
        <v>45938</v>
      </c>
      <c r="C127" s="1">
        <v>45901</v>
      </c>
      <c r="D127" t="s">
        <v>40</v>
      </c>
      <c r="E127">
        <v>11</v>
      </c>
      <c r="F127">
        <v>203462</v>
      </c>
      <c r="G127">
        <v>2.67</v>
      </c>
      <c r="H127">
        <v>543243</v>
      </c>
      <c r="I127">
        <v>543</v>
      </c>
      <c r="J127">
        <v>542700</v>
      </c>
      <c r="K127" s="1">
        <v>45953</v>
      </c>
      <c r="L127" t="s">
        <v>53</v>
      </c>
      <c r="M127" t="str">
        <f t="shared" si="2"/>
        <v>OK</v>
      </c>
      <c r="N127">
        <f t="shared" si="3"/>
        <v>0</v>
      </c>
    </row>
    <row r="128" spans="1:14" x14ac:dyDescent="0.3">
      <c r="A128">
        <v>7</v>
      </c>
      <c r="B128" s="1">
        <v>45970</v>
      </c>
      <c r="C128" s="1">
        <v>45931</v>
      </c>
      <c r="D128" t="s">
        <v>40</v>
      </c>
      <c r="E128">
        <v>11</v>
      </c>
      <c r="F128">
        <v>152718</v>
      </c>
      <c r="G128">
        <v>2.67</v>
      </c>
      <c r="H128">
        <v>407757</v>
      </c>
      <c r="I128">
        <v>408</v>
      </c>
      <c r="J128">
        <v>407349</v>
      </c>
      <c r="K128" s="1">
        <v>45985</v>
      </c>
      <c r="L128" t="s">
        <v>53</v>
      </c>
      <c r="M128" t="str">
        <f t="shared" si="2"/>
        <v>OK</v>
      </c>
      <c r="N128">
        <f t="shared" si="3"/>
        <v>0</v>
      </c>
    </row>
    <row r="129" spans="1:14" x14ac:dyDescent="0.3">
      <c r="A129">
        <v>8</v>
      </c>
      <c r="B129" s="1">
        <v>45997</v>
      </c>
      <c r="C129" s="1">
        <v>45962</v>
      </c>
      <c r="D129" t="s">
        <v>40</v>
      </c>
      <c r="E129">
        <v>11</v>
      </c>
      <c r="F129">
        <v>144096</v>
      </c>
      <c r="G129">
        <v>2.67</v>
      </c>
      <c r="H129">
        <v>384736</v>
      </c>
      <c r="I129">
        <v>385</v>
      </c>
      <c r="J129">
        <v>384352</v>
      </c>
      <c r="K129" s="1">
        <v>46012</v>
      </c>
      <c r="L129" t="s">
        <v>55</v>
      </c>
      <c r="M129" t="str">
        <f t="shared" si="2"/>
        <v>Review</v>
      </c>
      <c r="N129">
        <f t="shared" si="3"/>
        <v>-1</v>
      </c>
    </row>
    <row r="130" spans="1:14" x14ac:dyDescent="0.3">
      <c r="A130">
        <v>9</v>
      </c>
      <c r="B130" s="1">
        <v>46049</v>
      </c>
      <c r="C130" s="1">
        <v>45992</v>
      </c>
      <c r="D130" t="s">
        <v>40</v>
      </c>
      <c r="E130">
        <v>11</v>
      </c>
      <c r="F130">
        <v>197919</v>
      </c>
      <c r="G130">
        <v>2.67</v>
      </c>
      <c r="H130">
        <v>528443</v>
      </c>
      <c r="I130">
        <v>528</v>
      </c>
      <c r="J130">
        <v>527914</v>
      </c>
      <c r="K130" s="1">
        <v>46064</v>
      </c>
      <c r="L130" t="s">
        <v>55</v>
      </c>
      <c r="M130" t="str">
        <f t="shared" ref="M130:M193" si="4">IF(ROUND(H130-I130,0)=ROUND(J130,0),"OK","Review")</f>
        <v>Review</v>
      </c>
      <c r="N130">
        <f t="shared" ref="N130:N193" si="5">ROUND(H130-I130-J130,2)</f>
        <v>1</v>
      </c>
    </row>
    <row r="131" spans="1:14" x14ac:dyDescent="0.3">
      <c r="A131">
        <v>10</v>
      </c>
      <c r="B131" s="1">
        <v>46074</v>
      </c>
      <c r="C131" s="1">
        <v>46023</v>
      </c>
      <c r="D131" t="s">
        <v>40</v>
      </c>
      <c r="E131">
        <v>11</v>
      </c>
      <c r="F131">
        <v>87138</v>
      </c>
      <c r="G131">
        <v>2.67</v>
      </c>
      <c r="H131">
        <v>232658</v>
      </c>
      <c r="I131">
        <v>233</v>
      </c>
      <c r="J131">
        <v>232425</v>
      </c>
      <c r="K131" s="1">
        <v>46089</v>
      </c>
      <c r="L131" t="s">
        <v>53</v>
      </c>
      <c r="M131" t="str">
        <f t="shared" si="4"/>
        <v>OK</v>
      </c>
      <c r="N131">
        <f t="shared" si="5"/>
        <v>0</v>
      </c>
    </row>
    <row r="132" spans="1:14" x14ac:dyDescent="0.3">
      <c r="A132">
        <v>11</v>
      </c>
      <c r="B132" s="1">
        <v>46105</v>
      </c>
      <c r="C132" s="1">
        <v>46054</v>
      </c>
      <c r="D132" t="s">
        <v>40</v>
      </c>
      <c r="E132">
        <v>11</v>
      </c>
      <c r="F132">
        <v>62945</v>
      </c>
      <c r="G132">
        <v>2.67</v>
      </c>
      <c r="H132">
        <v>168062</v>
      </c>
      <c r="I132">
        <v>168</v>
      </c>
      <c r="J132">
        <v>167894</v>
      </c>
      <c r="K132" s="1">
        <v>46120</v>
      </c>
      <c r="L132" t="s">
        <v>53</v>
      </c>
      <c r="M132" t="str">
        <f t="shared" si="4"/>
        <v>OK</v>
      </c>
      <c r="N132">
        <f t="shared" si="5"/>
        <v>0</v>
      </c>
    </row>
    <row r="133" spans="1:14" x14ac:dyDescent="0.3">
      <c r="A133">
        <v>12</v>
      </c>
      <c r="B133" s="1">
        <v>46105</v>
      </c>
      <c r="C133" s="1">
        <v>46082</v>
      </c>
      <c r="D133" t="s">
        <v>40</v>
      </c>
      <c r="E133">
        <v>11</v>
      </c>
      <c r="F133">
        <v>76165</v>
      </c>
      <c r="G133">
        <v>2.67</v>
      </c>
      <c r="H133">
        <v>203360</v>
      </c>
      <c r="I133">
        <v>203</v>
      </c>
      <c r="J133">
        <v>203156</v>
      </c>
      <c r="K133" s="1">
        <v>46120</v>
      </c>
      <c r="L133" t="s">
        <v>53</v>
      </c>
      <c r="M133" t="str">
        <f t="shared" si="4"/>
        <v>Review</v>
      </c>
      <c r="N133">
        <f t="shared" si="5"/>
        <v>1</v>
      </c>
    </row>
    <row r="134" spans="1:14" x14ac:dyDescent="0.3">
      <c r="A134">
        <v>1</v>
      </c>
      <c r="B134" s="1">
        <v>45755</v>
      </c>
      <c r="C134" s="1">
        <v>45748</v>
      </c>
      <c r="D134" t="s">
        <v>40</v>
      </c>
      <c r="E134">
        <v>12</v>
      </c>
      <c r="F134">
        <v>95760</v>
      </c>
      <c r="G134">
        <v>3.4</v>
      </c>
      <c r="H134">
        <v>325584</v>
      </c>
      <c r="I134">
        <v>326</v>
      </c>
      <c r="J134">
        <v>325258</v>
      </c>
      <c r="K134" s="1">
        <v>45765</v>
      </c>
      <c r="L134" t="s">
        <v>53</v>
      </c>
      <c r="M134" t="str">
        <f t="shared" si="4"/>
        <v>OK</v>
      </c>
      <c r="N134">
        <f t="shared" si="5"/>
        <v>0</v>
      </c>
    </row>
    <row r="135" spans="1:14" x14ac:dyDescent="0.3">
      <c r="A135">
        <v>2</v>
      </c>
      <c r="B135" s="1">
        <v>45789</v>
      </c>
      <c r="C135" s="1">
        <v>45778</v>
      </c>
      <c r="D135" t="s">
        <v>40</v>
      </c>
      <c r="E135">
        <v>12</v>
      </c>
      <c r="F135">
        <v>329640</v>
      </c>
      <c r="G135">
        <v>3.4</v>
      </c>
      <c r="H135">
        <v>1120776</v>
      </c>
      <c r="I135">
        <v>1121</v>
      </c>
      <c r="J135">
        <v>1119655</v>
      </c>
      <c r="K135" s="1">
        <v>45799</v>
      </c>
      <c r="L135" t="s">
        <v>53</v>
      </c>
      <c r="M135" t="str">
        <f t="shared" si="4"/>
        <v>OK</v>
      </c>
      <c r="N135">
        <f t="shared" si="5"/>
        <v>0</v>
      </c>
    </row>
    <row r="136" spans="1:14" x14ac:dyDescent="0.3">
      <c r="A136">
        <v>3</v>
      </c>
      <c r="B136" s="1">
        <v>45817</v>
      </c>
      <c r="C136" s="1">
        <v>45809</v>
      </c>
      <c r="D136" t="s">
        <v>40</v>
      </c>
      <c r="E136">
        <v>12</v>
      </c>
      <c r="F136">
        <v>507120</v>
      </c>
      <c r="G136">
        <v>3.4</v>
      </c>
      <c r="H136">
        <v>1724208</v>
      </c>
      <c r="I136">
        <v>1724</v>
      </c>
      <c r="J136">
        <v>1722484</v>
      </c>
      <c r="K136" s="1">
        <v>45827</v>
      </c>
      <c r="L136" t="s">
        <v>53</v>
      </c>
      <c r="M136" t="str">
        <f t="shared" si="4"/>
        <v>OK</v>
      </c>
      <c r="N136">
        <f t="shared" si="5"/>
        <v>0</v>
      </c>
    </row>
    <row r="137" spans="1:14" x14ac:dyDescent="0.3">
      <c r="A137">
        <v>4</v>
      </c>
      <c r="B137" s="1">
        <v>45852</v>
      </c>
      <c r="C137" s="1">
        <v>45839</v>
      </c>
      <c r="D137" t="s">
        <v>40</v>
      </c>
      <c r="E137">
        <v>12</v>
      </c>
      <c r="F137">
        <v>557640</v>
      </c>
      <c r="G137">
        <v>3.4</v>
      </c>
      <c r="H137">
        <v>1895976</v>
      </c>
      <c r="I137">
        <v>1896</v>
      </c>
      <c r="J137">
        <v>1894080</v>
      </c>
      <c r="K137" s="1">
        <v>45862</v>
      </c>
      <c r="L137" t="s">
        <v>53</v>
      </c>
      <c r="M137" t="str">
        <f t="shared" si="4"/>
        <v>OK</v>
      </c>
      <c r="N137">
        <f t="shared" si="5"/>
        <v>0</v>
      </c>
    </row>
    <row r="138" spans="1:14" x14ac:dyDescent="0.3">
      <c r="A138">
        <v>5</v>
      </c>
      <c r="B138" s="1">
        <v>45883</v>
      </c>
      <c r="C138" s="1">
        <v>45870</v>
      </c>
      <c r="D138" t="s">
        <v>40</v>
      </c>
      <c r="E138">
        <v>12</v>
      </c>
      <c r="F138">
        <v>366120</v>
      </c>
      <c r="G138">
        <v>3.4</v>
      </c>
      <c r="H138">
        <v>1244808</v>
      </c>
      <c r="I138">
        <v>1245</v>
      </c>
      <c r="J138">
        <v>1243563</v>
      </c>
      <c r="K138" s="1">
        <v>45893</v>
      </c>
      <c r="L138" t="s">
        <v>55</v>
      </c>
      <c r="M138" t="str">
        <f t="shared" si="4"/>
        <v>OK</v>
      </c>
      <c r="N138">
        <f t="shared" si="5"/>
        <v>0</v>
      </c>
    </row>
    <row r="139" spans="1:14" x14ac:dyDescent="0.3">
      <c r="A139">
        <v>6</v>
      </c>
      <c r="B139" s="1">
        <v>45908</v>
      </c>
      <c r="C139" s="1">
        <v>45901</v>
      </c>
      <c r="D139" t="s">
        <v>40</v>
      </c>
      <c r="E139">
        <v>12</v>
      </c>
      <c r="F139">
        <v>324480</v>
      </c>
      <c r="G139">
        <v>3.4</v>
      </c>
      <c r="H139">
        <v>1103232</v>
      </c>
      <c r="I139">
        <v>1103</v>
      </c>
      <c r="J139">
        <v>1102129</v>
      </c>
      <c r="K139" s="1">
        <v>45918</v>
      </c>
      <c r="L139" t="s">
        <v>55</v>
      </c>
      <c r="M139" t="str">
        <f t="shared" si="4"/>
        <v>OK</v>
      </c>
      <c r="N139">
        <f t="shared" si="5"/>
        <v>0</v>
      </c>
    </row>
    <row r="140" spans="1:14" x14ac:dyDescent="0.3">
      <c r="A140">
        <v>7</v>
      </c>
      <c r="B140" s="1">
        <v>45957</v>
      </c>
      <c r="C140" s="1">
        <v>45931</v>
      </c>
      <c r="D140" t="s">
        <v>40</v>
      </c>
      <c r="E140">
        <v>12</v>
      </c>
      <c r="F140">
        <v>211560</v>
      </c>
      <c r="G140">
        <v>3.4</v>
      </c>
      <c r="H140">
        <v>719304</v>
      </c>
      <c r="I140">
        <v>719</v>
      </c>
      <c r="J140">
        <v>718585</v>
      </c>
      <c r="K140" s="1">
        <v>45967</v>
      </c>
      <c r="L140" t="s">
        <v>55</v>
      </c>
      <c r="M140" t="str">
        <f t="shared" si="4"/>
        <v>OK</v>
      </c>
      <c r="N140">
        <f t="shared" si="5"/>
        <v>0</v>
      </c>
    </row>
    <row r="141" spans="1:14" x14ac:dyDescent="0.3">
      <c r="A141">
        <v>8</v>
      </c>
      <c r="B141" s="1">
        <v>45973</v>
      </c>
      <c r="C141" s="1">
        <v>45962</v>
      </c>
      <c r="D141" t="s">
        <v>40</v>
      </c>
      <c r="E141">
        <v>12</v>
      </c>
      <c r="F141">
        <v>112920</v>
      </c>
      <c r="G141">
        <v>3.4</v>
      </c>
      <c r="H141">
        <v>383928</v>
      </c>
      <c r="I141">
        <v>384</v>
      </c>
      <c r="J141">
        <v>383544</v>
      </c>
      <c r="K141" s="1">
        <v>45983</v>
      </c>
      <c r="L141" t="s">
        <v>55</v>
      </c>
      <c r="M141" t="str">
        <f t="shared" si="4"/>
        <v>OK</v>
      </c>
      <c r="N141">
        <f t="shared" si="5"/>
        <v>0</v>
      </c>
    </row>
    <row r="142" spans="1:14" x14ac:dyDescent="0.3">
      <c r="A142">
        <v>9</v>
      </c>
      <c r="B142" s="1">
        <v>46003</v>
      </c>
      <c r="C142" s="1">
        <v>45992</v>
      </c>
      <c r="D142" t="s">
        <v>40</v>
      </c>
      <c r="E142">
        <v>12</v>
      </c>
      <c r="F142">
        <v>148800</v>
      </c>
      <c r="G142">
        <v>3.4</v>
      </c>
      <c r="H142">
        <v>505920</v>
      </c>
      <c r="I142">
        <v>506</v>
      </c>
      <c r="J142">
        <v>505414</v>
      </c>
      <c r="K142" s="1">
        <v>46013</v>
      </c>
      <c r="L142" t="s">
        <v>55</v>
      </c>
      <c r="M142" t="str">
        <f t="shared" si="4"/>
        <v>OK</v>
      </c>
      <c r="N142">
        <f t="shared" si="5"/>
        <v>0</v>
      </c>
    </row>
    <row r="143" spans="1:14" x14ac:dyDescent="0.3">
      <c r="A143">
        <v>10</v>
      </c>
      <c r="B143" s="1">
        <v>46030</v>
      </c>
      <c r="C143" s="1">
        <v>46023</v>
      </c>
      <c r="D143" t="s">
        <v>40</v>
      </c>
      <c r="E143">
        <v>12</v>
      </c>
      <c r="F143">
        <v>164880</v>
      </c>
      <c r="G143">
        <v>3.4</v>
      </c>
      <c r="H143">
        <v>560592</v>
      </c>
      <c r="I143">
        <v>561</v>
      </c>
      <c r="J143">
        <v>560031</v>
      </c>
      <c r="K143" s="1">
        <v>46040</v>
      </c>
      <c r="L143" t="s">
        <v>55</v>
      </c>
      <c r="M143" t="str">
        <f t="shared" si="4"/>
        <v>OK</v>
      </c>
      <c r="N143">
        <f t="shared" si="5"/>
        <v>0</v>
      </c>
    </row>
    <row r="144" spans="1:14" x14ac:dyDescent="0.3">
      <c r="A144">
        <v>11</v>
      </c>
      <c r="B144" s="1">
        <v>46073</v>
      </c>
      <c r="C144" s="1">
        <v>46054</v>
      </c>
      <c r="D144" t="s">
        <v>40</v>
      </c>
      <c r="E144">
        <v>12</v>
      </c>
      <c r="F144">
        <v>120840</v>
      </c>
      <c r="G144">
        <v>3.4</v>
      </c>
      <c r="H144">
        <v>410856</v>
      </c>
      <c r="I144">
        <v>411</v>
      </c>
      <c r="J144">
        <v>410445</v>
      </c>
      <c r="K144" s="1">
        <v>46083</v>
      </c>
      <c r="L144" t="s">
        <v>55</v>
      </c>
      <c r="M144" t="str">
        <f t="shared" si="4"/>
        <v>OK</v>
      </c>
      <c r="N144">
        <f t="shared" si="5"/>
        <v>0</v>
      </c>
    </row>
    <row r="145" spans="1:14" x14ac:dyDescent="0.3">
      <c r="A145">
        <v>12</v>
      </c>
      <c r="B145" s="1">
        <v>46088</v>
      </c>
      <c r="C145" s="1">
        <v>46082</v>
      </c>
      <c r="D145" t="s">
        <v>40</v>
      </c>
      <c r="E145">
        <v>12</v>
      </c>
      <c r="F145">
        <v>105720</v>
      </c>
      <c r="G145">
        <v>3.4</v>
      </c>
      <c r="H145">
        <v>359448</v>
      </c>
      <c r="I145">
        <v>359</v>
      </c>
      <c r="J145">
        <v>359089</v>
      </c>
      <c r="K145" s="1">
        <v>46098</v>
      </c>
      <c r="L145" t="s">
        <v>53</v>
      </c>
      <c r="M145" t="str">
        <f t="shared" si="4"/>
        <v>OK</v>
      </c>
      <c r="N145">
        <f t="shared" si="5"/>
        <v>0</v>
      </c>
    </row>
    <row r="146" spans="1:14" x14ac:dyDescent="0.3">
      <c r="A146">
        <v>1</v>
      </c>
      <c r="B146" s="1">
        <v>45755</v>
      </c>
      <c r="C146" s="1">
        <v>45748</v>
      </c>
      <c r="D146" t="s">
        <v>40</v>
      </c>
      <c r="E146">
        <v>13</v>
      </c>
      <c r="F146">
        <v>78720</v>
      </c>
      <c r="G146">
        <v>3.4</v>
      </c>
      <c r="H146">
        <v>267648</v>
      </c>
      <c r="I146">
        <v>268</v>
      </c>
      <c r="J146">
        <v>267380</v>
      </c>
      <c r="K146" s="1">
        <v>45770</v>
      </c>
      <c r="L146" t="s">
        <v>53</v>
      </c>
      <c r="M146" t="str">
        <f t="shared" si="4"/>
        <v>OK</v>
      </c>
      <c r="N146">
        <f t="shared" si="5"/>
        <v>0</v>
      </c>
    </row>
    <row r="147" spans="1:14" x14ac:dyDescent="0.3">
      <c r="A147">
        <v>2</v>
      </c>
      <c r="B147" s="1">
        <v>45789</v>
      </c>
      <c r="C147" s="1">
        <v>45778</v>
      </c>
      <c r="D147" t="s">
        <v>40</v>
      </c>
      <c r="E147">
        <v>13</v>
      </c>
      <c r="F147">
        <v>300480</v>
      </c>
      <c r="G147">
        <v>3.4</v>
      </c>
      <c r="H147">
        <v>1021632</v>
      </c>
      <c r="I147">
        <v>1022</v>
      </c>
      <c r="J147">
        <v>1020610</v>
      </c>
      <c r="K147" s="1">
        <v>45804</v>
      </c>
      <c r="L147" t="s">
        <v>53</v>
      </c>
      <c r="M147" t="str">
        <f t="shared" si="4"/>
        <v>OK</v>
      </c>
      <c r="N147">
        <f t="shared" si="5"/>
        <v>0</v>
      </c>
    </row>
    <row r="148" spans="1:14" x14ac:dyDescent="0.3">
      <c r="A148">
        <v>3</v>
      </c>
      <c r="B148" s="1">
        <v>45817</v>
      </c>
      <c r="C148" s="1">
        <v>45809</v>
      </c>
      <c r="D148" t="s">
        <v>40</v>
      </c>
      <c r="E148">
        <v>13</v>
      </c>
      <c r="F148">
        <v>447600</v>
      </c>
      <c r="G148">
        <v>3.4</v>
      </c>
      <c r="H148">
        <v>1521840</v>
      </c>
      <c r="I148">
        <v>1522</v>
      </c>
      <c r="J148">
        <v>1520318</v>
      </c>
      <c r="K148" s="1">
        <v>45832</v>
      </c>
      <c r="L148" t="s">
        <v>53</v>
      </c>
      <c r="M148" t="str">
        <f t="shared" si="4"/>
        <v>OK</v>
      </c>
      <c r="N148">
        <f t="shared" si="5"/>
        <v>0</v>
      </c>
    </row>
    <row r="149" spans="1:14" x14ac:dyDescent="0.3">
      <c r="A149">
        <v>4</v>
      </c>
      <c r="B149" s="1">
        <v>45852</v>
      </c>
      <c r="C149" s="1">
        <v>45839</v>
      </c>
      <c r="D149" t="s">
        <v>40</v>
      </c>
      <c r="E149">
        <v>13</v>
      </c>
      <c r="F149">
        <v>570960</v>
      </c>
      <c r="G149">
        <v>3.4</v>
      </c>
      <c r="H149">
        <v>1941264</v>
      </c>
      <c r="I149">
        <v>1941</v>
      </c>
      <c r="J149">
        <v>1939323</v>
      </c>
      <c r="K149" s="1">
        <v>45867</v>
      </c>
      <c r="L149" t="s">
        <v>53</v>
      </c>
      <c r="M149" t="str">
        <f t="shared" si="4"/>
        <v>OK</v>
      </c>
      <c r="N149">
        <f t="shared" si="5"/>
        <v>0</v>
      </c>
    </row>
    <row r="150" spans="1:14" x14ac:dyDescent="0.3">
      <c r="A150">
        <v>5</v>
      </c>
      <c r="B150" s="1">
        <v>45883</v>
      </c>
      <c r="C150" s="1">
        <v>45870</v>
      </c>
      <c r="D150" t="s">
        <v>40</v>
      </c>
      <c r="E150">
        <v>13</v>
      </c>
      <c r="F150">
        <v>331320</v>
      </c>
      <c r="G150">
        <v>3.4</v>
      </c>
      <c r="H150">
        <v>1126488</v>
      </c>
      <c r="I150">
        <v>1126</v>
      </c>
      <c r="J150">
        <v>1125362</v>
      </c>
      <c r="K150" s="1">
        <v>45898</v>
      </c>
      <c r="L150" t="s">
        <v>53</v>
      </c>
      <c r="M150" t="str">
        <f t="shared" si="4"/>
        <v>OK</v>
      </c>
      <c r="N150">
        <f t="shared" si="5"/>
        <v>0</v>
      </c>
    </row>
    <row r="151" spans="1:14" x14ac:dyDescent="0.3">
      <c r="A151">
        <v>6</v>
      </c>
      <c r="B151" s="1">
        <v>45908</v>
      </c>
      <c r="C151" s="1">
        <v>45901</v>
      </c>
      <c r="D151" t="s">
        <v>40</v>
      </c>
      <c r="E151">
        <v>13</v>
      </c>
      <c r="F151">
        <v>282960</v>
      </c>
      <c r="G151">
        <v>3.4</v>
      </c>
      <c r="H151">
        <v>962064</v>
      </c>
      <c r="I151">
        <v>962</v>
      </c>
      <c r="J151">
        <v>961102</v>
      </c>
      <c r="K151" s="1">
        <v>45923</v>
      </c>
      <c r="L151" t="s">
        <v>53</v>
      </c>
      <c r="M151" t="str">
        <f t="shared" si="4"/>
        <v>OK</v>
      </c>
      <c r="N151">
        <f t="shared" si="5"/>
        <v>0</v>
      </c>
    </row>
    <row r="152" spans="1:14" x14ac:dyDescent="0.3">
      <c r="A152">
        <v>7</v>
      </c>
      <c r="B152" s="1">
        <v>45957</v>
      </c>
      <c r="C152" s="1">
        <v>45931</v>
      </c>
      <c r="D152" t="s">
        <v>40</v>
      </c>
      <c r="E152">
        <v>13</v>
      </c>
      <c r="F152">
        <v>190920</v>
      </c>
      <c r="G152">
        <v>3.4</v>
      </c>
      <c r="H152">
        <v>649128</v>
      </c>
      <c r="I152">
        <v>649</v>
      </c>
      <c r="J152">
        <v>648479</v>
      </c>
      <c r="K152" s="1">
        <v>45972</v>
      </c>
      <c r="L152" t="s">
        <v>53</v>
      </c>
      <c r="M152" t="str">
        <f t="shared" si="4"/>
        <v>OK</v>
      </c>
      <c r="N152">
        <f t="shared" si="5"/>
        <v>0</v>
      </c>
    </row>
    <row r="153" spans="1:14" x14ac:dyDescent="0.3">
      <c r="A153">
        <v>8</v>
      </c>
      <c r="B153" s="1">
        <v>45973</v>
      </c>
      <c r="C153" s="1">
        <v>45962</v>
      </c>
      <c r="D153" t="s">
        <v>40</v>
      </c>
      <c r="E153">
        <v>13</v>
      </c>
      <c r="F153">
        <v>121920</v>
      </c>
      <c r="G153">
        <v>3.4</v>
      </c>
      <c r="H153">
        <v>414528</v>
      </c>
      <c r="I153">
        <v>415</v>
      </c>
      <c r="J153">
        <v>414113</v>
      </c>
      <c r="K153" s="1">
        <v>45988</v>
      </c>
      <c r="L153" t="s">
        <v>53</v>
      </c>
      <c r="M153" t="str">
        <f t="shared" si="4"/>
        <v>OK</v>
      </c>
      <c r="N153">
        <f t="shared" si="5"/>
        <v>0</v>
      </c>
    </row>
    <row r="154" spans="1:14" x14ac:dyDescent="0.3">
      <c r="A154">
        <v>9</v>
      </c>
      <c r="B154" s="1">
        <v>46003</v>
      </c>
      <c r="C154" s="1">
        <v>45992</v>
      </c>
      <c r="D154" t="s">
        <v>40</v>
      </c>
      <c r="E154">
        <v>13</v>
      </c>
      <c r="F154">
        <v>188520</v>
      </c>
      <c r="G154">
        <v>3.4</v>
      </c>
      <c r="H154">
        <v>640968</v>
      </c>
      <c r="I154">
        <v>641</v>
      </c>
      <c r="J154">
        <v>640327</v>
      </c>
      <c r="K154" s="1">
        <v>46018</v>
      </c>
      <c r="L154" t="s">
        <v>53</v>
      </c>
      <c r="M154" t="str">
        <f t="shared" si="4"/>
        <v>OK</v>
      </c>
      <c r="N154">
        <f t="shared" si="5"/>
        <v>0</v>
      </c>
    </row>
    <row r="155" spans="1:14" x14ac:dyDescent="0.3">
      <c r="A155">
        <v>10</v>
      </c>
      <c r="B155" s="1">
        <v>46030</v>
      </c>
      <c r="C155" s="1">
        <v>46023</v>
      </c>
      <c r="D155" t="s">
        <v>40</v>
      </c>
      <c r="E155">
        <v>13</v>
      </c>
      <c r="F155">
        <v>174000</v>
      </c>
      <c r="G155">
        <v>3.4</v>
      </c>
      <c r="H155">
        <v>591600</v>
      </c>
      <c r="I155">
        <v>592</v>
      </c>
      <c r="J155">
        <v>591008</v>
      </c>
      <c r="K155" s="1">
        <v>46045</v>
      </c>
      <c r="L155" t="s">
        <v>53</v>
      </c>
      <c r="M155" t="str">
        <f t="shared" si="4"/>
        <v>OK</v>
      </c>
      <c r="N155">
        <f t="shared" si="5"/>
        <v>0</v>
      </c>
    </row>
    <row r="156" spans="1:14" x14ac:dyDescent="0.3">
      <c r="A156">
        <v>11</v>
      </c>
      <c r="B156" s="1">
        <v>46073</v>
      </c>
      <c r="C156" s="1">
        <v>46054</v>
      </c>
      <c r="D156" t="s">
        <v>40</v>
      </c>
      <c r="E156">
        <v>13</v>
      </c>
      <c r="F156">
        <v>132240</v>
      </c>
      <c r="G156">
        <v>3.4</v>
      </c>
      <c r="H156">
        <v>449616</v>
      </c>
      <c r="I156">
        <v>450</v>
      </c>
      <c r="J156">
        <v>449166</v>
      </c>
      <c r="K156" s="1">
        <v>46088</v>
      </c>
      <c r="L156" t="s">
        <v>53</v>
      </c>
      <c r="M156" t="str">
        <f t="shared" si="4"/>
        <v>OK</v>
      </c>
      <c r="N156">
        <f t="shared" si="5"/>
        <v>0</v>
      </c>
    </row>
    <row r="157" spans="1:14" x14ac:dyDescent="0.3">
      <c r="A157">
        <v>12</v>
      </c>
      <c r="B157" s="1">
        <v>46088</v>
      </c>
      <c r="C157" s="1">
        <v>46082</v>
      </c>
      <c r="D157" t="s">
        <v>40</v>
      </c>
      <c r="E157">
        <v>13</v>
      </c>
      <c r="F157">
        <v>92880</v>
      </c>
      <c r="G157">
        <v>3.4</v>
      </c>
      <c r="H157">
        <v>315792</v>
      </c>
      <c r="I157">
        <v>316</v>
      </c>
      <c r="J157">
        <v>315476</v>
      </c>
      <c r="K157" s="1">
        <v>46103</v>
      </c>
      <c r="L157" t="s">
        <v>53</v>
      </c>
      <c r="M157" t="str">
        <f t="shared" si="4"/>
        <v>OK</v>
      </c>
      <c r="N157">
        <f t="shared" si="5"/>
        <v>0</v>
      </c>
    </row>
    <row r="158" spans="1:14" x14ac:dyDescent="0.3">
      <c r="A158">
        <v>1</v>
      </c>
      <c r="B158" s="1">
        <v>45782</v>
      </c>
      <c r="C158" s="1">
        <v>45748</v>
      </c>
      <c r="D158" t="s">
        <v>40</v>
      </c>
      <c r="E158">
        <v>14</v>
      </c>
      <c r="F158">
        <v>72960</v>
      </c>
      <c r="G158">
        <v>3.4</v>
      </c>
      <c r="H158">
        <v>248064</v>
      </c>
      <c r="I158">
        <v>248</v>
      </c>
      <c r="J158">
        <v>247816</v>
      </c>
      <c r="K158" s="1">
        <v>45797</v>
      </c>
      <c r="L158" t="s">
        <v>53</v>
      </c>
      <c r="M158" t="str">
        <f t="shared" si="4"/>
        <v>OK</v>
      </c>
      <c r="N158">
        <f t="shared" si="5"/>
        <v>0</v>
      </c>
    </row>
    <row r="159" spans="1:14" x14ac:dyDescent="0.3">
      <c r="A159">
        <v>2</v>
      </c>
      <c r="B159" s="1">
        <v>45805</v>
      </c>
      <c r="C159" s="1">
        <v>45778</v>
      </c>
      <c r="D159" t="s">
        <v>40</v>
      </c>
      <c r="E159">
        <v>14</v>
      </c>
      <c r="F159">
        <v>265800</v>
      </c>
      <c r="G159">
        <v>3.4</v>
      </c>
      <c r="H159">
        <v>903720</v>
      </c>
      <c r="I159">
        <v>904</v>
      </c>
      <c r="J159">
        <v>902816</v>
      </c>
      <c r="K159" s="1">
        <v>45820</v>
      </c>
      <c r="L159" t="s">
        <v>53</v>
      </c>
      <c r="M159" t="str">
        <f t="shared" si="4"/>
        <v>OK</v>
      </c>
      <c r="N159">
        <f t="shared" si="5"/>
        <v>0</v>
      </c>
    </row>
    <row r="160" spans="1:14" x14ac:dyDescent="0.3">
      <c r="A160">
        <v>3</v>
      </c>
      <c r="B160" s="1">
        <v>45834</v>
      </c>
      <c r="C160" s="1">
        <v>45809</v>
      </c>
      <c r="D160" t="s">
        <v>40</v>
      </c>
      <c r="E160">
        <v>14</v>
      </c>
      <c r="F160">
        <v>436680</v>
      </c>
      <c r="G160">
        <v>3.4</v>
      </c>
      <c r="H160">
        <v>1484712</v>
      </c>
      <c r="I160">
        <v>1485</v>
      </c>
      <c r="J160">
        <v>1483227</v>
      </c>
      <c r="K160" s="1">
        <v>45849</v>
      </c>
      <c r="L160" t="s">
        <v>53</v>
      </c>
      <c r="M160" t="str">
        <f t="shared" si="4"/>
        <v>OK</v>
      </c>
      <c r="N160">
        <f t="shared" si="5"/>
        <v>0</v>
      </c>
    </row>
    <row r="161" spans="1:14" x14ac:dyDescent="0.3">
      <c r="A161">
        <v>4</v>
      </c>
      <c r="B161" s="1">
        <v>45854</v>
      </c>
      <c r="C161" s="1">
        <v>45839</v>
      </c>
      <c r="D161" t="s">
        <v>40</v>
      </c>
      <c r="E161">
        <v>14</v>
      </c>
      <c r="F161">
        <v>543960</v>
      </c>
      <c r="G161">
        <v>3.4</v>
      </c>
      <c r="H161">
        <v>1849464</v>
      </c>
      <c r="I161">
        <v>1849</v>
      </c>
      <c r="J161">
        <v>1847615</v>
      </c>
      <c r="K161" s="1">
        <v>45869</v>
      </c>
      <c r="L161" t="s">
        <v>53</v>
      </c>
      <c r="M161" t="str">
        <f t="shared" si="4"/>
        <v>OK</v>
      </c>
      <c r="N161">
        <f t="shared" si="5"/>
        <v>0</v>
      </c>
    </row>
    <row r="162" spans="1:14" x14ac:dyDescent="0.3">
      <c r="A162">
        <v>5</v>
      </c>
      <c r="B162" s="1">
        <v>45887</v>
      </c>
      <c r="C162" s="1">
        <v>45870</v>
      </c>
      <c r="D162" t="s">
        <v>40</v>
      </c>
      <c r="E162">
        <v>14</v>
      </c>
      <c r="F162">
        <v>314760</v>
      </c>
      <c r="G162">
        <v>3.4</v>
      </c>
      <c r="H162">
        <v>1070184</v>
      </c>
      <c r="I162">
        <v>1070</v>
      </c>
      <c r="J162">
        <v>1069114</v>
      </c>
      <c r="K162" s="1">
        <v>45902</v>
      </c>
      <c r="L162" t="s">
        <v>55</v>
      </c>
      <c r="M162" t="str">
        <f t="shared" si="4"/>
        <v>OK</v>
      </c>
      <c r="N162">
        <f t="shared" si="5"/>
        <v>0</v>
      </c>
    </row>
    <row r="163" spans="1:14" x14ac:dyDescent="0.3">
      <c r="A163">
        <v>6</v>
      </c>
      <c r="B163" s="1">
        <v>45912</v>
      </c>
      <c r="C163" s="1">
        <v>45901</v>
      </c>
      <c r="D163" t="s">
        <v>40</v>
      </c>
      <c r="E163">
        <v>14</v>
      </c>
      <c r="F163">
        <v>293880</v>
      </c>
      <c r="G163">
        <v>3.4</v>
      </c>
      <c r="H163">
        <v>999192</v>
      </c>
      <c r="I163">
        <v>999</v>
      </c>
      <c r="J163">
        <v>998193</v>
      </c>
      <c r="K163" s="1">
        <v>45927</v>
      </c>
      <c r="L163" t="s">
        <v>53</v>
      </c>
      <c r="M163" t="str">
        <f t="shared" si="4"/>
        <v>OK</v>
      </c>
      <c r="N163">
        <f t="shared" si="5"/>
        <v>0</v>
      </c>
    </row>
    <row r="164" spans="1:14" x14ac:dyDescent="0.3">
      <c r="A164">
        <v>7</v>
      </c>
      <c r="B164" s="1">
        <v>45946</v>
      </c>
      <c r="C164" s="1">
        <v>45931</v>
      </c>
      <c r="D164" t="s">
        <v>40</v>
      </c>
      <c r="E164">
        <v>14</v>
      </c>
      <c r="F164">
        <v>160320</v>
      </c>
      <c r="G164">
        <v>3.4</v>
      </c>
      <c r="H164">
        <v>545088</v>
      </c>
      <c r="I164">
        <v>545</v>
      </c>
      <c r="J164">
        <v>544543</v>
      </c>
      <c r="K164" s="1">
        <v>45961</v>
      </c>
      <c r="L164" t="s">
        <v>53</v>
      </c>
      <c r="M164" t="str">
        <f t="shared" si="4"/>
        <v>OK</v>
      </c>
      <c r="N164">
        <f t="shared" si="5"/>
        <v>0</v>
      </c>
    </row>
    <row r="165" spans="1:14" x14ac:dyDescent="0.3">
      <c r="A165">
        <v>8</v>
      </c>
      <c r="B165" s="1">
        <v>45992</v>
      </c>
      <c r="C165" s="1">
        <v>45962</v>
      </c>
      <c r="D165" t="s">
        <v>40</v>
      </c>
      <c r="E165">
        <v>14</v>
      </c>
      <c r="F165">
        <v>81600</v>
      </c>
      <c r="G165">
        <v>3.4</v>
      </c>
      <c r="H165">
        <v>277440</v>
      </c>
      <c r="I165">
        <v>277</v>
      </c>
      <c r="J165">
        <v>277163</v>
      </c>
      <c r="K165" s="1">
        <v>46007</v>
      </c>
      <c r="L165" t="s">
        <v>55</v>
      </c>
      <c r="M165" t="str">
        <f t="shared" si="4"/>
        <v>OK</v>
      </c>
      <c r="N165">
        <f t="shared" si="5"/>
        <v>0</v>
      </c>
    </row>
    <row r="166" spans="1:14" x14ac:dyDescent="0.3">
      <c r="A166">
        <v>9</v>
      </c>
      <c r="B166" s="1">
        <v>46003</v>
      </c>
      <c r="C166" s="1">
        <v>45992</v>
      </c>
      <c r="D166" t="s">
        <v>40</v>
      </c>
      <c r="E166">
        <v>14</v>
      </c>
      <c r="F166">
        <v>120960</v>
      </c>
      <c r="G166">
        <v>3.4</v>
      </c>
      <c r="H166">
        <v>411264</v>
      </c>
      <c r="I166">
        <v>411</v>
      </c>
      <c r="J166">
        <v>410853</v>
      </c>
      <c r="K166" s="1">
        <v>46018</v>
      </c>
      <c r="L166" t="s">
        <v>55</v>
      </c>
      <c r="M166" t="str">
        <f t="shared" si="4"/>
        <v>OK</v>
      </c>
      <c r="N166">
        <f t="shared" si="5"/>
        <v>0</v>
      </c>
    </row>
    <row r="167" spans="1:14" x14ac:dyDescent="0.3">
      <c r="A167">
        <v>10</v>
      </c>
      <c r="B167" s="1">
        <v>46029</v>
      </c>
      <c r="C167" s="1">
        <v>46023</v>
      </c>
      <c r="D167" t="s">
        <v>40</v>
      </c>
      <c r="E167">
        <v>14</v>
      </c>
      <c r="F167">
        <v>130320</v>
      </c>
      <c r="G167">
        <v>3.4</v>
      </c>
      <c r="H167">
        <v>443088</v>
      </c>
      <c r="I167">
        <v>443</v>
      </c>
      <c r="J167">
        <v>442645</v>
      </c>
      <c r="K167" s="1">
        <v>46044</v>
      </c>
      <c r="L167" t="s">
        <v>53</v>
      </c>
      <c r="M167" t="str">
        <f t="shared" si="4"/>
        <v>OK</v>
      </c>
      <c r="N167">
        <f t="shared" si="5"/>
        <v>0</v>
      </c>
    </row>
    <row r="168" spans="1:14" x14ac:dyDescent="0.3">
      <c r="A168">
        <v>11</v>
      </c>
      <c r="B168" s="1">
        <v>46074</v>
      </c>
      <c r="C168" s="1">
        <v>46054</v>
      </c>
      <c r="D168" t="s">
        <v>40</v>
      </c>
      <c r="E168">
        <v>14</v>
      </c>
      <c r="F168">
        <v>93240</v>
      </c>
      <c r="G168">
        <v>3.4</v>
      </c>
      <c r="H168">
        <v>317016</v>
      </c>
      <c r="I168">
        <v>317</v>
      </c>
      <c r="J168">
        <v>316699</v>
      </c>
      <c r="K168" s="1">
        <v>46089</v>
      </c>
      <c r="L168" t="s">
        <v>53</v>
      </c>
      <c r="M168" t="str">
        <f t="shared" si="4"/>
        <v>OK</v>
      </c>
      <c r="N168">
        <f t="shared" si="5"/>
        <v>0</v>
      </c>
    </row>
    <row r="169" spans="1:14" x14ac:dyDescent="0.3">
      <c r="A169">
        <v>12</v>
      </c>
      <c r="B169" s="1">
        <v>46112</v>
      </c>
      <c r="C169" s="1">
        <v>46082</v>
      </c>
      <c r="D169" t="s">
        <v>40</v>
      </c>
      <c r="E169">
        <v>14</v>
      </c>
      <c r="F169">
        <v>78120</v>
      </c>
      <c r="G169">
        <v>3.4</v>
      </c>
      <c r="H169">
        <v>265608</v>
      </c>
      <c r="I169">
        <v>266</v>
      </c>
      <c r="J169">
        <v>265342</v>
      </c>
      <c r="K169" s="1">
        <v>46127</v>
      </c>
      <c r="L169" t="s">
        <v>53</v>
      </c>
      <c r="M169" t="str">
        <f t="shared" si="4"/>
        <v>OK</v>
      </c>
      <c r="N169">
        <f t="shared" si="5"/>
        <v>0</v>
      </c>
    </row>
    <row r="170" spans="1:14" x14ac:dyDescent="0.3">
      <c r="A170">
        <v>1</v>
      </c>
      <c r="B170" s="1">
        <v>45789</v>
      </c>
      <c r="C170" s="1">
        <v>45748</v>
      </c>
      <c r="D170" t="s">
        <v>40</v>
      </c>
      <c r="E170">
        <v>15</v>
      </c>
      <c r="F170">
        <v>65022</v>
      </c>
      <c r="G170">
        <v>2.66</v>
      </c>
      <c r="H170">
        <v>172959</v>
      </c>
      <c r="I170">
        <v>173</v>
      </c>
      <c r="J170">
        <v>172786</v>
      </c>
      <c r="K170" s="1">
        <v>45804</v>
      </c>
      <c r="L170" t="s">
        <v>53</v>
      </c>
      <c r="M170" t="str">
        <f t="shared" si="4"/>
        <v>OK</v>
      </c>
      <c r="N170">
        <f t="shared" si="5"/>
        <v>0</v>
      </c>
    </row>
    <row r="171" spans="1:14" x14ac:dyDescent="0.3">
      <c r="A171">
        <v>2</v>
      </c>
      <c r="B171" s="1">
        <v>45818</v>
      </c>
      <c r="C171" s="1">
        <v>45778</v>
      </c>
      <c r="D171" t="s">
        <v>40</v>
      </c>
      <c r="E171">
        <v>15</v>
      </c>
      <c r="F171">
        <v>413562</v>
      </c>
      <c r="G171">
        <v>2.66</v>
      </c>
      <c r="H171">
        <v>1100075</v>
      </c>
      <c r="I171">
        <v>1100</v>
      </c>
      <c r="J171">
        <v>1098975</v>
      </c>
      <c r="K171" s="1">
        <v>45833</v>
      </c>
      <c r="L171" t="s">
        <v>53</v>
      </c>
      <c r="M171" t="str">
        <f t="shared" si="4"/>
        <v>OK</v>
      </c>
      <c r="N171">
        <f t="shared" si="5"/>
        <v>0</v>
      </c>
    </row>
    <row r="172" spans="1:14" x14ac:dyDescent="0.3">
      <c r="A172">
        <v>3</v>
      </c>
      <c r="B172" s="1">
        <v>45845</v>
      </c>
      <c r="C172" s="1">
        <v>45809</v>
      </c>
      <c r="D172" t="s">
        <v>40</v>
      </c>
      <c r="E172">
        <v>15</v>
      </c>
      <c r="F172">
        <v>698968</v>
      </c>
      <c r="G172">
        <v>2.66</v>
      </c>
      <c r="H172">
        <v>1859255</v>
      </c>
      <c r="I172">
        <v>1859</v>
      </c>
      <c r="J172">
        <v>1857396</v>
      </c>
      <c r="K172" s="1">
        <v>45860</v>
      </c>
      <c r="L172" t="s">
        <v>53</v>
      </c>
      <c r="M172" t="str">
        <f t="shared" si="4"/>
        <v>OK</v>
      </c>
      <c r="N172">
        <f t="shared" si="5"/>
        <v>0</v>
      </c>
    </row>
    <row r="173" spans="1:14" x14ac:dyDescent="0.3">
      <c r="A173">
        <v>4</v>
      </c>
      <c r="B173" s="1">
        <v>45880</v>
      </c>
      <c r="C173" s="1">
        <v>45839</v>
      </c>
      <c r="D173" t="s">
        <v>40</v>
      </c>
      <c r="E173">
        <v>15</v>
      </c>
      <c r="F173">
        <v>774886</v>
      </c>
      <c r="G173">
        <v>2.66</v>
      </c>
      <c r="H173">
        <v>2061197</v>
      </c>
      <c r="I173">
        <v>2061</v>
      </c>
      <c r="J173">
        <v>2059136</v>
      </c>
      <c r="K173" s="1">
        <v>45895</v>
      </c>
      <c r="L173" t="s">
        <v>53</v>
      </c>
      <c r="M173" t="str">
        <f t="shared" si="4"/>
        <v>OK</v>
      </c>
      <c r="N173">
        <f t="shared" si="5"/>
        <v>0</v>
      </c>
    </row>
    <row r="174" spans="1:14" x14ac:dyDescent="0.3">
      <c r="A174">
        <v>5</v>
      </c>
      <c r="B174" s="1">
        <v>45915</v>
      </c>
      <c r="C174" s="1">
        <v>45870</v>
      </c>
      <c r="D174" t="s">
        <v>40</v>
      </c>
      <c r="E174">
        <v>15</v>
      </c>
      <c r="F174">
        <v>553290</v>
      </c>
      <c r="G174">
        <v>2.66</v>
      </c>
      <c r="H174">
        <v>1471751</v>
      </c>
      <c r="I174">
        <v>1472</v>
      </c>
      <c r="J174">
        <v>1470280</v>
      </c>
      <c r="K174" s="1">
        <v>45930</v>
      </c>
      <c r="L174" t="s">
        <v>55</v>
      </c>
      <c r="M174" t="str">
        <f t="shared" si="4"/>
        <v>Review</v>
      </c>
      <c r="N174">
        <f t="shared" si="5"/>
        <v>-1</v>
      </c>
    </row>
    <row r="175" spans="1:14" x14ac:dyDescent="0.3">
      <c r="A175">
        <v>6</v>
      </c>
      <c r="B175" s="1">
        <v>45938</v>
      </c>
      <c r="C175" s="1">
        <v>45901</v>
      </c>
      <c r="D175" t="s">
        <v>40</v>
      </c>
      <c r="E175">
        <v>15</v>
      </c>
      <c r="F175">
        <v>535034</v>
      </c>
      <c r="G175">
        <v>2.66</v>
      </c>
      <c r="H175">
        <v>1423190</v>
      </c>
      <c r="I175">
        <v>1423</v>
      </c>
      <c r="J175">
        <v>1421767</v>
      </c>
      <c r="K175" s="1">
        <v>45953</v>
      </c>
      <c r="L175" t="s">
        <v>53</v>
      </c>
      <c r="M175" t="str">
        <f t="shared" si="4"/>
        <v>OK</v>
      </c>
      <c r="N175">
        <f t="shared" si="5"/>
        <v>0</v>
      </c>
    </row>
    <row r="176" spans="1:14" x14ac:dyDescent="0.3">
      <c r="A176">
        <v>7</v>
      </c>
      <c r="B176" s="1">
        <v>45970</v>
      </c>
      <c r="C176" s="1">
        <v>45931</v>
      </c>
      <c r="D176" t="s">
        <v>40</v>
      </c>
      <c r="E176">
        <v>15</v>
      </c>
      <c r="F176">
        <v>180214</v>
      </c>
      <c r="G176">
        <v>2.66</v>
      </c>
      <c r="H176">
        <v>479369</v>
      </c>
      <c r="I176">
        <v>479</v>
      </c>
      <c r="J176">
        <v>478890</v>
      </c>
      <c r="K176" s="1">
        <v>45985</v>
      </c>
      <c r="L176" t="s">
        <v>53</v>
      </c>
      <c r="M176" t="str">
        <f t="shared" si="4"/>
        <v>OK</v>
      </c>
      <c r="N176">
        <f t="shared" si="5"/>
        <v>0</v>
      </c>
    </row>
    <row r="177" spans="1:14" x14ac:dyDescent="0.3">
      <c r="A177">
        <v>8</v>
      </c>
      <c r="B177" s="1">
        <v>45997</v>
      </c>
      <c r="C177" s="1">
        <v>45962</v>
      </c>
      <c r="D177" t="s">
        <v>40</v>
      </c>
      <c r="E177">
        <v>15</v>
      </c>
      <c r="F177">
        <v>62608</v>
      </c>
      <c r="G177">
        <v>2.66</v>
      </c>
      <c r="H177">
        <v>166537</v>
      </c>
      <c r="I177">
        <v>167</v>
      </c>
      <c r="J177">
        <v>166371</v>
      </c>
      <c r="K177" s="1">
        <v>46012</v>
      </c>
      <c r="L177" t="s">
        <v>55</v>
      </c>
      <c r="M177" t="str">
        <f t="shared" si="4"/>
        <v>Review</v>
      </c>
      <c r="N177">
        <f t="shared" si="5"/>
        <v>-1</v>
      </c>
    </row>
    <row r="178" spans="1:14" x14ac:dyDescent="0.3">
      <c r="A178">
        <v>9</v>
      </c>
      <c r="B178" s="1">
        <v>46049</v>
      </c>
      <c r="C178" s="1">
        <v>45992</v>
      </c>
      <c r="D178" t="s">
        <v>40</v>
      </c>
      <c r="E178">
        <v>15</v>
      </c>
      <c r="F178">
        <v>44072</v>
      </c>
      <c r="G178">
        <v>2.66</v>
      </c>
      <c r="H178">
        <v>117232</v>
      </c>
      <c r="I178">
        <v>117</v>
      </c>
      <c r="J178">
        <v>117114</v>
      </c>
      <c r="K178" s="1">
        <v>46064</v>
      </c>
      <c r="L178" t="s">
        <v>55</v>
      </c>
      <c r="M178" t="str">
        <f t="shared" si="4"/>
        <v>Review</v>
      </c>
      <c r="N178">
        <f t="shared" si="5"/>
        <v>1</v>
      </c>
    </row>
    <row r="179" spans="1:14" x14ac:dyDescent="0.3">
      <c r="A179">
        <v>10</v>
      </c>
      <c r="B179" s="1">
        <v>46074</v>
      </c>
      <c r="C179" s="1">
        <v>46023</v>
      </c>
      <c r="D179" t="s">
        <v>40</v>
      </c>
      <c r="E179">
        <v>15</v>
      </c>
      <c r="F179">
        <v>51382</v>
      </c>
      <c r="G179">
        <v>2.66</v>
      </c>
      <c r="H179">
        <v>136676</v>
      </c>
      <c r="I179">
        <v>137</v>
      </c>
      <c r="J179">
        <v>136539</v>
      </c>
      <c r="K179" s="1">
        <v>46089</v>
      </c>
      <c r="L179" t="s">
        <v>55</v>
      </c>
      <c r="M179" t="str">
        <f t="shared" si="4"/>
        <v>OK</v>
      </c>
      <c r="N179">
        <f t="shared" si="5"/>
        <v>0</v>
      </c>
    </row>
    <row r="180" spans="1:14" x14ac:dyDescent="0.3">
      <c r="A180">
        <v>11</v>
      </c>
      <c r="B180" s="1">
        <v>46105</v>
      </c>
      <c r="C180" s="1">
        <v>46054</v>
      </c>
      <c r="D180" t="s">
        <v>40</v>
      </c>
      <c r="E180">
        <v>15</v>
      </c>
      <c r="F180">
        <v>44156</v>
      </c>
      <c r="G180">
        <v>2.66</v>
      </c>
      <c r="H180">
        <v>117455</v>
      </c>
      <c r="I180">
        <v>117</v>
      </c>
      <c r="J180">
        <v>117338</v>
      </c>
      <c r="K180" s="1">
        <v>46120</v>
      </c>
      <c r="L180" t="s">
        <v>55</v>
      </c>
      <c r="M180" t="str">
        <f t="shared" si="4"/>
        <v>OK</v>
      </c>
      <c r="N180">
        <f t="shared" si="5"/>
        <v>0</v>
      </c>
    </row>
    <row r="181" spans="1:14" x14ac:dyDescent="0.3">
      <c r="A181">
        <v>12</v>
      </c>
      <c r="B181" s="1">
        <v>46105</v>
      </c>
      <c r="C181" s="1">
        <v>46082</v>
      </c>
      <c r="D181" t="s">
        <v>40</v>
      </c>
      <c r="E181">
        <v>15</v>
      </c>
      <c r="F181">
        <v>35926</v>
      </c>
      <c r="G181">
        <v>2.66</v>
      </c>
      <c r="H181">
        <v>95563</v>
      </c>
      <c r="I181">
        <v>96</v>
      </c>
      <c r="J181">
        <v>95468</v>
      </c>
      <c r="K181" s="1">
        <v>46120</v>
      </c>
      <c r="L181" t="s">
        <v>53</v>
      </c>
      <c r="M181" t="str">
        <f t="shared" si="4"/>
        <v>Review</v>
      </c>
      <c r="N181">
        <f t="shared" si="5"/>
        <v>-1</v>
      </c>
    </row>
    <row r="182" spans="1:14" x14ac:dyDescent="0.3">
      <c r="A182">
        <v>1</v>
      </c>
      <c r="B182" s="1">
        <v>45789</v>
      </c>
      <c r="C182" s="1">
        <v>45748</v>
      </c>
      <c r="D182" t="s">
        <v>40</v>
      </c>
      <c r="E182">
        <v>16</v>
      </c>
      <c r="F182">
        <v>71310</v>
      </c>
      <c r="G182">
        <v>2.7</v>
      </c>
      <c r="H182">
        <v>192537</v>
      </c>
      <c r="I182">
        <v>193</v>
      </c>
      <c r="J182">
        <v>192344</v>
      </c>
      <c r="K182" s="1">
        <v>45849</v>
      </c>
      <c r="L182" t="s">
        <v>53</v>
      </c>
      <c r="M182" t="str">
        <f t="shared" si="4"/>
        <v>OK</v>
      </c>
      <c r="N182">
        <f t="shared" si="5"/>
        <v>0</v>
      </c>
    </row>
    <row r="183" spans="1:14" x14ac:dyDescent="0.3">
      <c r="A183">
        <v>2</v>
      </c>
      <c r="B183" s="1">
        <v>45818</v>
      </c>
      <c r="C183" s="1">
        <v>45778</v>
      </c>
      <c r="D183" t="s">
        <v>40</v>
      </c>
      <c r="E183">
        <v>16</v>
      </c>
      <c r="F183">
        <v>426274</v>
      </c>
      <c r="G183">
        <v>2.7</v>
      </c>
      <c r="H183">
        <v>1150940</v>
      </c>
      <c r="I183">
        <v>1151</v>
      </c>
      <c r="J183">
        <v>1149789</v>
      </c>
      <c r="K183" s="1">
        <v>45878</v>
      </c>
      <c r="L183" t="s">
        <v>53</v>
      </c>
      <c r="M183" t="str">
        <f t="shared" si="4"/>
        <v>OK</v>
      </c>
      <c r="N183">
        <f t="shared" si="5"/>
        <v>0</v>
      </c>
    </row>
    <row r="184" spans="1:14" x14ac:dyDescent="0.3">
      <c r="A184">
        <v>3</v>
      </c>
      <c r="B184" s="1">
        <v>45845</v>
      </c>
      <c r="C184" s="1">
        <v>45809</v>
      </c>
      <c r="D184" t="s">
        <v>40</v>
      </c>
      <c r="E184">
        <v>16</v>
      </c>
      <c r="F184">
        <v>725368</v>
      </c>
      <c r="G184">
        <v>2.7</v>
      </c>
      <c r="H184">
        <v>1958494</v>
      </c>
      <c r="I184">
        <v>1958</v>
      </c>
      <c r="J184">
        <v>1956535</v>
      </c>
      <c r="K184" s="1">
        <v>45905</v>
      </c>
      <c r="L184" t="s">
        <v>53</v>
      </c>
      <c r="M184" t="str">
        <f t="shared" si="4"/>
        <v>Review</v>
      </c>
      <c r="N184">
        <f t="shared" si="5"/>
        <v>1</v>
      </c>
    </row>
    <row r="185" spans="1:14" x14ac:dyDescent="0.3">
      <c r="A185">
        <v>4</v>
      </c>
      <c r="B185" s="1">
        <v>45880</v>
      </c>
      <c r="C185" s="1">
        <v>45839</v>
      </c>
      <c r="D185" t="s">
        <v>40</v>
      </c>
      <c r="E185">
        <v>16</v>
      </c>
      <c r="F185">
        <v>806478</v>
      </c>
      <c r="G185">
        <v>2.7</v>
      </c>
      <c r="H185">
        <v>2177491</v>
      </c>
      <c r="I185">
        <v>2177</v>
      </c>
      <c r="J185">
        <v>2175313</v>
      </c>
      <c r="K185" s="1">
        <v>45940</v>
      </c>
      <c r="L185" t="s">
        <v>53</v>
      </c>
      <c r="M185" t="str">
        <f t="shared" si="4"/>
        <v>Review</v>
      </c>
      <c r="N185">
        <f t="shared" si="5"/>
        <v>1</v>
      </c>
    </row>
    <row r="186" spans="1:14" x14ac:dyDescent="0.3">
      <c r="A186">
        <v>5</v>
      </c>
      <c r="B186" s="1">
        <v>45915</v>
      </c>
      <c r="C186" s="1">
        <v>45870</v>
      </c>
      <c r="D186" t="s">
        <v>40</v>
      </c>
      <c r="E186">
        <v>16</v>
      </c>
      <c r="F186">
        <v>581134</v>
      </c>
      <c r="G186">
        <v>2.7</v>
      </c>
      <c r="H186">
        <v>1569062</v>
      </c>
      <c r="I186">
        <v>1569</v>
      </c>
      <c r="J186">
        <v>1567493</v>
      </c>
      <c r="K186" s="1">
        <v>45975</v>
      </c>
      <c r="L186" t="s">
        <v>53</v>
      </c>
      <c r="M186" t="str">
        <f t="shared" si="4"/>
        <v>OK</v>
      </c>
      <c r="N186">
        <f t="shared" si="5"/>
        <v>0</v>
      </c>
    </row>
    <row r="187" spans="1:14" x14ac:dyDescent="0.3">
      <c r="A187">
        <v>6</v>
      </c>
      <c r="B187" s="1">
        <v>45938</v>
      </c>
      <c r="C187" s="1">
        <v>45901</v>
      </c>
      <c r="D187" t="s">
        <v>40</v>
      </c>
      <c r="E187">
        <v>16</v>
      </c>
      <c r="F187">
        <v>567424</v>
      </c>
      <c r="G187">
        <v>2.7</v>
      </c>
      <c r="H187">
        <v>1532045</v>
      </c>
      <c r="I187">
        <v>1532</v>
      </c>
      <c r="J187">
        <v>1530513</v>
      </c>
      <c r="K187" s="1">
        <v>45998</v>
      </c>
      <c r="L187" t="s">
        <v>53</v>
      </c>
      <c r="M187" t="str">
        <f t="shared" si="4"/>
        <v>OK</v>
      </c>
      <c r="N187">
        <f t="shared" si="5"/>
        <v>0</v>
      </c>
    </row>
    <row r="188" spans="1:14" x14ac:dyDescent="0.3">
      <c r="A188">
        <v>7</v>
      </c>
      <c r="B188" s="1">
        <v>45970</v>
      </c>
      <c r="C188" s="1">
        <v>45931</v>
      </c>
      <c r="D188" t="s">
        <v>40</v>
      </c>
      <c r="E188">
        <v>16</v>
      </c>
      <c r="F188">
        <v>190720</v>
      </c>
      <c r="G188">
        <v>2.7</v>
      </c>
      <c r="H188">
        <v>514944</v>
      </c>
      <c r="I188">
        <v>515</v>
      </c>
      <c r="J188">
        <v>514429</v>
      </c>
      <c r="K188" s="1">
        <v>46030</v>
      </c>
      <c r="L188" t="s">
        <v>53</v>
      </c>
      <c r="M188" t="str">
        <f t="shared" si="4"/>
        <v>OK</v>
      </c>
      <c r="N188">
        <f t="shared" si="5"/>
        <v>0</v>
      </c>
    </row>
    <row r="189" spans="1:14" x14ac:dyDescent="0.3">
      <c r="A189">
        <v>8</v>
      </c>
      <c r="B189" s="1">
        <v>45997</v>
      </c>
      <c r="C189" s="1">
        <v>45962</v>
      </c>
      <c r="D189" t="s">
        <v>40</v>
      </c>
      <c r="E189">
        <v>16</v>
      </c>
      <c r="F189">
        <v>65346</v>
      </c>
      <c r="G189">
        <v>2.7</v>
      </c>
      <c r="H189">
        <v>176434</v>
      </c>
      <c r="I189">
        <v>176</v>
      </c>
      <c r="J189">
        <v>176258</v>
      </c>
      <c r="K189" s="1">
        <v>46057</v>
      </c>
      <c r="L189" t="s">
        <v>53</v>
      </c>
      <c r="M189" t="str">
        <f t="shared" si="4"/>
        <v>OK</v>
      </c>
      <c r="N189">
        <f t="shared" si="5"/>
        <v>0</v>
      </c>
    </row>
    <row r="190" spans="1:14" x14ac:dyDescent="0.3">
      <c r="A190">
        <v>9</v>
      </c>
      <c r="B190" s="1">
        <v>46049</v>
      </c>
      <c r="C190" s="1">
        <v>45992</v>
      </c>
      <c r="D190" t="s">
        <v>40</v>
      </c>
      <c r="E190">
        <v>16</v>
      </c>
      <c r="F190">
        <v>51492</v>
      </c>
      <c r="G190">
        <v>2.7</v>
      </c>
      <c r="H190">
        <v>139028</v>
      </c>
      <c r="I190">
        <v>139</v>
      </c>
      <c r="J190">
        <v>138889</v>
      </c>
      <c r="K190" s="1">
        <v>46109</v>
      </c>
      <c r="L190" t="s">
        <v>53</v>
      </c>
      <c r="M190" t="str">
        <f t="shared" si="4"/>
        <v>OK</v>
      </c>
      <c r="N190">
        <f t="shared" si="5"/>
        <v>0</v>
      </c>
    </row>
    <row r="191" spans="1:14" x14ac:dyDescent="0.3">
      <c r="A191">
        <v>10</v>
      </c>
      <c r="B191" s="1">
        <v>46074</v>
      </c>
      <c r="C191" s="1">
        <v>46023</v>
      </c>
      <c r="D191" t="s">
        <v>40</v>
      </c>
      <c r="E191">
        <v>16</v>
      </c>
      <c r="F191">
        <v>52996</v>
      </c>
      <c r="G191">
        <v>2.7</v>
      </c>
      <c r="H191">
        <v>143089</v>
      </c>
      <c r="I191">
        <v>143</v>
      </c>
      <c r="J191">
        <v>142946</v>
      </c>
      <c r="K191" s="1">
        <v>46134</v>
      </c>
      <c r="L191" t="s">
        <v>53</v>
      </c>
      <c r="M191" t="str">
        <f t="shared" si="4"/>
        <v>OK</v>
      </c>
      <c r="N191">
        <f t="shared" si="5"/>
        <v>0</v>
      </c>
    </row>
    <row r="192" spans="1:14" x14ac:dyDescent="0.3">
      <c r="A192">
        <v>11</v>
      </c>
      <c r="B192" s="1">
        <v>46105</v>
      </c>
      <c r="C192" s="1">
        <v>46054</v>
      </c>
      <c r="D192" t="s">
        <v>40</v>
      </c>
      <c r="E192">
        <v>16</v>
      </c>
      <c r="F192">
        <v>46190</v>
      </c>
      <c r="G192">
        <v>2.7</v>
      </c>
      <c r="H192">
        <v>124713</v>
      </c>
      <c r="I192">
        <v>125</v>
      </c>
      <c r="J192">
        <v>124588</v>
      </c>
      <c r="K192" s="1">
        <v>46165</v>
      </c>
      <c r="L192" t="s">
        <v>53</v>
      </c>
      <c r="M192" t="str">
        <f t="shared" si="4"/>
        <v>OK</v>
      </c>
      <c r="N192">
        <f t="shared" si="5"/>
        <v>0</v>
      </c>
    </row>
    <row r="193" spans="1:14" x14ac:dyDescent="0.3">
      <c r="A193">
        <v>12</v>
      </c>
      <c r="B193" s="1">
        <v>46105</v>
      </c>
      <c r="C193" s="1">
        <v>46082</v>
      </c>
      <c r="D193" t="s">
        <v>40</v>
      </c>
      <c r="E193">
        <v>16</v>
      </c>
      <c r="F193">
        <v>34570</v>
      </c>
      <c r="G193">
        <v>2.7</v>
      </c>
      <c r="H193">
        <v>93339</v>
      </c>
      <c r="I193">
        <v>93</v>
      </c>
      <c r="J193">
        <v>93246</v>
      </c>
      <c r="K193" s="1">
        <v>46165</v>
      </c>
      <c r="L193" t="s">
        <v>53</v>
      </c>
      <c r="M193" t="str">
        <f t="shared" si="4"/>
        <v>OK</v>
      </c>
      <c r="N193">
        <f t="shared" si="5"/>
        <v>0</v>
      </c>
    </row>
    <row r="194" spans="1:14" x14ac:dyDescent="0.3">
      <c r="A194">
        <v>1</v>
      </c>
      <c r="B194" s="1">
        <v>45754</v>
      </c>
      <c r="C194" s="1">
        <v>45748</v>
      </c>
      <c r="D194" t="s">
        <v>40</v>
      </c>
      <c r="E194">
        <v>17</v>
      </c>
      <c r="F194">
        <v>64986</v>
      </c>
      <c r="G194">
        <v>3.39</v>
      </c>
      <c r="H194">
        <v>220303</v>
      </c>
      <c r="I194">
        <v>220</v>
      </c>
      <c r="J194">
        <v>220082</v>
      </c>
      <c r="K194" s="1">
        <v>45814</v>
      </c>
      <c r="L194" t="s">
        <v>53</v>
      </c>
      <c r="M194" t="str">
        <f t="shared" ref="M194:M257" si="6">IF(ROUND(H194-I194,0)=ROUND(J194,0),"OK","Review")</f>
        <v>Review</v>
      </c>
      <c r="N194">
        <f t="shared" ref="N194:N257" si="7">ROUND(H194-I194-J194,2)</f>
        <v>1</v>
      </c>
    </row>
    <row r="195" spans="1:14" x14ac:dyDescent="0.3">
      <c r="A195">
        <v>2</v>
      </c>
      <c r="B195" s="1">
        <v>45817</v>
      </c>
      <c r="C195" s="1">
        <v>45778</v>
      </c>
      <c r="D195" t="s">
        <v>40</v>
      </c>
      <c r="E195">
        <v>17</v>
      </c>
      <c r="F195">
        <v>420252</v>
      </c>
      <c r="G195">
        <v>3.39</v>
      </c>
      <c r="H195">
        <v>1424654</v>
      </c>
      <c r="I195">
        <v>1425</v>
      </c>
      <c r="J195">
        <v>1423230</v>
      </c>
      <c r="K195" s="1">
        <v>45877</v>
      </c>
      <c r="L195" t="s">
        <v>53</v>
      </c>
      <c r="M195" t="str">
        <f t="shared" si="6"/>
        <v>Review</v>
      </c>
      <c r="N195">
        <f t="shared" si="7"/>
        <v>-1</v>
      </c>
    </row>
    <row r="196" spans="1:14" x14ac:dyDescent="0.3">
      <c r="A196">
        <v>3</v>
      </c>
      <c r="B196" s="1">
        <v>45817</v>
      </c>
      <c r="C196" s="1">
        <v>45809</v>
      </c>
      <c r="D196" t="s">
        <v>40</v>
      </c>
      <c r="E196">
        <v>17</v>
      </c>
      <c r="F196">
        <v>711634</v>
      </c>
      <c r="G196">
        <v>3.39</v>
      </c>
      <c r="H196">
        <v>2412439</v>
      </c>
      <c r="I196">
        <v>2412</v>
      </c>
      <c r="J196">
        <v>2410027</v>
      </c>
      <c r="K196" s="1">
        <v>45877</v>
      </c>
      <c r="L196" t="s">
        <v>53</v>
      </c>
      <c r="M196" t="str">
        <f t="shared" si="6"/>
        <v>OK</v>
      </c>
      <c r="N196">
        <f t="shared" si="7"/>
        <v>0</v>
      </c>
    </row>
    <row r="197" spans="1:14" x14ac:dyDescent="0.3">
      <c r="A197">
        <v>4</v>
      </c>
      <c r="B197" s="1">
        <v>45852</v>
      </c>
      <c r="C197" s="1">
        <v>45839</v>
      </c>
      <c r="D197" t="s">
        <v>40</v>
      </c>
      <c r="E197">
        <v>17</v>
      </c>
      <c r="F197">
        <v>815826</v>
      </c>
      <c r="G197">
        <v>3.39</v>
      </c>
      <c r="H197">
        <v>2765650</v>
      </c>
      <c r="I197">
        <v>2766</v>
      </c>
      <c r="J197">
        <v>2762884</v>
      </c>
      <c r="K197" s="1">
        <v>45912</v>
      </c>
      <c r="L197" t="s">
        <v>53</v>
      </c>
      <c r="M197" t="str">
        <f t="shared" si="6"/>
        <v>OK</v>
      </c>
      <c r="N197">
        <f t="shared" si="7"/>
        <v>0</v>
      </c>
    </row>
    <row r="198" spans="1:14" x14ac:dyDescent="0.3">
      <c r="A198">
        <v>5</v>
      </c>
      <c r="B198" s="1">
        <v>45885</v>
      </c>
      <c r="C198" s="1">
        <v>45870</v>
      </c>
      <c r="D198" t="s">
        <v>40</v>
      </c>
      <c r="E198">
        <v>17</v>
      </c>
      <c r="F198">
        <v>568096</v>
      </c>
      <c r="G198">
        <v>3.39</v>
      </c>
      <c r="H198">
        <v>1925845</v>
      </c>
      <c r="I198">
        <v>1926</v>
      </c>
      <c r="J198">
        <v>1923920</v>
      </c>
      <c r="K198" s="1">
        <v>45945</v>
      </c>
      <c r="L198" t="s">
        <v>55</v>
      </c>
      <c r="M198" t="str">
        <f t="shared" si="6"/>
        <v>Review</v>
      </c>
      <c r="N198">
        <f t="shared" si="7"/>
        <v>-1</v>
      </c>
    </row>
    <row r="199" spans="1:14" x14ac:dyDescent="0.3">
      <c r="A199">
        <v>6</v>
      </c>
      <c r="B199" s="1">
        <v>45908</v>
      </c>
      <c r="C199" s="1">
        <v>45901</v>
      </c>
      <c r="D199" t="s">
        <v>40</v>
      </c>
      <c r="E199">
        <v>17</v>
      </c>
      <c r="F199">
        <v>517522</v>
      </c>
      <c r="G199">
        <v>3.39</v>
      </c>
      <c r="H199">
        <v>1754400</v>
      </c>
      <c r="I199">
        <v>1754</v>
      </c>
      <c r="J199">
        <v>1752645</v>
      </c>
      <c r="K199" s="1">
        <v>45968</v>
      </c>
      <c r="L199" t="s">
        <v>53</v>
      </c>
      <c r="M199" t="str">
        <f t="shared" si="6"/>
        <v>Review</v>
      </c>
      <c r="N199">
        <f t="shared" si="7"/>
        <v>1</v>
      </c>
    </row>
    <row r="200" spans="1:14" x14ac:dyDescent="0.3">
      <c r="A200">
        <v>7</v>
      </c>
      <c r="B200" s="1">
        <v>45944</v>
      </c>
      <c r="C200" s="1">
        <v>45931</v>
      </c>
      <c r="D200" t="s">
        <v>40</v>
      </c>
      <c r="E200">
        <v>17</v>
      </c>
      <c r="F200">
        <v>182192</v>
      </c>
      <c r="G200">
        <v>3.39</v>
      </c>
      <c r="H200">
        <v>617631</v>
      </c>
      <c r="I200">
        <v>618</v>
      </c>
      <c r="J200">
        <v>617013</v>
      </c>
      <c r="K200" s="1">
        <v>46004</v>
      </c>
      <c r="L200" t="s">
        <v>53</v>
      </c>
      <c r="M200" t="str">
        <f t="shared" si="6"/>
        <v>OK</v>
      </c>
      <c r="N200">
        <f t="shared" si="7"/>
        <v>0</v>
      </c>
    </row>
    <row r="201" spans="1:14" x14ac:dyDescent="0.3">
      <c r="A201">
        <v>8</v>
      </c>
      <c r="B201" s="1">
        <v>45973</v>
      </c>
      <c r="C201" s="1">
        <v>45962</v>
      </c>
      <c r="D201" t="s">
        <v>40</v>
      </c>
      <c r="E201">
        <v>17</v>
      </c>
      <c r="F201">
        <v>70412</v>
      </c>
      <c r="G201">
        <v>3.39</v>
      </c>
      <c r="H201">
        <v>238697</v>
      </c>
      <c r="I201">
        <v>239</v>
      </c>
      <c r="J201">
        <v>238458</v>
      </c>
      <c r="K201" s="1">
        <v>46033</v>
      </c>
      <c r="L201" t="s">
        <v>55</v>
      </c>
      <c r="M201" t="str">
        <f t="shared" si="6"/>
        <v>OK</v>
      </c>
      <c r="N201">
        <f t="shared" si="7"/>
        <v>0</v>
      </c>
    </row>
    <row r="202" spans="1:14" x14ac:dyDescent="0.3">
      <c r="A202">
        <v>9</v>
      </c>
      <c r="B202" s="1">
        <v>45996</v>
      </c>
      <c r="C202" s="1">
        <v>45992</v>
      </c>
      <c r="D202" t="s">
        <v>40</v>
      </c>
      <c r="E202">
        <v>17</v>
      </c>
      <c r="F202">
        <v>51260</v>
      </c>
      <c r="G202">
        <v>3.39</v>
      </c>
      <c r="H202">
        <v>173771</v>
      </c>
      <c r="I202">
        <v>174</v>
      </c>
      <c r="J202">
        <v>173598</v>
      </c>
      <c r="K202" s="1">
        <v>46056</v>
      </c>
      <c r="L202" t="s">
        <v>55</v>
      </c>
      <c r="M202" t="str">
        <f t="shared" si="6"/>
        <v>Review</v>
      </c>
      <c r="N202">
        <f t="shared" si="7"/>
        <v>-1</v>
      </c>
    </row>
    <row r="203" spans="1:14" x14ac:dyDescent="0.3">
      <c r="A203">
        <v>10</v>
      </c>
      <c r="B203" s="1">
        <v>45664</v>
      </c>
      <c r="C203" s="1">
        <v>46023</v>
      </c>
      <c r="D203" t="s">
        <v>40</v>
      </c>
      <c r="E203">
        <v>17</v>
      </c>
      <c r="F203">
        <v>66704</v>
      </c>
      <c r="G203">
        <v>3.39</v>
      </c>
      <c r="H203">
        <v>226127</v>
      </c>
      <c r="I203">
        <v>226</v>
      </c>
      <c r="J203">
        <v>225900</v>
      </c>
      <c r="K203" s="1">
        <v>45724</v>
      </c>
      <c r="L203" t="s">
        <v>53</v>
      </c>
      <c r="M203" t="str">
        <f t="shared" si="6"/>
        <v>Review</v>
      </c>
      <c r="N203">
        <f t="shared" si="7"/>
        <v>1</v>
      </c>
    </row>
    <row r="204" spans="1:14" x14ac:dyDescent="0.3">
      <c r="A204">
        <v>11</v>
      </c>
      <c r="B204" s="1">
        <v>45708</v>
      </c>
      <c r="C204" s="1">
        <v>46054</v>
      </c>
      <c r="D204" t="s">
        <v>40</v>
      </c>
      <c r="E204">
        <v>17</v>
      </c>
      <c r="F204">
        <v>49396</v>
      </c>
      <c r="G204">
        <v>3.39</v>
      </c>
      <c r="H204">
        <v>167452</v>
      </c>
      <c r="I204">
        <v>167</v>
      </c>
      <c r="J204">
        <v>167285</v>
      </c>
      <c r="K204" s="1">
        <v>45768</v>
      </c>
      <c r="L204" t="s">
        <v>53</v>
      </c>
      <c r="M204" t="str">
        <f t="shared" si="6"/>
        <v>OK</v>
      </c>
      <c r="N204">
        <f t="shared" si="7"/>
        <v>0</v>
      </c>
    </row>
    <row r="205" spans="1:14" x14ac:dyDescent="0.3">
      <c r="A205">
        <v>12</v>
      </c>
      <c r="B205" s="1">
        <v>46088</v>
      </c>
      <c r="C205" s="1">
        <v>46082</v>
      </c>
      <c r="D205" t="s">
        <v>40</v>
      </c>
      <c r="E205">
        <v>17</v>
      </c>
      <c r="F205">
        <v>38300</v>
      </c>
      <c r="G205">
        <v>3.39</v>
      </c>
      <c r="H205">
        <v>129837</v>
      </c>
      <c r="I205">
        <v>130</v>
      </c>
      <c r="J205">
        <v>129707</v>
      </c>
      <c r="K205" s="1">
        <v>46148</v>
      </c>
      <c r="L205" t="s">
        <v>53</v>
      </c>
      <c r="M205" t="str">
        <f t="shared" si="6"/>
        <v>OK</v>
      </c>
      <c r="N205">
        <f t="shared" si="7"/>
        <v>0</v>
      </c>
    </row>
    <row r="206" spans="1:14" x14ac:dyDescent="0.3">
      <c r="A206">
        <v>1</v>
      </c>
      <c r="B206" s="1">
        <v>45754</v>
      </c>
      <c r="C206" s="1">
        <v>45748</v>
      </c>
      <c r="D206" t="s">
        <v>40</v>
      </c>
      <c r="E206">
        <v>18</v>
      </c>
      <c r="F206">
        <v>70940</v>
      </c>
      <c r="G206">
        <v>2.2000000000000002</v>
      </c>
      <c r="H206">
        <v>156068</v>
      </c>
      <c r="I206">
        <v>156</v>
      </c>
      <c r="J206">
        <v>155912</v>
      </c>
      <c r="K206" s="1">
        <v>45764</v>
      </c>
      <c r="L206" t="s">
        <v>53</v>
      </c>
      <c r="M206" t="str">
        <f t="shared" si="6"/>
        <v>OK</v>
      </c>
      <c r="N206">
        <f t="shared" si="7"/>
        <v>0</v>
      </c>
    </row>
    <row r="207" spans="1:14" x14ac:dyDescent="0.3">
      <c r="A207">
        <v>2</v>
      </c>
      <c r="B207" s="1">
        <v>45817</v>
      </c>
      <c r="C207" s="1">
        <v>45778</v>
      </c>
      <c r="D207" t="s">
        <v>40</v>
      </c>
      <c r="E207">
        <v>18</v>
      </c>
      <c r="F207">
        <v>150951</v>
      </c>
      <c r="G207">
        <v>2.2000000000000002</v>
      </c>
      <c r="H207">
        <v>332093</v>
      </c>
      <c r="I207">
        <v>332</v>
      </c>
      <c r="J207">
        <v>331761</v>
      </c>
      <c r="K207" s="1">
        <v>45827</v>
      </c>
      <c r="L207" t="s">
        <v>53</v>
      </c>
      <c r="M207" t="str">
        <f t="shared" si="6"/>
        <v>OK</v>
      </c>
      <c r="N207">
        <f t="shared" si="7"/>
        <v>0</v>
      </c>
    </row>
    <row r="208" spans="1:14" x14ac:dyDescent="0.3">
      <c r="A208">
        <v>3</v>
      </c>
      <c r="B208" s="1">
        <v>45817</v>
      </c>
      <c r="C208" s="1">
        <v>45809</v>
      </c>
      <c r="D208" t="s">
        <v>40</v>
      </c>
      <c r="E208">
        <v>18</v>
      </c>
      <c r="F208">
        <v>300171</v>
      </c>
      <c r="G208">
        <v>2.2000000000000002</v>
      </c>
      <c r="H208">
        <v>660376</v>
      </c>
      <c r="I208">
        <v>660</v>
      </c>
      <c r="J208">
        <v>659715</v>
      </c>
      <c r="K208" s="1">
        <v>45827</v>
      </c>
      <c r="L208" t="s">
        <v>53</v>
      </c>
      <c r="M208" t="str">
        <f t="shared" si="6"/>
        <v>Review</v>
      </c>
      <c r="N208">
        <f t="shared" si="7"/>
        <v>1</v>
      </c>
    </row>
    <row r="209" spans="1:14" x14ac:dyDescent="0.3">
      <c r="A209">
        <v>4</v>
      </c>
      <c r="B209" s="1">
        <v>45852</v>
      </c>
      <c r="C209" s="1">
        <v>45839</v>
      </c>
      <c r="D209" t="s">
        <v>40</v>
      </c>
      <c r="E209">
        <v>18</v>
      </c>
      <c r="F209">
        <v>430253</v>
      </c>
      <c r="G209">
        <v>2.2000000000000002</v>
      </c>
      <c r="H209">
        <v>946557</v>
      </c>
      <c r="I209">
        <v>947</v>
      </c>
      <c r="J209">
        <v>945610</v>
      </c>
      <c r="K209" s="1">
        <v>45862</v>
      </c>
      <c r="L209" t="s">
        <v>53</v>
      </c>
      <c r="M209" t="str">
        <f t="shared" si="6"/>
        <v>OK</v>
      </c>
      <c r="N209">
        <f t="shared" si="7"/>
        <v>0</v>
      </c>
    </row>
    <row r="210" spans="1:14" x14ac:dyDescent="0.3">
      <c r="A210">
        <v>5</v>
      </c>
      <c r="B210" s="1">
        <v>45885</v>
      </c>
      <c r="C210" s="1">
        <v>45870</v>
      </c>
      <c r="D210" t="s">
        <v>40</v>
      </c>
      <c r="E210">
        <v>18</v>
      </c>
      <c r="F210">
        <v>398629</v>
      </c>
      <c r="G210">
        <v>2.2000000000000002</v>
      </c>
      <c r="H210">
        <v>876983</v>
      </c>
      <c r="I210">
        <v>877</v>
      </c>
      <c r="J210">
        <v>876106</v>
      </c>
      <c r="K210" s="1">
        <v>45895</v>
      </c>
      <c r="L210" t="s">
        <v>55</v>
      </c>
      <c r="M210" t="str">
        <f t="shared" si="6"/>
        <v>OK</v>
      </c>
      <c r="N210">
        <f t="shared" si="7"/>
        <v>0</v>
      </c>
    </row>
    <row r="211" spans="1:14" x14ac:dyDescent="0.3">
      <c r="A211">
        <v>6</v>
      </c>
      <c r="B211" s="1">
        <v>45908</v>
      </c>
      <c r="C211" s="1">
        <v>45901</v>
      </c>
      <c r="D211" t="s">
        <v>40</v>
      </c>
      <c r="E211">
        <v>18</v>
      </c>
      <c r="F211">
        <v>243049</v>
      </c>
      <c r="G211">
        <v>2.2000000000000002</v>
      </c>
      <c r="H211">
        <v>534708</v>
      </c>
      <c r="I211">
        <v>535</v>
      </c>
      <c r="J211">
        <v>534173</v>
      </c>
      <c r="K211" s="1">
        <v>45918</v>
      </c>
      <c r="L211" t="s">
        <v>55</v>
      </c>
      <c r="M211" t="str">
        <f t="shared" si="6"/>
        <v>OK</v>
      </c>
      <c r="N211">
        <f t="shared" si="7"/>
        <v>0</v>
      </c>
    </row>
    <row r="212" spans="1:14" x14ac:dyDescent="0.3">
      <c r="A212">
        <v>7</v>
      </c>
      <c r="B212" s="1">
        <v>45944</v>
      </c>
      <c r="C212" s="1">
        <v>45931</v>
      </c>
      <c r="D212" t="s">
        <v>40</v>
      </c>
      <c r="E212">
        <v>18</v>
      </c>
      <c r="F212">
        <v>131227</v>
      </c>
      <c r="G212">
        <v>2.2000000000000002</v>
      </c>
      <c r="H212">
        <v>288699</v>
      </c>
      <c r="I212">
        <v>289</v>
      </c>
      <c r="J212">
        <v>288411</v>
      </c>
      <c r="K212" s="1">
        <v>45954</v>
      </c>
      <c r="L212" t="s">
        <v>55</v>
      </c>
      <c r="M212" t="str">
        <f t="shared" si="6"/>
        <v>Review</v>
      </c>
      <c r="N212">
        <f t="shared" si="7"/>
        <v>-1</v>
      </c>
    </row>
    <row r="213" spans="1:14" x14ac:dyDescent="0.3">
      <c r="A213">
        <v>8</v>
      </c>
      <c r="B213" s="1">
        <v>45973</v>
      </c>
      <c r="C213" s="1">
        <v>45962</v>
      </c>
      <c r="D213" t="s">
        <v>40</v>
      </c>
      <c r="E213">
        <v>18</v>
      </c>
      <c r="F213">
        <v>115746</v>
      </c>
      <c r="G213">
        <v>2.2000000000000002</v>
      </c>
      <c r="H213">
        <v>254641</v>
      </c>
      <c r="I213">
        <v>255</v>
      </c>
      <c r="J213">
        <v>254387</v>
      </c>
      <c r="K213" s="1">
        <v>45983</v>
      </c>
      <c r="L213" t="s">
        <v>55</v>
      </c>
      <c r="M213" t="str">
        <f t="shared" si="6"/>
        <v>Review</v>
      </c>
      <c r="N213">
        <f t="shared" si="7"/>
        <v>-1</v>
      </c>
    </row>
    <row r="214" spans="1:14" x14ac:dyDescent="0.3">
      <c r="A214">
        <v>9</v>
      </c>
      <c r="B214" s="1">
        <v>45996</v>
      </c>
      <c r="C214" s="1">
        <v>45992</v>
      </c>
      <c r="D214" t="s">
        <v>40</v>
      </c>
      <c r="E214">
        <v>18</v>
      </c>
      <c r="F214">
        <v>191232</v>
      </c>
      <c r="G214">
        <v>2.2000000000000002</v>
      </c>
      <c r="H214">
        <v>420710</v>
      </c>
      <c r="I214">
        <v>421</v>
      </c>
      <c r="J214">
        <v>420289</v>
      </c>
      <c r="K214" s="1">
        <v>46006</v>
      </c>
      <c r="L214" t="s">
        <v>55</v>
      </c>
      <c r="M214" t="str">
        <f t="shared" si="6"/>
        <v>OK</v>
      </c>
      <c r="N214">
        <f t="shared" si="7"/>
        <v>0</v>
      </c>
    </row>
    <row r="215" spans="1:14" x14ac:dyDescent="0.3">
      <c r="A215">
        <v>10</v>
      </c>
      <c r="B215" s="1">
        <v>45664</v>
      </c>
      <c r="C215" s="1">
        <v>46023</v>
      </c>
      <c r="D215" t="s">
        <v>40</v>
      </c>
      <c r="E215">
        <v>18</v>
      </c>
      <c r="F215">
        <v>61840</v>
      </c>
      <c r="G215">
        <v>2.2000000000000002</v>
      </c>
      <c r="H215">
        <v>136049</v>
      </c>
      <c r="I215">
        <v>136</v>
      </c>
      <c r="J215">
        <v>135913</v>
      </c>
      <c r="K215" s="1">
        <v>45674</v>
      </c>
      <c r="L215" t="s">
        <v>55</v>
      </c>
      <c r="M215" t="str">
        <f t="shared" si="6"/>
        <v>OK</v>
      </c>
      <c r="N215">
        <f t="shared" si="7"/>
        <v>0</v>
      </c>
    </row>
    <row r="216" spans="1:14" x14ac:dyDescent="0.3">
      <c r="A216">
        <v>11</v>
      </c>
      <c r="B216" s="1">
        <v>45708</v>
      </c>
      <c r="C216" s="1">
        <v>46054</v>
      </c>
      <c r="D216" t="s">
        <v>40</v>
      </c>
      <c r="E216">
        <v>18</v>
      </c>
      <c r="F216">
        <v>42031</v>
      </c>
      <c r="G216">
        <v>2.2000000000000002</v>
      </c>
      <c r="H216">
        <v>92469</v>
      </c>
      <c r="I216">
        <v>92</v>
      </c>
      <c r="J216">
        <v>92377</v>
      </c>
      <c r="K216" s="1">
        <v>45718</v>
      </c>
      <c r="L216" t="s">
        <v>55</v>
      </c>
      <c r="M216" t="str">
        <f t="shared" si="6"/>
        <v>OK</v>
      </c>
      <c r="N216">
        <f t="shared" si="7"/>
        <v>0</v>
      </c>
    </row>
    <row r="217" spans="1:14" x14ac:dyDescent="0.3">
      <c r="A217">
        <v>12</v>
      </c>
      <c r="B217" s="1">
        <v>46088</v>
      </c>
      <c r="C217" s="1">
        <v>46082</v>
      </c>
      <c r="D217" t="s">
        <v>40</v>
      </c>
      <c r="E217">
        <v>18</v>
      </c>
      <c r="F217">
        <v>58870</v>
      </c>
      <c r="G217">
        <v>2.2000000000000002</v>
      </c>
      <c r="H217">
        <v>129515</v>
      </c>
      <c r="I217">
        <v>130</v>
      </c>
      <c r="J217">
        <v>129385</v>
      </c>
      <c r="K217" s="1">
        <v>46098</v>
      </c>
      <c r="L217" t="s">
        <v>53</v>
      </c>
      <c r="M217" t="str">
        <f t="shared" si="6"/>
        <v>OK</v>
      </c>
      <c r="N217">
        <f t="shared" si="7"/>
        <v>0</v>
      </c>
    </row>
    <row r="218" spans="1:14" x14ac:dyDescent="0.3">
      <c r="A218">
        <v>1</v>
      </c>
      <c r="B218" s="1">
        <v>45754</v>
      </c>
      <c r="C218" s="1">
        <v>45748</v>
      </c>
      <c r="D218" t="s">
        <v>40</v>
      </c>
      <c r="E218">
        <v>19</v>
      </c>
      <c r="F218">
        <v>150910</v>
      </c>
      <c r="G218">
        <v>2.2000000000000002</v>
      </c>
      <c r="H218">
        <v>332002</v>
      </c>
      <c r="I218">
        <v>332</v>
      </c>
      <c r="J218">
        <v>331670</v>
      </c>
      <c r="K218" s="1">
        <v>45761</v>
      </c>
      <c r="L218" t="s">
        <v>53</v>
      </c>
      <c r="M218" t="str">
        <f t="shared" si="6"/>
        <v>OK</v>
      </c>
      <c r="N218">
        <f t="shared" si="7"/>
        <v>0</v>
      </c>
    </row>
    <row r="219" spans="1:14" x14ac:dyDescent="0.3">
      <c r="A219">
        <v>2</v>
      </c>
      <c r="B219" s="1">
        <v>45817</v>
      </c>
      <c r="C219" s="1">
        <v>45778</v>
      </c>
      <c r="D219" t="s">
        <v>40</v>
      </c>
      <c r="E219">
        <v>19</v>
      </c>
      <c r="F219">
        <v>297003</v>
      </c>
      <c r="G219">
        <v>2.2000000000000002</v>
      </c>
      <c r="H219">
        <v>653407</v>
      </c>
      <c r="I219">
        <v>653</v>
      </c>
      <c r="J219">
        <v>652753</v>
      </c>
      <c r="K219" s="1">
        <v>45824</v>
      </c>
      <c r="L219" t="s">
        <v>53</v>
      </c>
      <c r="M219" t="str">
        <f t="shared" si="6"/>
        <v>Review</v>
      </c>
      <c r="N219">
        <f t="shared" si="7"/>
        <v>1</v>
      </c>
    </row>
    <row r="220" spans="1:14" x14ac:dyDescent="0.3">
      <c r="A220">
        <v>3</v>
      </c>
      <c r="B220" s="1">
        <v>45817</v>
      </c>
      <c r="C220" s="1">
        <v>45809</v>
      </c>
      <c r="D220" t="s">
        <v>40</v>
      </c>
      <c r="E220">
        <v>19</v>
      </c>
      <c r="F220">
        <v>912130</v>
      </c>
      <c r="G220">
        <v>2.2000000000000002</v>
      </c>
      <c r="H220">
        <v>2006686</v>
      </c>
      <c r="I220">
        <v>2007</v>
      </c>
      <c r="J220">
        <v>2004679</v>
      </c>
      <c r="K220" s="1">
        <v>45824</v>
      </c>
      <c r="L220" t="s">
        <v>53</v>
      </c>
      <c r="M220" t="str">
        <f t="shared" si="6"/>
        <v>OK</v>
      </c>
      <c r="N220">
        <f t="shared" si="7"/>
        <v>0</v>
      </c>
    </row>
    <row r="221" spans="1:14" x14ac:dyDescent="0.3">
      <c r="A221">
        <v>4</v>
      </c>
      <c r="B221" s="1">
        <v>45852</v>
      </c>
      <c r="C221" s="1">
        <v>45839</v>
      </c>
      <c r="D221" t="s">
        <v>40</v>
      </c>
      <c r="E221">
        <v>19</v>
      </c>
      <c r="F221">
        <v>1162156</v>
      </c>
      <c r="G221">
        <v>2.2000000000000002</v>
      </c>
      <c r="H221">
        <v>2556743</v>
      </c>
      <c r="I221">
        <v>2557</v>
      </c>
      <c r="J221">
        <v>2554186</v>
      </c>
      <c r="K221" s="1">
        <v>45859</v>
      </c>
      <c r="L221" t="s">
        <v>53</v>
      </c>
      <c r="M221" t="str">
        <f t="shared" si="6"/>
        <v>OK</v>
      </c>
      <c r="N221">
        <f t="shared" si="7"/>
        <v>0</v>
      </c>
    </row>
    <row r="222" spans="1:14" x14ac:dyDescent="0.3">
      <c r="A222">
        <v>5</v>
      </c>
      <c r="B222" s="1">
        <v>45885</v>
      </c>
      <c r="C222" s="1">
        <v>45870</v>
      </c>
      <c r="D222" t="s">
        <v>40</v>
      </c>
      <c r="E222">
        <v>19</v>
      </c>
      <c r="F222">
        <v>725434</v>
      </c>
      <c r="G222">
        <v>2.2000000000000002</v>
      </c>
      <c r="H222">
        <v>1595955</v>
      </c>
      <c r="I222">
        <v>1596</v>
      </c>
      <c r="J222">
        <v>1594359</v>
      </c>
      <c r="K222" s="1">
        <v>45892</v>
      </c>
      <c r="L222" t="s">
        <v>53</v>
      </c>
      <c r="M222" t="str">
        <f t="shared" si="6"/>
        <v>OK</v>
      </c>
      <c r="N222">
        <f t="shared" si="7"/>
        <v>0</v>
      </c>
    </row>
    <row r="223" spans="1:14" x14ac:dyDescent="0.3">
      <c r="A223">
        <v>6</v>
      </c>
      <c r="B223" s="1">
        <v>45908</v>
      </c>
      <c r="C223" s="1">
        <v>45901</v>
      </c>
      <c r="D223" t="s">
        <v>40</v>
      </c>
      <c r="E223">
        <v>19</v>
      </c>
      <c r="F223">
        <v>422571</v>
      </c>
      <c r="G223">
        <v>2.2000000000000002</v>
      </c>
      <c r="H223">
        <v>929656</v>
      </c>
      <c r="I223">
        <v>930</v>
      </c>
      <c r="J223">
        <v>928727</v>
      </c>
      <c r="K223" s="1">
        <v>45915</v>
      </c>
      <c r="L223" t="s">
        <v>53</v>
      </c>
      <c r="M223" t="str">
        <f t="shared" si="6"/>
        <v>Review</v>
      </c>
      <c r="N223">
        <f t="shared" si="7"/>
        <v>-1</v>
      </c>
    </row>
    <row r="224" spans="1:14" x14ac:dyDescent="0.3">
      <c r="A224">
        <v>7</v>
      </c>
      <c r="B224" s="1">
        <v>45944</v>
      </c>
      <c r="C224" s="1">
        <v>45931</v>
      </c>
      <c r="D224" t="s">
        <v>40</v>
      </c>
      <c r="E224">
        <v>19</v>
      </c>
      <c r="F224">
        <v>241172</v>
      </c>
      <c r="G224">
        <v>2.2000000000000002</v>
      </c>
      <c r="H224">
        <v>530578</v>
      </c>
      <c r="I224">
        <v>531</v>
      </c>
      <c r="J224">
        <v>530048</v>
      </c>
      <c r="K224" s="1">
        <v>45951</v>
      </c>
      <c r="L224" t="s">
        <v>53</v>
      </c>
      <c r="M224" t="str">
        <f t="shared" si="6"/>
        <v>Review</v>
      </c>
      <c r="N224">
        <f t="shared" si="7"/>
        <v>-1</v>
      </c>
    </row>
    <row r="225" spans="1:14" x14ac:dyDescent="0.3">
      <c r="A225">
        <v>8</v>
      </c>
      <c r="B225" s="1">
        <v>45973</v>
      </c>
      <c r="C225" s="1">
        <v>45962</v>
      </c>
      <c r="D225" t="s">
        <v>40</v>
      </c>
      <c r="E225">
        <v>19</v>
      </c>
      <c r="F225">
        <v>236136</v>
      </c>
      <c r="G225">
        <v>2.2000000000000002</v>
      </c>
      <c r="H225">
        <v>519499</v>
      </c>
      <c r="I225">
        <v>519</v>
      </c>
      <c r="J225">
        <v>518980</v>
      </c>
      <c r="K225" s="1">
        <v>45980</v>
      </c>
      <c r="L225" t="s">
        <v>53</v>
      </c>
      <c r="M225" t="str">
        <f t="shared" si="6"/>
        <v>OK</v>
      </c>
      <c r="N225">
        <f t="shared" si="7"/>
        <v>0</v>
      </c>
    </row>
    <row r="226" spans="1:14" x14ac:dyDescent="0.3">
      <c r="A226">
        <v>9</v>
      </c>
      <c r="B226" s="1">
        <v>45996</v>
      </c>
      <c r="C226" s="1">
        <v>45992</v>
      </c>
      <c r="D226" t="s">
        <v>40</v>
      </c>
      <c r="E226">
        <v>19</v>
      </c>
      <c r="F226">
        <v>370684</v>
      </c>
      <c r="G226">
        <v>2.2000000000000002</v>
      </c>
      <c r="H226">
        <v>815505</v>
      </c>
      <c r="I226">
        <v>816</v>
      </c>
      <c r="J226">
        <v>814689</v>
      </c>
      <c r="K226" s="1">
        <v>46003</v>
      </c>
      <c r="L226" t="s">
        <v>53</v>
      </c>
      <c r="M226" t="str">
        <f t="shared" si="6"/>
        <v>OK</v>
      </c>
      <c r="N226">
        <f t="shared" si="7"/>
        <v>0</v>
      </c>
    </row>
    <row r="227" spans="1:14" x14ac:dyDescent="0.3">
      <c r="A227">
        <v>10</v>
      </c>
      <c r="B227" s="1">
        <v>45664</v>
      </c>
      <c r="C227" s="1">
        <v>46023</v>
      </c>
      <c r="D227" t="s">
        <v>40</v>
      </c>
      <c r="E227">
        <v>19</v>
      </c>
      <c r="F227">
        <v>144683</v>
      </c>
      <c r="G227">
        <v>2.2000000000000002</v>
      </c>
      <c r="H227">
        <v>318303</v>
      </c>
      <c r="I227">
        <v>318</v>
      </c>
      <c r="J227">
        <v>317984</v>
      </c>
      <c r="K227" s="1">
        <v>45671</v>
      </c>
      <c r="L227" t="s">
        <v>53</v>
      </c>
      <c r="M227" t="str">
        <f t="shared" si="6"/>
        <v>Review</v>
      </c>
      <c r="N227">
        <f t="shared" si="7"/>
        <v>1</v>
      </c>
    </row>
    <row r="228" spans="1:14" x14ac:dyDescent="0.3">
      <c r="A228">
        <v>11</v>
      </c>
      <c r="B228" s="1">
        <v>45708</v>
      </c>
      <c r="C228" s="1">
        <v>46054</v>
      </c>
      <c r="D228" t="s">
        <v>40</v>
      </c>
      <c r="E228">
        <v>19</v>
      </c>
      <c r="F228">
        <v>100234</v>
      </c>
      <c r="G228">
        <v>2.2000000000000002</v>
      </c>
      <c r="H228">
        <v>220515</v>
      </c>
      <c r="I228">
        <v>221</v>
      </c>
      <c r="J228">
        <v>220294</v>
      </c>
      <c r="K228" s="1">
        <v>45715</v>
      </c>
      <c r="L228" t="s">
        <v>53</v>
      </c>
      <c r="M228" t="str">
        <f t="shared" si="6"/>
        <v>OK</v>
      </c>
      <c r="N228">
        <f t="shared" si="7"/>
        <v>0</v>
      </c>
    </row>
    <row r="229" spans="1:14" x14ac:dyDescent="0.3">
      <c r="A229">
        <v>12</v>
      </c>
      <c r="B229" s="1">
        <v>46088</v>
      </c>
      <c r="C229" s="1">
        <v>46082</v>
      </c>
      <c r="D229" t="s">
        <v>40</v>
      </c>
      <c r="E229">
        <v>19</v>
      </c>
      <c r="F229">
        <v>126585</v>
      </c>
      <c r="G229">
        <v>2.2000000000000002</v>
      </c>
      <c r="H229">
        <v>278487</v>
      </c>
      <c r="I229">
        <v>278</v>
      </c>
      <c r="J229">
        <v>278209</v>
      </c>
      <c r="K229" s="1">
        <v>46095</v>
      </c>
      <c r="L229" t="s">
        <v>53</v>
      </c>
      <c r="M229" t="str">
        <f t="shared" si="6"/>
        <v>OK</v>
      </c>
      <c r="N229">
        <f t="shared" si="7"/>
        <v>0</v>
      </c>
    </row>
    <row r="230" spans="1:14" x14ac:dyDescent="0.3">
      <c r="A230">
        <v>1</v>
      </c>
      <c r="B230" s="1">
        <v>45754</v>
      </c>
      <c r="C230" s="1">
        <v>45748</v>
      </c>
      <c r="D230" t="s">
        <v>40</v>
      </c>
      <c r="E230">
        <v>20</v>
      </c>
      <c r="F230">
        <v>55212</v>
      </c>
      <c r="G230">
        <v>2.2000000000000002</v>
      </c>
      <c r="H230">
        <v>121466</v>
      </c>
      <c r="I230">
        <v>121</v>
      </c>
      <c r="J230">
        <v>121345</v>
      </c>
      <c r="K230" s="1">
        <v>45774</v>
      </c>
      <c r="L230" t="s">
        <v>53</v>
      </c>
      <c r="M230" t="str">
        <f t="shared" si="6"/>
        <v>OK</v>
      </c>
      <c r="N230">
        <f t="shared" si="7"/>
        <v>0</v>
      </c>
    </row>
    <row r="231" spans="1:14" x14ac:dyDescent="0.3">
      <c r="A231">
        <v>2</v>
      </c>
      <c r="B231" s="1">
        <v>45817</v>
      </c>
      <c r="C231" s="1">
        <v>45778</v>
      </c>
      <c r="D231" t="s">
        <v>40</v>
      </c>
      <c r="E231">
        <v>20</v>
      </c>
      <c r="F231">
        <v>246334</v>
      </c>
      <c r="G231">
        <v>2.2000000000000002</v>
      </c>
      <c r="H231">
        <v>541935</v>
      </c>
      <c r="I231">
        <v>542</v>
      </c>
      <c r="J231">
        <v>541393</v>
      </c>
      <c r="K231" s="1">
        <v>45837</v>
      </c>
      <c r="L231" t="s">
        <v>53</v>
      </c>
      <c r="M231" t="str">
        <f t="shared" si="6"/>
        <v>OK</v>
      </c>
      <c r="N231">
        <f t="shared" si="7"/>
        <v>0</v>
      </c>
    </row>
    <row r="232" spans="1:14" x14ac:dyDescent="0.3">
      <c r="A232">
        <v>3</v>
      </c>
      <c r="B232" s="1">
        <v>45817</v>
      </c>
      <c r="C232" s="1">
        <v>45809</v>
      </c>
      <c r="D232" t="s">
        <v>40</v>
      </c>
      <c r="E232">
        <v>20</v>
      </c>
      <c r="F232">
        <v>405863</v>
      </c>
      <c r="G232">
        <v>2.2000000000000002</v>
      </c>
      <c r="H232">
        <v>892899</v>
      </c>
      <c r="I232">
        <v>893</v>
      </c>
      <c r="J232">
        <v>892006</v>
      </c>
      <c r="K232" s="1">
        <v>45837</v>
      </c>
      <c r="L232" t="s">
        <v>53</v>
      </c>
      <c r="M232" t="str">
        <f t="shared" si="6"/>
        <v>OK</v>
      </c>
      <c r="N232">
        <f t="shared" si="7"/>
        <v>0</v>
      </c>
    </row>
    <row r="233" spans="1:14" x14ac:dyDescent="0.3">
      <c r="A233">
        <v>4</v>
      </c>
      <c r="B233" s="1">
        <v>45852</v>
      </c>
      <c r="C233" s="1">
        <v>45839</v>
      </c>
      <c r="D233" t="s">
        <v>40</v>
      </c>
      <c r="E233">
        <v>20</v>
      </c>
      <c r="F233">
        <v>510362</v>
      </c>
      <c r="G233">
        <v>2.2000000000000002</v>
      </c>
      <c r="H233">
        <v>1122796</v>
      </c>
      <c r="I233">
        <v>1123</v>
      </c>
      <c r="J233">
        <v>1121674</v>
      </c>
      <c r="K233" s="1">
        <v>45872</v>
      </c>
      <c r="L233" t="s">
        <v>53</v>
      </c>
      <c r="M233" t="str">
        <f t="shared" si="6"/>
        <v>Review</v>
      </c>
      <c r="N233">
        <f t="shared" si="7"/>
        <v>-1</v>
      </c>
    </row>
    <row r="234" spans="1:14" x14ac:dyDescent="0.3">
      <c r="A234">
        <v>5</v>
      </c>
      <c r="B234" s="1">
        <v>45885</v>
      </c>
      <c r="C234" s="1">
        <v>45870</v>
      </c>
      <c r="D234" t="s">
        <v>40</v>
      </c>
      <c r="E234">
        <v>20</v>
      </c>
      <c r="F234">
        <v>339781</v>
      </c>
      <c r="G234">
        <v>2.2000000000000002</v>
      </c>
      <c r="H234">
        <v>747518</v>
      </c>
      <c r="I234">
        <v>748</v>
      </c>
      <c r="J234">
        <v>746771</v>
      </c>
      <c r="K234" s="1">
        <v>45905</v>
      </c>
      <c r="L234" t="s">
        <v>55</v>
      </c>
      <c r="M234" t="str">
        <f t="shared" si="6"/>
        <v>Review</v>
      </c>
      <c r="N234">
        <f t="shared" si="7"/>
        <v>-1</v>
      </c>
    </row>
    <row r="235" spans="1:14" x14ac:dyDescent="0.3">
      <c r="A235">
        <v>6</v>
      </c>
      <c r="B235" s="1">
        <v>45908</v>
      </c>
      <c r="C235" s="1">
        <v>45901</v>
      </c>
      <c r="D235" t="s">
        <v>40</v>
      </c>
      <c r="E235">
        <v>20</v>
      </c>
      <c r="F235">
        <v>343584</v>
      </c>
      <c r="G235">
        <v>2.2000000000000002</v>
      </c>
      <c r="H235">
        <v>755885</v>
      </c>
      <c r="I235">
        <v>756</v>
      </c>
      <c r="J235">
        <v>755129</v>
      </c>
      <c r="K235" s="1">
        <v>45928</v>
      </c>
      <c r="L235" t="s">
        <v>53</v>
      </c>
      <c r="M235" t="str">
        <f t="shared" si="6"/>
        <v>OK</v>
      </c>
      <c r="N235">
        <f t="shared" si="7"/>
        <v>0</v>
      </c>
    </row>
    <row r="236" spans="1:14" x14ac:dyDescent="0.3">
      <c r="A236">
        <v>7</v>
      </c>
      <c r="B236" s="1">
        <v>45944</v>
      </c>
      <c r="C236" s="1">
        <v>45931</v>
      </c>
      <c r="D236" t="s">
        <v>40</v>
      </c>
      <c r="E236">
        <v>20</v>
      </c>
      <c r="F236">
        <v>101218</v>
      </c>
      <c r="G236">
        <v>2.2000000000000002</v>
      </c>
      <c r="H236">
        <v>222680</v>
      </c>
      <c r="I236">
        <v>223</v>
      </c>
      <c r="J236">
        <v>222457</v>
      </c>
      <c r="K236" s="1">
        <v>45964</v>
      </c>
      <c r="L236" t="s">
        <v>53</v>
      </c>
      <c r="M236" t="str">
        <f t="shared" si="6"/>
        <v>OK</v>
      </c>
      <c r="N236">
        <f t="shared" si="7"/>
        <v>0</v>
      </c>
    </row>
    <row r="237" spans="1:14" x14ac:dyDescent="0.3">
      <c r="A237">
        <v>8</v>
      </c>
      <c r="B237" s="1">
        <v>45973</v>
      </c>
      <c r="C237" s="1">
        <v>45962</v>
      </c>
      <c r="D237" t="s">
        <v>40</v>
      </c>
      <c r="E237">
        <v>20</v>
      </c>
      <c r="F237">
        <v>20852</v>
      </c>
      <c r="G237">
        <v>2.2000000000000002</v>
      </c>
      <c r="H237">
        <v>45874</v>
      </c>
      <c r="I237">
        <v>46</v>
      </c>
      <c r="J237">
        <v>45829</v>
      </c>
      <c r="K237" s="1">
        <v>45993</v>
      </c>
      <c r="L237" t="s">
        <v>55</v>
      </c>
      <c r="M237" t="str">
        <f t="shared" si="6"/>
        <v>Review</v>
      </c>
      <c r="N237">
        <f t="shared" si="7"/>
        <v>-1</v>
      </c>
    </row>
    <row r="238" spans="1:14" x14ac:dyDescent="0.3">
      <c r="A238">
        <v>9</v>
      </c>
      <c r="B238" s="1">
        <v>45996</v>
      </c>
      <c r="C238" s="1">
        <v>45992</v>
      </c>
      <c r="D238" t="s">
        <v>40</v>
      </c>
      <c r="E238">
        <v>20</v>
      </c>
      <c r="F238">
        <v>12645</v>
      </c>
      <c r="G238">
        <v>2.2000000000000002</v>
      </c>
      <c r="H238">
        <v>27819</v>
      </c>
      <c r="I238">
        <v>28</v>
      </c>
      <c r="J238">
        <v>27791</v>
      </c>
      <c r="K238" s="1">
        <v>46016</v>
      </c>
      <c r="L238" t="s">
        <v>55</v>
      </c>
      <c r="M238" t="str">
        <f t="shared" si="6"/>
        <v>OK</v>
      </c>
      <c r="N238">
        <f t="shared" si="7"/>
        <v>0</v>
      </c>
    </row>
    <row r="239" spans="1:14" x14ac:dyDescent="0.3">
      <c r="A239">
        <v>10</v>
      </c>
      <c r="B239" s="1">
        <v>45664</v>
      </c>
      <c r="C239" s="1">
        <v>46023</v>
      </c>
      <c r="D239" t="s">
        <v>40</v>
      </c>
      <c r="E239">
        <v>20</v>
      </c>
      <c r="F239">
        <v>19720</v>
      </c>
      <c r="G239">
        <v>2.2000000000000002</v>
      </c>
      <c r="H239">
        <v>43384</v>
      </c>
      <c r="I239">
        <v>43</v>
      </c>
      <c r="J239">
        <v>43341</v>
      </c>
      <c r="K239" s="1">
        <v>45684</v>
      </c>
      <c r="L239" t="s">
        <v>53</v>
      </c>
      <c r="M239" t="str">
        <f t="shared" si="6"/>
        <v>OK</v>
      </c>
      <c r="N239">
        <f t="shared" si="7"/>
        <v>0</v>
      </c>
    </row>
    <row r="240" spans="1:14" x14ac:dyDescent="0.3">
      <c r="A240">
        <v>11</v>
      </c>
      <c r="B240" s="1">
        <v>45708</v>
      </c>
      <c r="C240" s="1">
        <v>46054</v>
      </c>
      <c r="D240" t="s">
        <v>40</v>
      </c>
      <c r="E240">
        <v>20</v>
      </c>
      <c r="F240">
        <v>26233</v>
      </c>
      <c r="G240">
        <v>2.2000000000000002</v>
      </c>
      <c r="H240">
        <v>57713</v>
      </c>
      <c r="I240">
        <v>58</v>
      </c>
      <c r="J240">
        <v>57655</v>
      </c>
      <c r="K240" s="1">
        <v>45728</v>
      </c>
      <c r="L240" t="s">
        <v>53</v>
      </c>
      <c r="M240" t="str">
        <f t="shared" si="6"/>
        <v>OK</v>
      </c>
      <c r="N240">
        <f t="shared" si="7"/>
        <v>0</v>
      </c>
    </row>
    <row r="241" spans="1:14" x14ac:dyDescent="0.3">
      <c r="A241">
        <v>12</v>
      </c>
      <c r="B241" s="1">
        <v>46088</v>
      </c>
      <c r="C241" s="1">
        <v>46082</v>
      </c>
      <c r="D241" t="s">
        <v>40</v>
      </c>
      <c r="E241">
        <v>20</v>
      </c>
      <c r="F241">
        <v>23291</v>
      </c>
      <c r="G241">
        <v>2.2000000000000002</v>
      </c>
      <c r="H241">
        <v>51240</v>
      </c>
      <c r="I241">
        <v>51</v>
      </c>
      <c r="J241">
        <v>51189</v>
      </c>
      <c r="K241" s="1">
        <v>46108</v>
      </c>
      <c r="L241" t="s">
        <v>53</v>
      </c>
      <c r="M241" t="str">
        <f t="shared" si="6"/>
        <v>OK</v>
      </c>
      <c r="N241">
        <f t="shared" si="7"/>
        <v>0</v>
      </c>
    </row>
    <row r="242" spans="1:14" x14ac:dyDescent="0.3">
      <c r="A242">
        <v>1</v>
      </c>
      <c r="B242" s="1">
        <v>45754</v>
      </c>
      <c r="C242" s="1">
        <v>45748</v>
      </c>
      <c r="D242" t="s">
        <v>40</v>
      </c>
      <c r="E242">
        <v>21</v>
      </c>
      <c r="F242">
        <v>49032</v>
      </c>
      <c r="G242">
        <v>2.2000000000000002</v>
      </c>
      <c r="H242">
        <v>107870</v>
      </c>
      <c r="I242">
        <v>108</v>
      </c>
      <c r="J242">
        <v>107763</v>
      </c>
      <c r="K242" s="1">
        <v>45774</v>
      </c>
      <c r="L242" t="s">
        <v>53</v>
      </c>
      <c r="M242" t="str">
        <f t="shared" si="6"/>
        <v>Review</v>
      </c>
      <c r="N242">
        <f t="shared" si="7"/>
        <v>-1</v>
      </c>
    </row>
    <row r="243" spans="1:14" x14ac:dyDescent="0.3">
      <c r="A243">
        <v>2</v>
      </c>
      <c r="B243" s="1">
        <v>45817</v>
      </c>
      <c r="C243" s="1">
        <v>45778</v>
      </c>
      <c r="D243" t="s">
        <v>40</v>
      </c>
      <c r="E243">
        <v>21</v>
      </c>
      <c r="F243">
        <v>217894</v>
      </c>
      <c r="G243">
        <v>2.2000000000000002</v>
      </c>
      <c r="H243">
        <v>479367</v>
      </c>
      <c r="I243">
        <v>479</v>
      </c>
      <c r="J243">
        <v>478887</v>
      </c>
      <c r="K243" s="1">
        <v>45837</v>
      </c>
      <c r="L243" t="s">
        <v>53</v>
      </c>
      <c r="M243" t="str">
        <f t="shared" si="6"/>
        <v>Review</v>
      </c>
      <c r="N243">
        <f t="shared" si="7"/>
        <v>1</v>
      </c>
    </row>
    <row r="244" spans="1:14" x14ac:dyDescent="0.3">
      <c r="A244">
        <v>3</v>
      </c>
      <c r="B244" s="1">
        <v>45817</v>
      </c>
      <c r="C244" s="1">
        <v>45809</v>
      </c>
      <c r="D244" t="s">
        <v>40</v>
      </c>
      <c r="E244">
        <v>21</v>
      </c>
      <c r="F244">
        <v>343038</v>
      </c>
      <c r="G244">
        <v>2.2000000000000002</v>
      </c>
      <c r="H244">
        <v>754684</v>
      </c>
      <c r="I244">
        <v>755</v>
      </c>
      <c r="J244">
        <v>753929</v>
      </c>
      <c r="K244" s="1">
        <v>45837</v>
      </c>
      <c r="L244" t="s">
        <v>53</v>
      </c>
      <c r="M244" t="str">
        <f t="shared" si="6"/>
        <v>OK</v>
      </c>
      <c r="N244">
        <f t="shared" si="7"/>
        <v>0</v>
      </c>
    </row>
    <row r="245" spans="1:14" x14ac:dyDescent="0.3">
      <c r="A245">
        <v>4</v>
      </c>
      <c r="B245" s="1">
        <v>45852</v>
      </c>
      <c r="C245" s="1">
        <v>45839</v>
      </c>
      <c r="D245" t="s">
        <v>40</v>
      </c>
      <c r="E245">
        <v>21</v>
      </c>
      <c r="F245">
        <v>453002</v>
      </c>
      <c r="G245">
        <v>2.2000000000000002</v>
      </c>
      <c r="H245">
        <v>996604</v>
      </c>
      <c r="I245">
        <v>997</v>
      </c>
      <c r="J245">
        <v>995608</v>
      </c>
      <c r="K245" s="1">
        <v>45872</v>
      </c>
      <c r="L245" t="s">
        <v>53</v>
      </c>
      <c r="M245" t="str">
        <f t="shared" si="6"/>
        <v>Review</v>
      </c>
      <c r="N245">
        <f t="shared" si="7"/>
        <v>-1</v>
      </c>
    </row>
    <row r="246" spans="1:14" x14ac:dyDescent="0.3">
      <c r="A246">
        <v>5</v>
      </c>
      <c r="B246" s="1">
        <v>45885</v>
      </c>
      <c r="C246" s="1">
        <v>45870</v>
      </c>
      <c r="D246" t="s">
        <v>40</v>
      </c>
      <c r="E246">
        <v>21</v>
      </c>
      <c r="F246">
        <v>321516</v>
      </c>
      <c r="G246">
        <v>2.2000000000000002</v>
      </c>
      <c r="H246">
        <v>707335</v>
      </c>
      <c r="I246">
        <v>707</v>
      </c>
      <c r="J246">
        <v>706628</v>
      </c>
      <c r="K246" s="1">
        <v>45905</v>
      </c>
      <c r="L246" t="s">
        <v>55</v>
      </c>
      <c r="M246" t="str">
        <f t="shared" si="6"/>
        <v>OK</v>
      </c>
      <c r="N246">
        <f t="shared" si="7"/>
        <v>0</v>
      </c>
    </row>
    <row r="247" spans="1:14" x14ac:dyDescent="0.3">
      <c r="A247">
        <v>6</v>
      </c>
      <c r="B247" s="1">
        <v>45908</v>
      </c>
      <c r="C247" s="1">
        <v>45901</v>
      </c>
      <c r="D247" t="s">
        <v>40</v>
      </c>
      <c r="E247">
        <v>21</v>
      </c>
      <c r="F247">
        <v>315162</v>
      </c>
      <c r="G247">
        <v>2.2000000000000002</v>
      </c>
      <c r="H247">
        <v>693356</v>
      </c>
      <c r="I247">
        <v>693</v>
      </c>
      <c r="J247">
        <v>692663</v>
      </c>
      <c r="K247" s="1">
        <v>45928</v>
      </c>
      <c r="L247" t="s">
        <v>53</v>
      </c>
      <c r="M247" t="str">
        <f t="shared" si="6"/>
        <v>OK</v>
      </c>
      <c r="N247">
        <f t="shared" si="7"/>
        <v>0</v>
      </c>
    </row>
    <row r="248" spans="1:14" x14ac:dyDescent="0.3">
      <c r="A248">
        <v>7</v>
      </c>
      <c r="B248" s="1">
        <v>45944</v>
      </c>
      <c r="C248" s="1">
        <v>45931</v>
      </c>
      <c r="D248" t="s">
        <v>40</v>
      </c>
      <c r="E248">
        <v>21</v>
      </c>
      <c r="F248">
        <v>76485</v>
      </c>
      <c r="G248">
        <v>2.2000000000000002</v>
      </c>
      <c r="H248">
        <v>168267</v>
      </c>
      <c r="I248">
        <v>168</v>
      </c>
      <c r="J248">
        <v>168099</v>
      </c>
      <c r="K248" s="1">
        <v>45964</v>
      </c>
      <c r="L248" t="s">
        <v>53</v>
      </c>
      <c r="M248" t="str">
        <f t="shared" si="6"/>
        <v>OK</v>
      </c>
      <c r="N248">
        <f t="shared" si="7"/>
        <v>0</v>
      </c>
    </row>
    <row r="249" spans="1:14" x14ac:dyDescent="0.3">
      <c r="A249">
        <v>8</v>
      </c>
      <c r="B249" s="1">
        <v>45973</v>
      </c>
      <c r="C249" s="1">
        <v>45962</v>
      </c>
      <c r="D249" t="s">
        <v>40</v>
      </c>
      <c r="E249">
        <v>21</v>
      </c>
      <c r="F249">
        <v>21226</v>
      </c>
      <c r="G249">
        <v>2.2000000000000002</v>
      </c>
      <c r="H249">
        <v>46697</v>
      </c>
      <c r="I249">
        <v>47</v>
      </c>
      <c r="J249">
        <v>46651</v>
      </c>
      <c r="K249" s="1">
        <v>45993</v>
      </c>
      <c r="L249" t="s">
        <v>55</v>
      </c>
      <c r="M249" t="str">
        <f t="shared" si="6"/>
        <v>Review</v>
      </c>
      <c r="N249">
        <f t="shared" si="7"/>
        <v>-1</v>
      </c>
    </row>
    <row r="250" spans="1:14" x14ac:dyDescent="0.3">
      <c r="A250">
        <v>9</v>
      </c>
      <c r="B250" s="1">
        <v>45996</v>
      </c>
      <c r="C250" s="1">
        <v>45992</v>
      </c>
      <c r="D250" t="s">
        <v>40</v>
      </c>
      <c r="E250">
        <v>21</v>
      </c>
      <c r="F250">
        <v>11446</v>
      </c>
      <c r="G250">
        <v>2.2000000000000002</v>
      </c>
      <c r="H250">
        <v>25181</v>
      </c>
      <c r="I250">
        <v>25</v>
      </c>
      <c r="J250">
        <v>25156</v>
      </c>
      <c r="K250" s="1">
        <v>46016</v>
      </c>
      <c r="L250" t="s">
        <v>55</v>
      </c>
      <c r="M250" t="str">
        <f t="shared" si="6"/>
        <v>OK</v>
      </c>
      <c r="N250">
        <f t="shared" si="7"/>
        <v>0</v>
      </c>
    </row>
    <row r="251" spans="1:14" x14ac:dyDescent="0.3">
      <c r="A251">
        <v>10</v>
      </c>
      <c r="B251" s="1">
        <v>45664</v>
      </c>
      <c r="C251" s="1">
        <v>46023</v>
      </c>
      <c r="D251" t="s">
        <v>40</v>
      </c>
      <c r="E251">
        <v>21</v>
      </c>
      <c r="F251">
        <v>17667</v>
      </c>
      <c r="G251">
        <v>2.2000000000000002</v>
      </c>
      <c r="H251">
        <v>38867</v>
      </c>
      <c r="I251">
        <v>39</v>
      </c>
      <c r="J251">
        <v>38829</v>
      </c>
      <c r="K251" s="1">
        <v>45684</v>
      </c>
      <c r="L251" t="s">
        <v>55</v>
      </c>
      <c r="M251" t="str">
        <f t="shared" si="6"/>
        <v>Review</v>
      </c>
      <c r="N251">
        <f t="shared" si="7"/>
        <v>-1</v>
      </c>
    </row>
    <row r="252" spans="1:14" x14ac:dyDescent="0.3">
      <c r="A252">
        <v>11</v>
      </c>
      <c r="B252" s="1">
        <v>45708</v>
      </c>
      <c r="C252" s="1">
        <v>46054</v>
      </c>
      <c r="D252" t="s">
        <v>40</v>
      </c>
      <c r="E252">
        <v>21</v>
      </c>
      <c r="F252">
        <v>24744</v>
      </c>
      <c r="G252">
        <v>2.2000000000000002</v>
      </c>
      <c r="H252">
        <v>54437</v>
      </c>
      <c r="I252">
        <v>54</v>
      </c>
      <c r="J252">
        <v>54382</v>
      </c>
      <c r="K252" s="1">
        <v>45728</v>
      </c>
      <c r="L252" t="s">
        <v>55</v>
      </c>
      <c r="M252" t="str">
        <f t="shared" si="6"/>
        <v>Review</v>
      </c>
      <c r="N252">
        <f t="shared" si="7"/>
        <v>1</v>
      </c>
    </row>
    <row r="253" spans="1:14" x14ac:dyDescent="0.3">
      <c r="A253">
        <v>12</v>
      </c>
      <c r="B253" s="1">
        <v>46088</v>
      </c>
      <c r="C253" s="1">
        <v>46082</v>
      </c>
      <c r="D253" t="s">
        <v>40</v>
      </c>
      <c r="E253">
        <v>21</v>
      </c>
      <c r="F253">
        <v>22730</v>
      </c>
      <c r="G253">
        <v>2.2000000000000002</v>
      </c>
      <c r="H253">
        <v>50006</v>
      </c>
      <c r="I253">
        <v>50</v>
      </c>
      <c r="J253">
        <v>49956</v>
      </c>
      <c r="K253" s="1">
        <v>46108</v>
      </c>
      <c r="L253" t="s">
        <v>53</v>
      </c>
      <c r="M253" t="str">
        <f t="shared" si="6"/>
        <v>OK</v>
      </c>
      <c r="N253">
        <f t="shared" si="7"/>
        <v>0</v>
      </c>
    </row>
    <row r="254" spans="1:14" x14ac:dyDescent="0.3">
      <c r="A254">
        <v>1</v>
      </c>
      <c r="B254" s="1">
        <v>45754</v>
      </c>
      <c r="C254" s="1">
        <v>45748</v>
      </c>
      <c r="D254" t="s">
        <v>40</v>
      </c>
      <c r="E254">
        <v>22</v>
      </c>
      <c r="F254">
        <v>55212</v>
      </c>
      <c r="G254">
        <v>6</v>
      </c>
      <c r="H254">
        <v>331272</v>
      </c>
      <c r="I254">
        <v>331</v>
      </c>
      <c r="J254">
        <v>330941</v>
      </c>
      <c r="K254" s="1">
        <v>45769</v>
      </c>
      <c r="L254" t="s">
        <v>53</v>
      </c>
      <c r="M254" t="str">
        <f t="shared" si="6"/>
        <v>OK</v>
      </c>
      <c r="N254">
        <f t="shared" si="7"/>
        <v>0</v>
      </c>
    </row>
    <row r="255" spans="1:14" x14ac:dyDescent="0.3">
      <c r="A255">
        <v>2</v>
      </c>
      <c r="B255" s="1">
        <v>45817</v>
      </c>
      <c r="C255" s="1">
        <v>45778</v>
      </c>
      <c r="D255" t="s">
        <v>40</v>
      </c>
      <c r="E255">
        <v>22</v>
      </c>
      <c r="F255">
        <v>169017</v>
      </c>
      <c r="G255">
        <v>6</v>
      </c>
      <c r="H255">
        <v>1014102</v>
      </c>
      <c r="I255">
        <v>1014</v>
      </c>
      <c r="J255">
        <v>1013088</v>
      </c>
      <c r="K255" s="1">
        <v>45832</v>
      </c>
      <c r="L255" t="s">
        <v>53</v>
      </c>
      <c r="M255" t="str">
        <f t="shared" si="6"/>
        <v>OK</v>
      </c>
      <c r="N255">
        <f t="shared" si="7"/>
        <v>0</v>
      </c>
    </row>
    <row r="256" spans="1:14" x14ac:dyDescent="0.3">
      <c r="A256">
        <v>3</v>
      </c>
      <c r="B256" s="1">
        <v>45817</v>
      </c>
      <c r="C256" s="1">
        <v>45809</v>
      </c>
      <c r="D256" t="s">
        <v>40</v>
      </c>
      <c r="E256">
        <v>22</v>
      </c>
      <c r="F256">
        <v>222654</v>
      </c>
      <c r="G256">
        <v>6</v>
      </c>
      <c r="H256">
        <v>1335924</v>
      </c>
      <c r="I256">
        <v>1336</v>
      </c>
      <c r="J256">
        <v>1334588</v>
      </c>
      <c r="K256" s="1">
        <v>45832</v>
      </c>
      <c r="L256" t="s">
        <v>53</v>
      </c>
      <c r="M256" t="str">
        <f t="shared" si="6"/>
        <v>OK</v>
      </c>
      <c r="N256">
        <f t="shared" si="7"/>
        <v>0</v>
      </c>
    </row>
    <row r="257" spans="1:14" x14ac:dyDescent="0.3">
      <c r="A257">
        <v>4</v>
      </c>
      <c r="B257" s="1">
        <v>45852</v>
      </c>
      <c r="C257" s="1">
        <v>45839</v>
      </c>
      <c r="D257" t="s">
        <v>40</v>
      </c>
      <c r="E257">
        <v>22</v>
      </c>
      <c r="F257">
        <v>267435</v>
      </c>
      <c r="G257">
        <v>6</v>
      </c>
      <c r="H257">
        <v>1604610</v>
      </c>
      <c r="I257">
        <v>1605</v>
      </c>
      <c r="J257">
        <v>1603005</v>
      </c>
      <c r="K257" s="1">
        <v>45867</v>
      </c>
      <c r="L257" t="s">
        <v>53</v>
      </c>
      <c r="M257" t="str">
        <f t="shared" si="6"/>
        <v>OK</v>
      </c>
      <c r="N257">
        <f t="shared" si="7"/>
        <v>0</v>
      </c>
    </row>
    <row r="258" spans="1:14" x14ac:dyDescent="0.3">
      <c r="A258">
        <v>5</v>
      </c>
      <c r="B258" s="1">
        <v>45883</v>
      </c>
      <c r="C258" s="1">
        <v>45870</v>
      </c>
      <c r="D258" t="s">
        <v>40</v>
      </c>
      <c r="E258">
        <v>22</v>
      </c>
      <c r="F258">
        <v>225236</v>
      </c>
      <c r="G258">
        <v>6</v>
      </c>
      <c r="H258">
        <v>1351416</v>
      </c>
      <c r="I258">
        <v>1351</v>
      </c>
      <c r="J258">
        <v>1350065</v>
      </c>
      <c r="K258" s="1">
        <v>45898</v>
      </c>
      <c r="L258" t="s">
        <v>53</v>
      </c>
      <c r="M258" t="str">
        <f t="shared" ref="M258:M301" si="8">IF(ROUND(H258-I258,0)=ROUND(J258,0),"OK","Review")</f>
        <v>OK</v>
      </c>
      <c r="N258">
        <f t="shared" ref="N258:N301" si="9">ROUND(H258-I258-J258,2)</f>
        <v>0</v>
      </c>
    </row>
    <row r="259" spans="1:14" x14ac:dyDescent="0.3">
      <c r="A259">
        <v>6</v>
      </c>
      <c r="B259" s="1">
        <v>45908</v>
      </c>
      <c r="C259" s="1">
        <v>45901</v>
      </c>
      <c r="D259" t="s">
        <v>40</v>
      </c>
      <c r="E259">
        <v>22</v>
      </c>
      <c r="F259">
        <v>201857</v>
      </c>
      <c r="G259">
        <v>6</v>
      </c>
      <c r="H259">
        <v>1211142</v>
      </c>
      <c r="I259">
        <v>1211</v>
      </c>
      <c r="J259">
        <v>1209931</v>
      </c>
      <c r="K259" s="1">
        <v>45923</v>
      </c>
      <c r="L259" t="s">
        <v>53</v>
      </c>
      <c r="M259" t="str">
        <f t="shared" si="8"/>
        <v>OK</v>
      </c>
      <c r="N259">
        <f t="shared" si="9"/>
        <v>0</v>
      </c>
    </row>
    <row r="260" spans="1:14" x14ac:dyDescent="0.3">
      <c r="A260">
        <v>7</v>
      </c>
      <c r="B260" s="1">
        <v>45938</v>
      </c>
      <c r="C260" s="1">
        <v>45931</v>
      </c>
      <c r="D260" t="s">
        <v>40</v>
      </c>
      <c r="E260">
        <v>22</v>
      </c>
      <c r="F260">
        <v>72194</v>
      </c>
      <c r="G260">
        <v>6</v>
      </c>
      <c r="H260">
        <v>433164</v>
      </c>
      <c r="I260">
        <v>433</v>
      </c>
      <c r="J260">
        <v>432731</v>
      </c>
      <c r="K260" s="1">
        <v>45953</v>
      </c>
      <c r="L260" t="s">
        <v>55</v>
      </c>
      <c r="M260" t="str">
        <f t="shared" si="8"/>
        <v>OK</v>
      </c>
      <c r="N260">
        <f t="shared" si="9"/>
        <v>0</v>
      </c>
    </row>
    <row r="261" spans="1:14" x14ac:dyDescent="0.3">
      <c r="A261">
        <v>8</v>
      </c>
      <c r="B261" s="1">
        <v>45973</v>
      </c>
      <c r="C261" s="1">
        <v>45962</v>
      </c>
      <c r="D261" t="s">
        <v>40</v>
      </c>
      <c r="E261">
        <v>22</v>
      </c>
      <c r="F261">
        <v>40403</v>
      </c>
      <c r="G261">
        <v>6</v>
      </c>
      <c r="H261">
        <v>242418</v>
      </c>
      <c r="I261">
        <v>242</v>
      </c>
      <c r="J261">
        <v>242176</v>
      </c>
      <c r="K261" s="1">
        <v>45988</v>
      </c>
      <c r="L261" t="s">
        <v>55</v>
      </c>
      <c r="M261" t="str">
        <f t="shared" si="8"/>
        <v>OK</v>
      </c>
      <c r="N261">
        <f t="shared" si="9"/>
        <v>0</v>
      </c>
    </row>
    <row r="262" spans="1:14" x14ac:dyDescent="0.3">
      <c r="A262">
        <v>9</v>
      </c>
      <c r="B262" s="1">
        <v>46003</v>
      </c>
      <c r="C262" s="1">
        <v>45992</v>
      </c>
      <c r="D262" t="s">
        <v>40</v>
      </c>
      <c r="E262">
        <v>22</v>
      </c>
      <c r="F262">
        <v>52561</v>
      </c>
      <c r="G262">
        <v>6</v>
      </c>
      <c r="H262">
        <v>315366</v>
      </c>
      <c r="I262">
        <v>315</v>
      </c>
      <c r="J262">
        <v>315051</v>
      </c>
      <c r="K262" s="1">
        <v>46018</v>
      </c>
      <c r="L262" t="s">
        <v>55</v>
      </c>
      <c r="M262" t="str">
        <f t="shared" si="8"/>
        <v>OK</v>
      </c>
      <c r="N262">
        <f t="shared" si="9"/>
        <v>0</v>
      </c>
    </row>
    <row r="263" spans="1:14" x14ac:dyDescent="0.3">
      <c r="A263">
        <v>10</v>
      </c>
      <c r="B263" s="1">
        <v>46029</v>
      </c>
      <c r="C263" s="1">
        <v>46023</v>
      </c>
      <c r="D263" t="s">
        <v>40</v>
      </c>
      <c r="E263">
        <v>22</v>
      </c>
      <c r="F263">
        <v>57832</v>
      </c>
      <c r="G263">
        <v>6</v>
      </c>
      <c r="H263">
        <v>346992</v>
      </c>
      <c r="I263">
        <v>347</v>
      </c>
      <c r="J263">
        <v>346645</v>
      </c>
      <c r="K263" s="1">
        <v>46044</v>
      </c>
      <c r="L263" t="s">
        <v>55</v>
      </c>
      <c r="M263" t="str">
        <f t="shared" si="8"/>
        <v>OK</v>
      </c>
      <c r="N263">
        <f t="shared" si="9"/>
        <v>0</v>
      </c>
    </row>
    <row r="264" spans="1:14" x14ac:dyDescent="0.3">
      <c r="A264">
        <v>11</v>
      </c>
      <c r="B264" s="1">
        <v>46072</v>
      </c>
      <c r="C264" s="1">
        <v>46054</v>
      </c>
      <c r="D264" t="s">
        <v>40</v>
      </c>
      <c r="E264">
        <v>22</v>
      </c>
      <c r="F264">
        <v>49218</v>
      </c>
      <c r="G264">
        <v>6</v>
      </c>
      <c r="H264">
        <v>295308</v>
      </c>
      <c r="I264">
        <v>295</v>
      </c>
      <c r="J264">
        <v>295013</v>
      </c>
      <c r="K264" s="1">
        <v>46087</v>
      </c>
      <c r="L264" t="s">
        <v>53</v>
      </c>
      <c r="M264" t="str">
        <f t="shared" si="8"/>
        <v>OK</v>
      </c>
      <c r="N264">
        <f t="shared" si="9"/>
        <v>0</v>
      </c>
    </row>
    <row r="265" spans="1:14" x14ac:dyDescent="0.3">
      <c r="A265">
        <v>12</v>
      </c>
      <c r="B265" s="1">
        <v>46088</v>
      </c>
      <c r="C265" s="1">
        <v>46082</v>
      </c>
      <c r="D265" t="s">
        <v>40</v>
      </c>
      <c r="E265">
        <v>22</v>
      </c>
      <c r="F265">
        <v>29755</v>
      </c>
      <c r="G265">
        <v>6</v>
      </c>
      <c r="H265">
        <v>178530</v>
      </c>
      <c r="I265">
        <v>179</v>
      </c>
      <c r="J265">
        <v>178351</v>
      </c>
      <c r="K265" s="1">
        <v>46103</v>
      </c>
      <c r="L265" t="s">
        <v>53</v>
      </c>
      <c r="M265" t="str">
        <f t="shared" si="8"/>
        <v>OK</v>
      </c>
      <c r="N265">
        <f t="shared" si="9"/>
        <v>0</v>
      </c>
    </row>
    <row r="266" spans="1:14" x14ac:dyDescent="0.3">
      <c r="A266">
        <v>1</v>
      </c>
      <c r="B266" s="1">
        <v>45755</v>
      </c>
      <c r="C266" s="1">
        <v>45748</v>
      </c>
      <c r="D266" t="s">
        <v>40</v>
      </c>
      <c r="E266">
        <v>23</v>
      </c>
      <c r="F266">
        <v>68638</v>
      </c>
      <c r="G266">
        <v>6</v>
      </c>
      <c r="H266">
        <v>411828</v>
      </c>
      <c r="I266">
        <v>412</v>
      </c>
      <c r="J266">
        <v>411416</v>
      </c>
      <c r="K266" s="1">
        <v>45770</v>
      </c>
      <c r="L266" t="s">
        <v>53</v>
      </c>
      <c r="M266" t="str">
        <f t="shared" si="8"/>
        <v>OK</v>
      </c>
      <c r="N266">
        <f t="shared" si="9"/>
        <v>0</v>
      </c>
    </row>
    <row r="267" spans="1:14" x14ac:dyDescent="0.3">
      <c r="A267">
        <v>2</v>
      </c>
      <c r="B267" s="1">
        <v>45789</v>
      </c>
      <c r="C267" s="1">
        <v>45778</v>
      </c>
      <c r="D267" t="s">
        <v>40</v>
      </c>
      <c r="E267">
        <v>23</v>
      </c>
      <c r="F267">
        <v>207567</v>
      </c>
      <c r="G267">
        <v>6</v>
      </c>
      <c r="H267">
        <v>1245402</v>
      </c>
      <c r="I267">
        <v>1245</v>
      </c>
      <c r="J267">
        <v>1244157</v>
      </c>
      <c r="K267" s="1">
        <v>45804</v>
      </c>
      <c r="L267" t="s">
        <v>53</v>
      </c>
      <c r="M267" t="str">
        <f t="shared" si="8"/>
        <v>OK</v>
      </c>
      <c r="N267">
        <f t="shared" si="9"/>
        <v>0</v>
      </c>
    </row>
    <row r="268" spans="1:14" x14ac:dyDescent="0.3">
      <c r="A268">
        <v>3</v>
      </c>
      <c r="B268" s="1">
        <v>45817</v>
      </c>
      <c r="C268" s="1">
        <v>45809</v>
      </c>
      <c r="D268" t="s">
        <v>40</v>
      </c>
      <c r="E268">
        <v>23</v>
      </c>
      <c r="F268">
        <v>278762</v>
      </c>
      <c r="G268">
        <v>6</v>
      </c>
      <c r="H268">
        <v>1672572</v>
      </c>
      <c r="I268">
        <v>1673</v>
      </c>
      <c r="J268">
        <v>1670899</v>
      </c>
      <c r="K268" s="1">
        <v>45832</v>
      </c>
      <c r="L268" t="s">
        <v>53</v>
      </c>
      <c r="M268" t="str">
        <f t="shared" si="8"/>
        <v>OK</v>
      </c>
      <c r="N268">
        <f t="shared" si="9"/>
        <v>0</v>
      </c>
    </row>
    <row r="269" spans="1:14" x14ac:dyDescent="0.3">
      <c r="A269">
        <v>4</v>
      </c>
      <c r="B269" s="1">
        <v>45852</v>
      </c>
      <c r="C269" s="1">
        <v>45839</v>
      </c>
      <c r="D269" t="s">
        <v>40</v>
      </c>
      <c r="E269">
        <v>23</v>
      </c>
      <c r="F269">
        <v>322060</v>
      </c>
      <c r="G269">
        <v>6</v>
      </c>
      <c r="H269">
        <v>1932360</v>
      </c>
      <c r="I269">
        <v>1932</v>
      </c>
      <c r="J269">
        <v>1930428</v>
      </c>
      <c r="K269" s="1">
        <v>45867</v>
      </c>
      <c r="L269" t="s">
        <v>53</v>
      </c>
      <c r="M269" t="str">
        <f t="shared" si="8"/>
        <v>OK</v>
      </c>
      <c r="N269">
        <f t="shared" si="9"/>
        <v>0</v>
      </c>
    </row>
    <row r="270" spans="1:14" x14ac:dyDescent="0.3">
      <c r="A270">
        <v>5</v>
      </c>
      <c r="B270" s="1">
        <v>45883</v>
      </c>
      <c r="C270" s="1">
        <v>45870</v>
      </c>
      <c r="D270" t="s">
        <v>40</v>
      </c>
      <c r="E270">
        <v>23</v>
      </c>
      <c r="F270">
        <v>298180</v>
      </c>
      <c r="G270">
        <v>6</v>
      </c>
      <c r="H270">
        <v>1789080</v>
      </c>
      <c r="I270">
        <v>1789</v>
      </c>
      <c r="J270">
        <v>1787291</v>
      </c>
      <c r="K270" s="1">
        <v>45898</v>
      </c>
      <c r="L270" t="s">
        <v>55</v>
      </c>
      <c r="M270" t="str">
        <f t="shared" si="8"/>
        <v>OK</v>
      </c>
      <c r="N270">
        <f t="shared" si="9"/>
        <v>0</v>
      </c>
    </row>
    <row r="271" spans="1:14" x14ac:dyDescent="0.3">
      <c r="A271">
        <v>6</v>
      </c>
      <c r="B271" s="1">
        <v>45908</v>
      </c>
      <c r="C271" s="1">
        <v>45901</v>
      </c>
      <c r="D271" t="s">
        <v>40</v>
      </c>
      <c r="E271">
        <v>23</v>
      </c>
      <c r="F271">
        <v>259620</v>
      </c>
      <c r="G271">
        <v>6</v>
      </c>
      <c r="H271">
        <v>1557720</v>
      </c>
      <c r="I271">
        <v>1558</v>
      </c>
      <c r="J271">
        <v>1556162</v>
      </c>
      <c r="K271" s="1">
        <v>45923</v>
      </c>
      <c r="L271" t="s">
        <v>53</v>
      </c>
      <c r="M271" t="str">
        <f t="shared" si="8"/>
        <v>OK</v>
      </c>
      <c r="N271">
        <f t="shared" si="9"/>
        <v>0</v>
      </c>
    </row>
    <row r="272" spans="1:14" x14ac:dyDescent="0.3">
      <c r="A272">
        <v>7</v>
      </c>
      <c r="B272" s="1">
        <v>45957</v>
      </c>
      <c r="C272" s="1">
        <v>45931</v>
      </c>
      <c r="D272" t="s">
        <v>40</v>
      </c>
      <c r="E272">
        <v>23</v>
      </c>
      <c r="F272">
        <v>79220</v>
      </c>
      <c r="G272">
        <v>6</v>
      </c>
      <c r="H272">
        <v>475320</v>
      </c>
      <c r="I272">
        <v>475</v>
      </c>
      <c r="J272">
        <v>474845</v>
      </c>
      <c r="K272" s="1">
        <v>45972</v>
      </c>
      <c r="L272" t="s">
        <v>53</v>
      </c>
      <c r="M272" t="str">
        <f t="shared" si="8"/>
        <v>OK</v>
      </c>
      <c r="N272">
        <f t="shared" si="9"/>
        <v>0</v>
      </c>
    </row>
    <row r="273" spans="1:14" x14ac:dyDescent="0.3">
      <c r="A273">
        <v>8</v>
      </c>
      <c r="B273" s="1">
        <v>45973</v>
      </c>
      <c r="C273" s="1">
        <v>45962</v>
      </c>
      <c r="D273" t="s">
        <v>40</v>
      </c>
      <c r="E273">
        <v>23</v>
      </c>
      <c r="F273">
        <v>45069</v>
      </c>
      <c r="G273">
        <v>6</v>
      </c>
      <c r="H273">
        <v>270414</v>
      </c>
      <c r="I273">
        <v>270</v>
      </c>
      <c r="J273">
        <v>270144</v>
      </c>
      <c r="K273" s="1">
        <v>45988</v>
      </c>
      <c r="L273" t="s">
        <v>55</v>
      </c>
      <c r="M273" t="str">
        <f t="shared" si="8"/>
        <v>OK</v>
      </c>
      <c r="N273">
        <f t="shared" si="9"/>
        <v>0</v>
      </c>
    </row>
    <row r="274" spans="1:14" x14ac:dyDescent="0.3">
      <c r="A274">
        <v>9</v>
      </c>
      <c r="B274" s="1">
        <v>46003</v>
      </c>
      <c r="C274" s="1">
        <v>45992</v>
      </c>
      <c r="D274" t="s">
        <v>40</v>
      </c>
      <c r="E274">
        <v>23</v>
      </c>
      <c r="F274">
        <v>62931</v>
      </c>
      <c r="G274">
        <v>6</v>
      </c>
      <c r="H274">
        <v>377586</v>
      </c>
      <c r="I274">
        <v>378</v>
      </c>
      <c r="J274">
        <v>377208</v>
      </c>
      <c r="K274" s="1">
        <v>46018</v>
      </c>
      <c r="L274" t="s">
        <v>55</v>
      </c>
      <c r="M274" t="str">
        <f t="shared" si="8"/>
        <v>OK</v>
      </c>
      <c r="N274">
        <f t="shared" si="9"/>
        <v>0</v>
      </c>
    </row>
    <row r="275" spans="1:14" x14ac:dyDescent="0.3">
      <c r="A275">
        <v>10</v>
      </c>
      <c r="B275" s="1">
        <v>46030</v>
      </c>
      <c r="C275" s="1">
        <v>46023</v>
      </c>
      <c r="D275" t="s">
        <v>40</v>
      </c>
      <c r="E275">
        <v>23</v>
      </c>
      <c r="F275">
        <v>63880</v>
      </c>
      <c r="G275">
        <v>6</v>
      </c>
      <c r="H275">
        <v>383280</v>
      </c>
      <c r="I275">
        <v>383</v>
      </c>
      <c r="J275">
        <v>382897</v>
      </c>
      <c r="K275" s="1">
        <v>46045</v>
      </c>
      <c r="L275" t="s">
        <v>53</v>
      </c>
      <c r="M275" t="str">
        <f t="shared" si="8"/>
        <v>OK</v>
      </c>
      <c r="N275">
        <f t="shared" si="9"/>
        <v>0</v>
      </c>
    </row>
    <row r="276" spans="1:14" x14ac:dyDescent="0.3">
      <c r="A276">
        <v>11</v>
      </c>
      <c r="B276" s="1">
        <v>46073</v>
      </c>
      <c r="C276" s="1">
        <v>46054</v>
      </c>
      <c r="D276" t="s">
        <v>40</v>
      </c>
      <c r="E276">
        <v>23</v>
      </c>
      <c r="F276">
        <v>54480</v>
      </c>
      <c r="G276">
        <v>6</v>
      </c>
      <c r="H276">
        <v>326880</v>
      </c>
      <c r="I276">
        <v>327</v>
      </c>
      <c r="J276">
        <v>326553</v>
      </c>
      <c r="K276" s="1">
        <v>46088</v>
      </c>
      <c r="L276" t="s">
        <v>53</v>
      </c>
      <c r="M276" t="str">
        <f t="shared" si="8"/>
        <v>OK</v>
      </c>
      <c r="N276">
        <f t="shared" si="9"/>
        <v>0</v>
      </c>
    </row>
    <row r="277" spans="1:14" x14ac:dyDescent="0.3">
      <c r="A277">
        <v>12</v>
      </c>
      <c r="B277" s="1">
        <v>46088</v>
      </c>
      <c r="C277" s="1">
        <v>46082</v>
      </c>
      <c r="D277" t="s">
        <v>40</v>
      </c>
      <c r="E277">
        <v>23</v>
      </c>
      <c r="F277">
        <v>31160</v>
      </c>
      <c r="G277">
        <v>6</v>
      </c>
      <c r="H277">
        <v>186960</v>
      </c>
      <c r="I277">
        <v>187</v>
      </c>
      <c r="J277">
        <v>186773</v>
      </c>
      <c r="K277" s="1">
        <v>46103</v>
      </c>
      <c r="L277" t="s">
        <v>53</v>
      </c>
      <c r="M277" t="str">
        <f t="shared" si="8"/>
        <v>OK</v>
      </c>
      <c r="N277">
        <f t="shared" si="9"/>
        <v>0</v>
      </c>
    </row>
    <row r="278" spans="1:14" x14ac:dyDescent="0.3">
      <c r="A278">
        <v>1</v>
      </c>
      <c r="B278" s="1">
        <v>45755</v>
      </c>
      <c r="C278" s="1">
        <v>45748</v>
      </c>
      <c r="D278" t="s">
        <v>40</v>
      </c>
      <c r="E278">
        <v>24</v>
      </c>
      <c r="F278">
        <v>80100</v>
      </c>
      <c r="G278">
        <v>6</v>
      </c>
      <c r="H278">
        <v>480600</v>
      </c>
      <c r="I278">
        <v>481</v>
      </c>
      <c r="J278">
        <v>480119</v>
      </c>
      <c r="K278" s="1">
        <v>45765</v>
      </c>
      <c r="L278" t="s">
        <v>53</v>
      </c>
      <c r="M278" t="str">
        <f t="shared" si="8"/>
        <v>OK</v>
      </c>
      <c r="N278">
        <f t="shared" si="9"/>
        <v>0</v>
      </c>
    </row>
    <row r="279" spans="1:14" x14ac:dyDescent="0.3">
      <c r="A279">
        <v>2</v>
      </c>
      <c r="B279" s="1">
        <v>45789</v>
      </c>
      <c r="C279" s="1">
        <v>45778</v>
      </c>
      <c r="D279" t="s">
        <v>40</v>
      </c>
      <c r="E279">
        <v>24</v>
      </c>
      <c r="F279">
        <v>150255</v>
      </c>
      <c r="G279">
        <v>6</v>
      </c>
      <c r="H279">
        <v>901530</v>
      </c>
      <c r="I279">
        <v>902</v>
      </c>
      <c r="J279">
        <v>900628</v>
      </c>
      <c r="K279" s="1">
        <v>45799</v>
      </c>
      <c r="L279" t="s">
        <v>53</v>
      </c>
      <c r="M279" t="str">
        <f t="shared" si="8"/>
        <v>OK</v>
      </c>
      <c r="N279">
        <f t="shared" si="9"/>
        <v>0</v>
      </c>
    </row>
    <row r="280" spans="1:14" x14ac:dyDescent="0.3">
      <c r="A280">
        <v>3</v>
      </c>
      <c r="B280" s="1">
        <v>45817</v>
      </c>
      <c r="C280" s="1">
        <v>45809</v>
      </c>
      <c r="D280" t="s">
        <v>40</v>
      </c>
      <c r="E280">
        <v>24</v>
      </c>
      <c r="F280">
        <v>249495</v>
      </c>
      <c r="G280">
        <v>6</v>
      </c>
      <c r="H280">
        <v>1496970</v>
      </c>
      <c r="I280">
        <v>1497</v>
      </c>
      <c r="J280">
        <v>1495473</v>
      </c>
      <c r="K280" s="1">
        <v>45827</v>
      </c>
      <c r="L280" t="s">
        <v>53</v>
      </c>
      <c r="M280" t="str">
        <f t="shared" si="8"/>
        <v>OK</v>
      </c>
      <c r="N280">
        <f t="shared" si="9"/>
        <v>0</v>
      </c>
    </row>
    <row r="281" spans="1:14" x14ac:dyDescent="0.3">
      <c r="A281">
        <v>4</v>
      </c>
      <c r="B281" s="1">
        <v>45852</v>
      </c>
      <c r="C281" s="1">
        <v>45839</v>
      </c>
      <c r="D281" t="s">
        <v>40</v>
      </c>
      <c r="E281">
        <v>24</v>
      </c>
      <c r="F281">
        <v>337710</v>
      </c>
      <c r="G281">
        <v>6</v>
      </c>
      <c r="H281">
        <v>2026260</v>
      </c>
      <c r="I281">
        <v>2026</v>
      </c>
      <c r="J281">
        <v>2024234</v>
      </c>
      <c r="K281" s="1">
        <v>45862</v>
      </c>
      <c r="L281" t="s">
        <v>53</v>
      </c>
      <c r="M281" t="str">
        <f t="shared" si="8"/>
        <v>OK</v>
      </c>
      <c r="N281">
        <f t="shared" si="9"/>
        <v>0</v>
      </c>
    </row>
    <row r="282" spans="1:14" x14ac:dyDescent="0.3">
      <c r="A282">
        <v>5</v>
      </c>
      <c r="B282" s="1">
        <v>45883</v>
      </c>
      <c r="C282" s="1">
        <v>45870</v>
      </c>
      <c r="D282" t="s">
        <v>40</v>
      </c>
      <c r="E282">
        <v>24</v>
      </c>
      <c r="F282">
        <v>224708</v>
      </c>
      <c r="G282">
        <v>6</v>
      </c>
      <c r="H282">
        <v>1348248</v>
      </c>
      <c r="I282">
        <v>1348</v>
      </c>
      <c r="J282">
        <v>1346900</v>
      </c>
      <c r="K282" s="1">
        <v>45893</v>
      </c>
      <c r="L282" t="s">
        <v>53</v>
      </c>
      <c r="M282" t="str">
        <f t="shared" si="8"/>
        <v>OK</v>
      </c>
      <c r="N282">
        <f t="shared" si="9"/>
        <v>0</v>
      </c>
    </row>
    <row r="283" spans="1:14" x14ac:dyDescent="0.3">
      <c r="A283">
        <v>6</v>
      </c>
      <c r="B283" s="1">
        <v>45908</v>
      </c>
      <c r="C283" s="1">
        <v>45901</v>
      </c>
      <c r="D283" t="s">
        <v>40</v>
      </c>
      <c r="E283">
        <v>24</v>
      </c>
      <c r="F283">
        <v>202133</v>
      </c>
      <c r="G283">
        <v>6</v>
      </c>
      <c r="H283">
        <v>1212798</v>
      </c>
      <c r="I283">
        <v>1213</v>
      </c>
      <c r="J283">
        <v>1211585</v>
      </c>
      <c r="K283" s="1">
        <v>45918</v>
      </c>
      <c r="L283" t="s">
        <v>53</v>
      </c>
      <c r="M283" t="str">
        <f t="shared" si="8"/>
        <v>OK</v>
      </c>
      <c r="N283">
        <f t="shared" si="9"/>
        <v>0</v>
      </c>
    </row>
    <row r="284" spans="1:14" x14ac:dyDescent="0.3">
      <c r="A284">
        <v>7</v>
      </c>
      <c r="B284" s="1">
        <v>45957</v>
      </c>
      <c r="C284" s="1">
        <v>45931</v>
      </c>
      <c r="D284" t="s">
        <v>40</v>
      </c>
      <c r="E284">
        <v>24</v>
      </c>
      <c r="F284">
        <v>87578</v>
      </c>
      <c r="G284">
        <v>6</v>
      </c>
      <c r="H284">
        <v>525468</v>
      </c>
      <c r="I284">
        <v>525</v>
      </c>
      <c r="J284">
        <v>524943</v>
      </c>
      <c r="K284" s="1">
        <v>45967</v>
      </c>
      <c r="L284" t="s">
        <v>53</v>
      </c>
      <c r="M284" t="str">
        <f t="shared" si="8"/>
        <v>OK</v>
      </c>
      <c r="N284">
        <f t="shared" si="9"/>
        <v>0</v>
      </c>
    </row>
    <row r="285" spans="1:14" x14ac:dyDescent="0.3">
      <c r="A285">
        <v>8</v>
      </c>
      <c r="B285" s="1">
        <v>45973</v>
      </c>
      <c r="C285" s="1">
        <v>45962</v>
      </c>
      <c r="D285" t="s">
        <v>40</v>
      </c>
      <c r="E285">
        <v>24</v>
      </c>
      <c r="F285">
        <v>65318</v>
      </c>
      <c r="G285">
        <v>6</v>
      </c>
      <c r="H285">
        <v>391908</v>
      </c>
      <c r="I285">
        <v>392</v>
      </c>
      <c r="J285">
        <v>391516</v>
      </c>
      <c r="K285" s="1">
        <v>45983</v>
      </c>
      <c r="L285" t="s">
        <v>53</v>
      </c>
      <c r="M285" t="str">
        <f t="shared" si="8"/>
        <v>OK</v>
      </c>
      <c r="N285">
        <f t="shared" si="9"/>
        <v>0</v>
      </c>
    </row>
    <row r="286" spans="1:14" x14ac:dyDescent="0.3">
      <c r="A286">
        <v>9</v>
      </c>
      <c r="B286" s="1">
        <v>46003</v>
      </c>
      <c r="C286" s="1">
        <v>45992</v>
      </c>
      <c r="D286" t="s">
        <v>40</v>
      </c>
      <c r="E286">
        <v>24</v>
      </c>
      <c r="F286">
        <v>66997</v>
      </c>
      <c r="G286">
        <v>6</v>
      </c>
      <c r="H286">
        <v>401982</v>
      </c>
      <c r="I286">
        <v>402</v>
      </c>
      <c r="J286">
        <v>401580</v>
      </c>
      <c r="K286" s="1">
        <v>46013</v>
      </c>
      <c r="L286" t="s">
        <v>53</v>
      </c>
      <c r="M286" t="str">
        <f t="shared" si="8"/>
        <v>OK</v>
      </c>
      <c r="N286">
        <f t="shared" si="9"/>
        <v>0</v>
      </c>
    </row>
    <row r="287" spans="1:14" x14ac:dyDescent="0.3">
      <c r="A287">
        <v>10</v>
      </c>
      <c r="B287" s="1">
        <v>46030</v>
      </c>
      <c r="C287" s="1">
        <v>46023</v>
      </c>
      <c r="D287" t="s">
        <v>40</v>
      </c>
      <c r="E287">
        <v>24</v>
      </c>
      <c r="F287">
        <v>75143</v>
      </c>
      <c r="G287">
        <v>6</v>
      </c>
      <c r="H287">
        <v>450858</v>
      </c>
      <c r="I287">
        <v>451</v>
      </c>
      <c r="J287">
        <v>450407</v>
      </c>
      <c r="K287" s="1">
        <v>46040</v>
      </c>
      <c r="L287" t="s">
        <v>53</v>
      </c>
      <c r="M287" t="str">
        <f t="shared" si="8"/>
        <v>OK</v>
      </c>
      <c r="N287">
        <f t="shared" si="9"/>
        <v>0</v>
      </c>
    </row>
    <row r="288" spans="1:14" x14ac:dyDescent="0.3">
      <c r="A288">
        <v>11</v>
      </c>
      <c r="B288" s="1">
        <v>46073</v>
      </c>
      <c r="C288" s="1">
        <v>46054</v>
      </c>
      <c r="D288" t="s">
        <v>40</v>
      </c>
      <c r="E288">
        <v>24</v>
      </c>
      <c r="F288">
        <v>59160</v>
      </c>
      <c r="G288">
        <v>6</v>
      </c>
      <c r="H288">
        <v>354960</v>
      </c>
      <c r="I288">
        <v>355</v>
      </c>
      <c r="J288">
        <v>354605</v>
      </c>
      <c r="K288" s="1">
        <v>46083</v>
      </c>
      <c r="L288" t="s">
        <v>53</v>
      </c>
      <c r="M288" t="str">
        <f t="shared" si="8"/>
        <v>OK</v>
      </c>
      <c r="N288">
        <f t="shared" si="9"/>
        <v>0</v>
      </c>
    </row>
    <row r="289" spans="1:14" x14ac:dyDescent="0.3">
      <c r="A289">
        <v>12</v>
      </c>
      <c r="B289" s="1">
        <v>46088</v>
      </c>
      <c r="C289" s="1">
        <v>46082</v>
      </c>
      <c r="D289" t="s">
        <v>40</v>
      </c>
      <c r="E289">
        <v>24</v>
      </c>
      <c r="F289">
        <v>61950</v>
      </c>
      <c r="G289">
        <v>6</v>
      </c>
      <c r="H289">
        <v>371700</v>
      </c>
      <c r="I289">
        <v>372</v>
      </c>
      <c r="J289">
        <v>371328</v>
      </c>
      <c r="K289" s="1">
        <v>46098</v>
      </c>
      <c r="L289" t="s">
        <v>53</v>
      </c>
      <c r="M289" t="str">
        <f t="shared" si="8"/>
        <v>OK</v>
      </c>
      <c r="N289">
        <f t="shared" si="9"/>
        <v>0</v>
      </c>
    </row>
    <row r="290" spans="1:14" x14ac:dyDescent="0.3">
      <c r="A290">
        <v>1</v>
      </c>
      <c r="B290" s="1">
        <v>45757</v>
      </c>
      <c r="C290" s="1">
        <v>45748</v>
      </c>
      <c r="D290" t="s">
        <v>40</v>
      </c>
      <c r="E290">
        <v>25</v>
      </c>
      <c r="F290">
        <v>970280</v>
      </c>
      <c r="G290">
        <v>6</v>
      </c>
      <c r="H290">
        <v>5821678</v>
      </c>
      <c r="I290">
        <v>5822</v>
      </c>
      <c r="J290">
        <v>5815856</v>
      </c>
      <c r="K290" s="1">
        <v>45767</v>
      </c>
      <c r="L290" t="s">
        <v>53</v>
      </c>
      <c r="M290" t="str">
        <f t="shared" si="8"/>
        <v>OK</v>
      </c>
      <c r="N290">
        <f t="shared" si="9"/>
        <v>0</v>
      </c>
    </row>
    <row r="291" spans="1:14" x14ac:dyDescent="0.3">
      <c r="A291">
        <v>2</v>
      </c>
      <c r="B291" s="1">
        <v>45789</v>
      </c>
      <c r="C291" s="1">
        <v>45778</v>
      </c>
      <c r="D291" t="s">
        <v>40</v>
      </c>
      <c r="E291">
        <v>25</v>
      </c>
      <c r="F291">
        <v>1358748</v>
      </c>
      <c r="G291">
        <v>6</v>
      </c>
      <c r="H291">
        <v>8152487</v>
      </c>
      <c r="I291">
        <v>8152</v>
      </c>
      <c r="J291">
        <v>8144335</v>
      </c>
      <c r="K291" s="1">
        <v>45799</v>
      </c>
      <c r="L291" t="s">
        <v>53</v>
      </c>
      <c r="M291" t="str">
        <f t="shared" si="8"/>
        <v>OK</v>
      </c>
      <c r="N291">
        <f t="shared" si="9"/>
        <v>0</v>
      </c>
    </row>
    <row r="292" spans="1:14" x14ac:dyDescent="0.3">
      <c r="A292">
        <v>3</v>
      </c>
      <c r="B292" s="1">
        <v>45817</v>
      </c>
      <c r="C292" s="1">
        <v>45809</v>
      </c>
      <c r="D292" t="s">
        <v>40</v>
      </c>
      <c r="E292">
        <v>25</v>
      </c>
      <c r="F292">
        <v>2403665</v>
      </c>
      <c r="G292">
        <v>6</v>
      </c>
      <c r="H292">
        <v>14421989</v>
      </c>
      <c r="I292">
        <v>14422</v>
      </c>
      <c r="J292">
        <v>14407567</v>
      </c>
      <c r="K292" s="1">
        <v>45827</v>
      </c>
      <c r="L292" t="s">
        <v>53</v>
      </c>
      <c r="M292" t="str">
        <f t="shared" si="8"/>
        <v>OK</v>
      </c>
      <c r="N292">
        <f t="shared" si="9"/>
        <v>0</v>
      </c>
    </row>
    <row r="293" spans="1:14" x14ac:dyDescent="0.3">
      <c r="A293">
        <v>4</v>
      </c>
      <c r="B293" s="1">
        <v>45852</v>
      </c>
      <c r="C293" s="1">
        <v>45839</v>
      </c>
      <c r="D293" t="s">
        <v>40</v>
      </c>
      <c r="E293">
        <v>25</v>
      </c>
      <c r="F293">
        <v>2919780</v>
      </c>
      <c r="G293">
        <v>6</v>
      </c>
      <c r="H293">
        <v>17518678</v>
      </c>
      <c r="I293">
        <v>17519</v>
      </c>
      <c r="J293">
        <v>17501159</v>
      </c>
      <c r="K293" s="1">
        <v>45862</v>
      </c>
      <c r="L293" t="s">
        <v>53</v>
      </c>
      <c r="M293" t="str">
        <f t="shared" si="8"/>
        <v>OK</v>
      </c>
      <c r="N293">
        <f t="shared" si="9"/>
        <v>0</v>
      </c>
    </row>
    <row r="294" spans="1:14" x14ac:dyDescent="0.3">
      <c r="A294">
        <v>5</v>
      </c>
      <c r="B294" s="1">
        <v>45883</v>
      </c>
      <c r="C294" s="1">
        <v>45870</v>
      </c>
      <c r="D294" t="s">
        <v>40</v>
      </c>
      <c r="E294">
        <v>25</v>
      </c>
      <c r="F294">
        <v>2097476</v>
      </c>
      <c r="G294">
        <v>6</v>
      </c>
      <c r="H294">
        <v>12584856</v>
      </c>
      <c r="I294">
        <v>12585</v>
      </c>
      <c r="J294">
        <v>12572271</v>
      </c>
      <c r="K294" s="1">
        <v>45893</v>
      </c>
      <c r="L294" t="s">
        <v>55</v>
      </c>
      <c r="M294" t="str">
        <f t="shared" si="8"/>
        <v>OK</v>
      </c>
      <c r="N294">
        <f t="shared" si="9"/>
        <v>0</v>
      </c>
    </row>
    <row r="295" spans="1:14" x14ac:dyDescent="0.3">
      <c r="A295">
        <v>6</v>
      </c>
      <c r="B295" s="1">
        <v>45916</v>
      </c>
      <c r="C295" s="1">
        <v>45901</v>
      </c>
      <c r="D295" t="s">
        <v>40</v>
      </c>
      <c r="E295">
        <v>25</v>
      </c>
      <c r="F295">
        <v>1600225</v>
      </c>
      <c r="G295">
        <v>6</v>
      </c>
      <c r="H295">
        <v>9601349</v>
      </c>
      <c r="I295">
        <v>9601</v>
      </c>
      <c r="J295">
        <v>9591748</v>
      </c>
      <c r="K295" s="1">
        <v>45926</v>
      </c>
      <c r="L295" t="s">
        <v>55</v>
      </c>
      <c r="M295" t="str">
        <f t="shared" si="8"/>
        <v>OK</v>
      </c>
      <c r="N295">
        <f t="shared" si="9"/>
        <v>0</v>
      </c>
    </row>
    <row r="296" spans="1:14" x14ac:dyDescent="0.3">
      <c r="A296">
        <v>7</v>
      </c>
      <c r="B296" s="1">
        <v>45944</v>
      </c>
      <c r="C296" s="1">
        <v>45931</v>
      </c>
      <c r="D296" t="s">
        <v>40</v>
      </c>
      <c r="E296">
        <v>25</v>
      </c>
      <c r="F296">
        <v>940703</v>
      </c>
      <c r="G296">
        <v>6</v>
      </c>
      <c r="H296">
        <v>5644216</v>
      </c>
      <c r="I296">
        <v>5644</v>
      </c>
      <c r="J296">
        <v>5638572</v>
      </c>
      <c r="K296" s="1">
        <v>45954</v>
      </c>
      <c r="L296" t="s">
        <v>55</v>
      </c>
      <c r="M296" t="str">
        <f t="shared" si="8"/>
        <v>OK</v>
      </c>
      <c r="N296">
        <f t="shared" si="9"/>
        <v>0</v>
      </c>
    </row>
    <row r="297" spans="1:14" x14ac:dyDescent="0.3">
      <c r="A297">
        <v>8</v>
      </c>
      <c r="B297" s="1">
        <v>45973</v>
      </c>
      <c r="C297" s="1">
        <v>45962</v>
      </c>
      <c r="D297" t="s">
        <v>40</v>
      </c>
      <c r="E297">
        <v>25</v>
      </c>
      <c r="F297">
        <v>708646</v>
      </c>
      <c r="G297">
        <v>6</v>
      </c>
      <c r="H297">
        <v>4251874</v>
      </c>
      <c r="I297">
        <v>4252</v>
      </c>
      <c r="J297">
        <v>4247623</v>
      </c>
      <c r="K297" s="1">
        <v>45983</v>
      </c>
      <c r="L297" t="s">
        <v>55</v>
      </c>
      <c r="M297" t="str">
        <f t="shared" si="8"/>
        <v>Review</v>
      </c>
      <c r="N297">
        <f t="shared" si="9"/>
        <v>-1</v>
      </c>
    </row>
    <row r="298" spans="1:14" x14ac:dyDescent="0.3">
      <c r="A298">
        <v>9</v>
      </c>
      <c r="B298" s="1">
        <v>46013</v>
      </c>
      <c r="C298" s="1">
        <v>45992</v>
      </c>
      <c r="D298" t="s">
        <v>40</v>
      </c>
      <c r="E298">
        <v>25</v>
      </c>
      <c r="F298">
        <v>734937</v>
      </c>
      <c r="G298">
        <v>6</v>
      </c>
      <c r="H298">
        <v>4409624</v>
      </c>
      <c r="I298">
        <v>4410</v>
      </c>
      <c r="J298">
        <v>4405214</v>
      </c>
      <c r="K298" s="1">
        <v>46023</v>
      </c>
      <c r="L298" t="s">
        <v>55</v>
      </c>
      <c r="M298" t="str">
        <f t="shared" si="8"/>
        <v>OK</v>
      </c>
      <c r="N298">
        <f t="shared" si="9"/>
        <v>0</v>
      </c>
    </row>
    <row r="299" spans="1:14" x14ac:dyDescent="0.3">
      <c r="A299">
        <v>10</v>
      </c>
      <c r="B299" s="1">
        <v>46050</v>
      </c>
      <c r="C299" s="1">
        <v>46023</v>
      </c>
      <c r="D299" t="s">
        <v>40</v>
      </c>
      <c r="E299">
        <v>25</v>
      </c>
      <c r="F299">
        <v>469743</v>
      </c>
      <c r="G299">
        <v>6</v>
      </c>
      <c r="H299">
        <v>2818460</v>
      </c>
      <c r="I299">
        <v>2818</v>
      </c>
      <c r="J299">
        <v>2815641</v>
      </c>
      <c r="K299" s="1">
        <v>46060</v>
      </c>
      <c r="L299" t="s">
        <v>55</v>
      </c>
      <c r="M299" t="str">
        <f t="shared" si="8"/>
        <v>Review</v>
      </c>
      <c r="N299">
        <f t="shared" si="9"/>
        <v>1</v>
      </c>
    </row>
    <row r="300" spans="1:14" x14ac:dyDescent="0.3">
      <c r="A300">
        <v>11</v>
      </c>
      <c r="B300" s="1">
        <v>46072</v>
      </c>
      <c r="C300" s="1">
        <v>46054</v>
      </c>
      <c r="D300" t="s">
        <v>40</v>
      </c>
      <c r="E300">
        <v>25</v>
      </c>
      <c r="F300">
        <v>414841</v>
      </c>
      <c r="G300">
        <v>6</v>
      </c>
      <c r="H300">
        <v>2489046</v>
      </c>
      <c r="I300">
        <v>2489</v>
      </c>
      <c r="J300">
        <v>2486557</v>
      </c>
      <c r="K300" s="1">
        <v>46082</v>
      </c>
      <c r="L300" t="s">
        <v>55</v>
      </c>
      <c r="M300" t="str">
        <f t="shared" si="8"/>
        <v>OK</v>
      </c>
      <c r="N300">
        <f t="shared" si="9"/>
        <v>0</v>
      </c>
    </row>
    <row r="301" spans="1:14" x14ac:dyDescent="0.3">
      <c r="A301">
        <v>12</v>
      </c>
      <c r="B301" s="1">
        <v>46099</v>
      </c>
      <c r="C301" s="1">
        <v>46082</v>
      </c>
      <c r="D301" t="s">
        <v>40</v>
      </c>
      <c r="E301">
        <v>25</v>
      </c>
      <c r="F301">
        <v>574430</v>
      </c>
      <c r="G301">
        <v>6</v>
      </c>
      <c r="H301">
        <v>3446582</v>
      </c>
      <c r="I301">
        <v>3447</v>
      </c>
      <c r="J301">
        <v>3443136</v>
      </c>
      <c r="K301" s="1">
        <v>46109</v>
      </c>
      <c r="L301" t="s">
        <v>53</v>
      </c>
      <c r="M301" t="str">
        <f t="shared" si="8"/>
        <v>Review</v>
      </c>
      <c r="N301">
        <f t="shared" si="9"/>
        <v>-1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4FC6-9B9A-4A87-92FC-00DC342FD99E}">
  <dimension ref="A1:J301"/>
  <sheetViews>
    <sheetView workbookViewId="0"/>
  </sheetViews>
  <sheetFormatPr defaultRowHeight="14.4" x14ac:dyDescent="0.3"/>
  <cols>
    <col min="1" max="1" width="12.33203125" bestFit="1" customWidth="1"/>
    <col min="2" max="2" width="10.109375" bestFit="1" customWidth="1"/>
    <col min="3" max="3" width="11.109375" bestFit="1" customWidth="1"/>
    <col min="4" max="4" width="15.33203125" bestFit="1" customWidth="1"/>
    <col min="5" max="5" width="19.88671875" bestFit="1" customWidth="1"/>
    <col min="6" max="6" width="18.21875" bestFit="1" customWidth="1"/>
    <col min="7" max="7" width="20.77734375" bestFit="1" customWidth="1"/>
    <col min="8" max="8" width="11.77734375" bestFit="1" customWidth="1"/>
    <col min="9" max="9" width="12.6640625" bestFit="1" customWidth="1"/>
    <col min="10" max="10" width="15.44140625" bestFit="1" customWidth="1"/>
  </cols>
  <sheetData>
    <row r="1" spans="1:10" x14ac:dyDescent="0.3">
      <c r="A1" t="s">
        <v>41</v>
      </c>
      <c r="B1" t="s">
        <v>0</v>
      </c>
      <c r="C1" t="s">
        <v>48</v>
      </c>
      <c r="D1" t="s">
        <v>67</v>
      </c>
      <c r="E1" t="s">
        <v>47</v>
      </c>
      <c r="F1" t="s">
        <v>68</v>
      </c>
      <c r="G1" t="s">
        <v>69</v>
      </c>
      <c r="H1" t="s">
        <v>70</v>
      </c>
      <c r="I1" t="s">
        <v>71</v>
      </c>
      <c r="J1" t="s">
        <v>49</v>
      </c>
    </row>
    <row r="2" spans="1:10" x14ac:dyDescent="0.3">
      <c r="A2">
        <v>1</v>
      </c>
      <c r="B2">
        <v>1</v>
      </c>
      <c r="C2" s="1">
        <v>45804</v>
      </c>
      <c r="D2" s="1">
        <v>45807</v>
      </c>
      <c r="E2">
        <v>559657</v>
      </c>
      <c r="F2">
        <v>559659</v>
      </c>
      <c r="G2">
        <v>-2</v>
      </c>
      <c r="H2">
        <v>559659</v>
      </c>
      <c r="I2">
        <v>3</v>
      </c>
      <c r="J2" t="s">
        <v>53</v>
      </c>
    </row>
    <row r="3" spans="1:10" x14ac:dyDescent="0.3">
      <c r="A3">
        <v>2</v>
      </c>
      <c r="B3">
        <v>1</v>
      </c>
      <c r="C3" s="1">
        <v>45833</v>
      </c>
      <c r="D3" s="1">
        <v>45836</v>
      </c>
      <c r="E3">
        <v>732654</v>
      </c>
      <c r="F3">
        <v>732655</v>
      </c>
      <c r="G3">
        <v>-1</v>
      </c>
      <c r="H3">
        <v>732655</v>
      </c>
      <c r="I3">
        <v>3</v>
      </c>
      <c r="J3" t="s">
        <v>53</v>
      </c>
    </row>
    <row r="4" spans="1:10" x14ac:dyDescent="0.3">
      <c r="A4">
        <v>3</v>
      </c>
      <c r="B4">
        <v>1</v>
      </c>
      <c r="C4" s="1">
        <v>45860</v>
      </c>
      <c r="D4" s="1">
        <v>45860</v>
      </c>
      <c r="E4">
        <v>1630365</v>
      </c>
      <c r="F4">
        <v>1630368</v>
      </c>
      <c r="G4">
        <v>-3</v>
      </c>
      <c r="H4">
        <v>1630368</v>
      </c>
      <c r="I4">
        <v>0</v>
      </c>
      <c r="J4" t="s">
        <v>53</v>
      </c>
    </row>
    <row r="5" spans="1:10" x14ac:dyDescent="0.3">
      <c r="A5">
        <v>4</v>
      </c>
      <c r="B5">
        <v>1</v>
      </c>
      <c r="C5" s="1">
        <v>45895</v>
      </c>
      <c r="D5" s="1">
        <v>45897</v>
      </c>
      <c r="E5">
        <v>2394320</v>
      </c>
      <c r="F5">
        <v>2394318</v>
      </c>
      <c r="G5">
        <v>2</v>
      </c>
      <c r="H5">
        <v>2394318</v>
      </c>
      <c r="I5">
        <v>2</v>
      </c>
      <c r="J5" t="s">
        <v>53</v>
      </c>
    </row>
    <row r="6" spans="1:10" x14ac:dyDescent="0.3">
      <c r="A6">
        <v>5</v>
      </c>
      <c r="B6">
        <v>1</v>
      </c>
      <c r="C6" s="1">
        <v>45930</v>
      </c>
      <c r="D6" s="1">
        <v>45928</v>
      </c>
      <c r="E6">
        <v>1197158</v>
      </c>
      <c r="F6">
        <v>1197161</v>
      </c>
      <c r="G6">
        <v>-3</v>
      </c>
      <c r="H6">
        <v>1197161</v>
      </c>
      <c r="I6">
        <v>-2</v>
      </c>
      <c r="J6" t="s">
        <v>53</v>
      </c>
    </row>
    <row r="7" spans="1:10" x14ac:dyDescent="0.3">
      <c r="A7">
        <v>6</v>
      </c>
      <c r="B7">
        <v>1</v>
      </c>
      <c r="C7" s="1">
        <v>45953</v>
      </c>
      <c r="D7" s="1">
        <v>45950</v>
      </c>
      <c r="E7">
        <v>580023</v>
      </c>
      <c r="F7">
        <v>580020</v>
      </c>
      <c r="G7">
        <v>3</v>
      </c>
      <c r="H7">
        <v>580020</v>
      </c>
      <c r="I7">
        <v>-3</v>
      </c>
      <c r="J7" t="s">
        <v>53</v>
      </c>
    </row>
    <row r="8" spans="1:10" x14ac:dyDescent="0.3">
      <c r="A8">
        <v>7</v>
      </c>
      <c r="B8">
        <v>1</v>
      </c>
      <c r="C8" s="1">
        <v>45985</v>
      </c>
      <c r="D8" s="1">
        <v>45986</v>
      </c>
      <c r="E8">
        <v>407485</v>
      </c>
      <c r="F8">
        <v>407483</v>
      </c>
      <c r="G8">
        <v>2</v>
      </c>
      <c r="H8">
        <v>407483</v>
      </c>
      <c r="I8">
        <v>1</v>
      </c>
      <c r="J8" t="s">
        <v>53</v>
      </c>
    </row>
    <row r="9" spans="1:10" x14ac:dyDescent="0.3">
      <c r="A9">
        <v>8</v>
      </c>
      <c r="B9">
        <v>1</v>
      </c>
      <c r="C9" s="1">
        <v>46012</v>
      </c>
      <c r="D9" s="1">
        <v>46015</v>
      </c>
      <c r="E9">
        <v>576657</v>
      </c>
      <c r="F9">
        <v>576654</v>
      </c>
      <c r="G9">
        <v>3</v>
      </c>
      <c r="H9">
        <v>576654</v>
      </c>
      <c r="I9">
        <v>3</v>
      </c>
      <c r="J9" t="s">
        <v>53</v>
      </c>
    </row>
    <row r="10" spans="1:10" x14ac:dyDescent="0.3">
      <c r="A10">
        <v>9</v>
      </c>
      <c r="B10">
        <v>1</v>
      </c>
      <c r="C10" s="1">
        <v>46064</v>
      </c>
      <c r="D10" s="1">
        <v>46063</v>
      </c>
      <c r="E10">
        <v>947713</v>
      </c>
      <c r="F10">
        <v>947711</v>
      </c>
      <c r="G10">
        <v>2</v>
      </c>
      <c r="H10">
        <v>947711</v>
      </c>
      <c r="I10">
        <v>-1</v>
      </c>
      <c r="J10" t="s">
        <v>53</v>
      </c>
    </row>
    <row r="11" spans="1:10" x14ac:dyDescent="0.3">
      <c r="A11">
        <v>10</v>
      </c>
      <c r="B11">
        <v>1</v>
      </c>
      <c r="C11" s="1">
        <v>46089</v>
      </c>
      <c r="D11" s="1">
        <v>46087</v>
      </c>
      <c r="E11">
        <v>223277</v>
      </c>
      <c r="F11">
        <v>223280</v>
      </c>
      <c r="G11">
        <v>-3</v>
      </c>
      <c r="H11">
        <v>223280</v>
      </c>
      <c r="I11">
        <v>-2</v>
      </c>
      <c r="J11" t="s">
        <v>53</v>
      </c>
    </row>
    <row r="12" spans="1:10" x14ac:dyDescent="0.3">
      <c r="A12">
        <v>11</v>
      </c>
      <c r="B12">
        <v>1</v>
      </c>
      <c r="C12" s="1">
        <v>46120</v>
      </c>
      <c r="D12" s="1">
        <v>46120</v>
      </c>
      <c r="E12">
        <v>270112</v>
      </c>
      <c r="F12">
        <v>270116</v>
      </c>
      <c r="G12">
        <v>-4</v>
      </c>
      <c r="H12">
        <v>270116</v>
      </c>
      <c r="I12">
        <v>0</v>
      </c>
      <c r="J12" t="s">
        <v>53</v>
      </c>
    </row>
    <row r="13" spans="1:10" x14ac:dyDescent="0.3">
      <c r="A13">
        <v>12</v>
      </c>
      <c r="B13">
        <v>1</v>
      </c>
      <c r="C13" s="1">
        <v>46120</v>
      </c>
      <c r="D13" s="1">
        <v>46119</v>
      </c>
      <c r="E13">
        <v>254510</v>
      </c>
      <c r="F13">
        <v>254507</v>
      </c>
      <c r="G13">
        <v>3</v>
      </c>
      <c r="H13">
        <v>254507</v>
      </c>
      <c r="I13">
        <v>-1</v>
      </c>
      <c r="J13" t="s">
        <v>53</v>
      </c>
    </row>
    <row r="14" spans="1:10" x14ac:dyDescent="0.3">
      <c r="A14">
        <v>1</v>
      </c>
      <c r="B14">
        <v>2</v>
      </c>
      <c r="C14" s="1">
        <v>45797</v>
      </c>
      <c r="D14" s="1">
        <v>45800</v>
      </c>
      <c r="E14">
        <v>238417</v>
      </c>
      <c r="F14">
        <v>238420</v>
      </c>
      <c r="G14">
        <v>-3</v>
      </c>
      <c r="H14">
        <v>238420</v>
      </c>
      <c r="I14">
        <v>3</v>
      </c>
      <c r="J14" t="s">
        <v>53</v>
      </c>
    </row>
    <row r="15" spans="1:10" x14ac:dyDescent="0.3">
      <c r="A15">
        <v>2</v>
      </c>
      <c r="B15">
        <v>2</v>
      </c>
      <c r="C15" s="1">
        <v>45820</v>
      </c>
      <c r="D15" s="1">
        <v>45818</v>
      </c>
      <c r="E15">
        <v>569166</v>
      </c>
      <c r="F15">
        <v>569171</v>
      </c>
      <c r="G15">
        <v>-5</v>
      </c>
      <c r="H15">
        <v>569171</v>
      </c>
      <c r="I15">
        <v>-2</v>
      </c>
      <c r="J15" t="s">
        <v>53</v>
      </c>
    </row>
    <row r="16" spans="1:10" x14ac:dyDescent="0.3">
      <c r="A16">
        <v>3</v>
      </c>
      <c r="B16">
        <v>2</v>
      </c>
      <c r="C16" s="1">
        <v>45849</v>
      </c>
      <c r="D16" s="1">
        <v>45851</v>
      </c>
      <c r="E16">
        <v>837458</v>
      </c>
      <c r="F16">
        <v>837458</v>
      </c>
      <c r="G16">
        <v>0</v>
      </c>
      <c r="H16">
        <v>837458</v>
      </c>
      <c r="I16">
        <v>2</v>
      </c>
      <c r="J16" t="s">
        <v>53</v>
      </c>
    </row>
    <row r="17" spans="1:10" x14ac:dyDescent="0.3">
      <c r="A17">
        <v>4</v>
      </c>
      <c r="B17">
        <v>2</v>
      </c>
      <c r="C17" s="1">
        <v>45869</v>
      </c>
      <c r="D17" s="1">
        <v>45872</v>
      </c>
      <c r="E17">
        <v>987619</v>
      </c>
      <c r="F17">
        <v>987618</v>
      </c>
      <c r="G17">
        <v>1</v>
      </c>
      <c r="H17">
        <v>987618</v>
      </c>
      <c r="I17">
        <v>3</v>
      </c>
      <c r="J17" t="s">
        <v>53</v>
      </c>
    </row>
    <row r="18" spans="1:10" x14ac:dyDescent="0.3">
      <c r="A18">
        <v>5</v>
      </c>
      <c r="B18">
        <v>2</v>
      </c>
      <c r="C18" s="1">
        <v>45902</v>
      </c>
      <c r="D18" s="1">
        <v>46219</v>
      </c>
      <c r="E18">
        <v>683148</v>
      </c>
      <c r="G18">
        <v>683148</v>
      </c>
      <c r="H18">
        <v>0</v>
      </c>
      <c r="I18">
        <v>317</v>
      </c>
      <c r="J18" t="s">
        <v>55</v>
      </c>
    </row>
    <row r="19" spans="1:10" x14ac:dyDescent="0.3">
      <c r="A19">
        <v>6</v>
      </c>
      <c r="B19">
        <v>2</v>
      </c>
      <c r="C19" s="1">
        <v>45927</v>
      </c>
      <c r="D19" s="1">
        <v>45927</v>
      </c>
      <c r="E19">
        <v>606449</v>
      </c>
      <c r="F19">
        <v>606450</v>
      </c>
      <c r="G19">
        <v>-1</v>
      </c>
      <c r="H19">
        <v>606450</v>
      </c>
      <c r="I19">
        <v>0</v>
      </c>
      <c r="J19" t="s">
        <v>53</v>
      </c>
    </row>
    <row r="20" spans="1:10" x14ac:dyDescent="0.3">
      <c r="A20">
        <v>7</v>
      </c>
      <c r="B20">
        <v>2</v>
      </c>
      <c r="C20" s="1">
        <v>45961</v>
      </c>
      <c r="D20" s="1">
        <v>45959</v>
      </c>
      <c r="E20">
        <v>257478</v>
      </c>
      <c r="F20">
        <v>257483</v>
      </c>
      <c r="G20">
        <v>-5</v>
      </c>
      <c r="H20">
        <v>257483</v>
      </c>
      <c r="I20">
        <v>-2</v>
      </c>
      <c r="J20" t="s">
        <v>53</v>
      </c>
    </row>
    <row r="21" spans="1:10" x14ac:dyDescent="0.3">
      <c r="A21">
        <v>8</v>
      </c>
      <c r="B21">
        <v>2</v>
      </c>
      <c r="C21" s="1">
        <v>46007</v>
      </c>
      <c r="D21" s="1">
        <v>46219</v>
      </c>
      <c r="E21">
        <v>145175</v>
      </c>
      <c r="G21">
        <v>145175</v>
      </c>
      <c r="H21">
        <v>0</v>
      </c>
      <c r="I21">
        <v>212</v>
      </c>
      <c r="J21" t="s">
        <v>55</v>
      </c>
    </row>
    <row r="22" spans="1:10" x14ac:dyDescent="0.3">
      <c r="A22">
        <v>9</v>
      </c>
      <c r="B22">
        <v>2</v>
      </c>
      <c r="C22" s="1">
        <v>46018</v>
      </c>
      <c r="D22" s="1">
        <v>46219</v>
      </c>
      <c r="E22">
        <v>105063</v>
      </c>
      <c r="G22">
        <v>105063</v>
      </c>
      <c r="H22">
        <v>0</v>
      </c>
      <c r="I22">
        <v>201</v>
      </c>
      <c r="J22" t="s">
        <v>55</v>
      </c>
    </row>
    <row r="23" spans="1:10" x14ac:dyDescent="0.3">
      <c r="A23">
        <v>10</v>
      </c>
      <c r="B23">
        <v>2</v>
      </c>
      <c r="C23" s="1">
        <v>46044</v>
      </c>
      <c r="D23" s="1">
        <v>46047</v>
      </c>
      <c r="E23">
        <v>112711</v>
      </c>
      <c r="F23">
        <v>112714</v>
      </c>
      <c r="G23">
        <v>-3</v>
      </c>
      <c r="H23">
        <v>112714</v>
      </c>
      <c r="I23">
        <v>3</v>
      </c>
      <c r="J23" t="s">
        <v>53</v>
      </c>
    </row>
    <row r="24" spans="1:10" x14ac:dyDescent="0.3">
      <c r="A24">
        <v>11</v>
      </c>
      <c r="B24">
        <v>2</v>
      </c>
      <c r="C24" s="1">
        <v>46089</v>
      </c>
      <c r="D24" s="1">
        <v>46089</v>
      </c>
      <c r="E24">
        <v>96959</v>
      </c>
      <c r="F24">
        <v>96963</v>
      </c>
      <c r="G24">
        <v>-4</v>
      </c>
      <c r="H24">
        <v>96963</v>
      </c>
      <c r="I24">
        <v>0</v>
      </c>
      <c r="J24" t="s">
        <v>53</v>
      </c>
    </row>
    <row r="25" spans="1:10" x14ac:dyDescent="0.3">
      <c r="A25">
        <v>12</v>
      </c>
      <c r="B25">
        <v>2</v>
      </c>
      <c r="C25" s="1">
        <v>46127</v>
      </c>
      <c r="D25" s="1">
        <v>46128</v>
      </c>
      <c r="E25">
        <v>144144</v>
      </c>
      <c r="F25">
        <v>144142</v>
      </c>
      <c r="G25">
        <v>2</v>
      </c>
      <c r="H25">
        <v>144142</v>
      </c>
      <c r="I25">
        <v>1</v>
      </c>
      <c r="J25" t="s">
        <v>53</v>
      </c>
    </row>
    <row r="26" spans="1:10" x14ac:dyDescent="0.3">
      <c r="A26">
        <v>1</v>
      </c>
      <c r="B26">
        <v>3</v>
      </c>
      <c r="C26" s="1">
        <v>45797</v>
      </c>
      <c r="D26" s="1">
        <v>45794</v>
      </c>
      <c r="E26">
        <v>1020155</v>
      </c>
      <c r="F26">
        <v>1020157</v>
      </c>
      <c r="G26">
        <v>-2</v>
      </c>
      <c r="H26">
        <v>1020157</v>
      </c>
      <c r="I26">
        <v>-3</v>
      </c>
      <c r="J26" t="s">
        <v>53</v>
      </c>
    </row>
    <row r="27" spans="1:10" x14ac:dyDescent="0.3">
      <c r="A27">
        <v>2</v>
      </c>
      <c r="B27">
        <v>3</v>
      </c>
      <c r="C27" s="1">
        <v>45820</v>
      </c>
      <c r="D27" s="1">
        <v>45819</v>
      </c>
      <c r="E27">
        <v>2258180</v>
      </c>
      <c r="F27">
        <v>2258178</v>
      </c>
      <c r="G27">
        <v>2</v>
      </c>
      <c r="H27">
        <v>2258178</v>
      </c>
      <c r="I27">
        <v>-1</v>
      </c>
      <c r="J27" t="s">
        <v>53</v>
      </c>
    </row>
    <row r="28" spans="1:10" x14ac:dyDescent="0.3">
      <c r="A28">
        <v>3</v>
      </c>
      <c r="B28">
        <v>3</v>
      </c>
      <c r="C28" s="1">
        <v>45849</v>
      </c>
      <c r="D28" s="1">
        <v>45849</v>
      </c>
      <c r="E28">
        <v>3459503</v>
      </c>
      <c r="F28">
        <v>3459504</v>
      </c>
      <c r="G28">
        <v>-1</v>
      </c>
      <c r="H28">
        <v>3459504</v>
      </c>
      <c r="I28">
        <v>0</v>
      </c>
      <c r="J28" t="s">
        <v>53</v>
      </c>
    </row>
    <row r="29" spans="1:10" x14ac:dyDescent="0.3">
      <c r="A29">
        <v>4</v>
      </c>
      <c r="B29">
        <v>3</v>
      </c>
      <c r="C29" s="1">
        <v>45869</v>
      </c>
      <c r="D29" s="1">
        <v>45871</v>
      </c>
      <c r="E29">
        <v>4709917</v>
      </c>
      <c r="F29">
        <v>4709914</v>
      </c>
      <c r="G29">
        <v>3</v>
      </c>
      <c r="H29">
        <v>4709914</v>
      </c>
      <c r="I29">
        <v>2</v>
      </c>
      <c r="J29" t="s">
        <v>53</v>
      </c>
    </row>
    <row r="30" spans="1:10" x14ac:dyDescent="0.3">
      <c r="A30">
        <v>5</v>
      </c>
      <c r="B30">
        <v>3</v>
      </c>
      <c r="C30" s="1">
        <v>45902</v>
      </c>
      <c r="D30" s="1">
        <v>46219</v>
      </c>
      <c r="E30">
        <v>3250399</v>
      </c>
      <c r="G30">
        <v>3250399</v>
      </c>
      <c r="H30">
        <v>0</v>
      </c>
      <c r="I30">
        <v>317</v>
      </c>
      <c r="J30" t="s">
        <v>55</v>
      </c>
    </row>
    <row r="31" spans="1:10" x14ac:dyDescent="0.3">
      <c r="A31">
        <v>6</v>
      </c>
      <c r="B31">
        <v>3</v>
      </c>
      <c r="C31" s="1">
        <v>45927</v>
      </c>
      <c r="D31" s="1">
        <v>45926</v>
      </c>
      <c r="E31">
        <v>2327374</v>
      </c>
      <c r="F31">
        <v>2327373</v>
      </c>
      <c r="G31">
        <v>1</v>
      </c>
      <c r="H31">
        <v>2327373</v>
      </c>
      <c r="I31">
        <v>-1</v>
      </c>
      <c r="J31" t="s">
        <v>53</v>
      </c>
    </row>
    <row r="32" spans="1:10" x14ac:dyDescent="0.3">
      <c r="A32">
        <v>7</v>
      </c>
      <c r="B32">
        <v>3</v>
      </c>
      <c r="C32" s="1">
        <v>45961</v>
      </c>
      <c r="D32" s="1">
        <v>45963</v>
      </c>
      <c r="E32">
        <v>924895</v>
      </c>
      <c r="F32">
        <v>924899</v>
      </c>
      <c r="G32">
        <v>-4</v>
      </c>
      <c r="H32">
        <v>924899</v>
      </c>
      <c r="I32">
        <v>2</v>
      </c>
      <c r="J32" t="s">
        <v>53</v>
      </c>
    </row>
    <row r="33" spans="1:10" x14ac:dyDescent="0.3">
      <c r="A33">
        <v>8</v>
      </c>
      <c r="B33">
        <v>3</v>
      </c>
      <c r="C33" s="1">
        <v>46007</v>
      </c>
      <c r="D33" s="1">
        <v>46219</v>
      </c>
      <c r="E33">
        <v>587571</v>
      </c>
      <c r="G33">
        <v>587571</v>
      </c>
      <c r="H33">
        <v>0</v>
      </c>
      <c r="I33">
        <v>212</v>
      </c>
      <c r="J33" t="s">
        <v>55</v>
      </c>
    </row>
    <row r="34" spans="1:10" x14ac:dyDescent="0.3">
      <c r="A34">
        <v>9</v>
      </c>
      <c r="B34">
        <v>3</v>
      </c>
      <c r="C34" s="1">
        <v>46018</v>
      </c>
      <c r="D34" s="1">
        <v>46219</v>
      </c>
      <c r="E34">
        <v>682129</v>
      </c>
      <c r="G34">
        <v>682129</v>
      </c>
      <c r="H34">
        <v>0</v>
      </c>
      <c r="I34">
        <v>201</v>
      </c>
      <c r="J34" t="s">
        <v>55</v>
      </c>
    </row>
    <row r="35" spans="1:10" x14ac:dyDescent="0.3">
      <c r="A35">
        <v>10</v>
      </c>
      <c r="B35">
        <v>3</v>
      </c>
      <c r="C35" s="1">
        <v>46044</v>
      </c>
      <c r="D35" s="1">
        <v>46219</v>
      </c>
      <c r="E35">
        <v>779376</v>
      </c>
      <c r="G35">
        <v>779376</v>
      </c>
      <c r="H35">
        <v>0</v>
      </c>
      <c r="I35">
        <v>175</v>
      </c>
      <c r="J35" t="s">
        <v>55</v>
      </c>
    </row>
    <row r="36" spans="1:10" x14ac:dyDescent="0.3">
      <c r="A36">
        <v>11</v>
      </c>
      <c r="B36">
        <v>3</v>
      </c>
      <c r="C36" s="1">
        <v>46089</v>
      </c>
      <c r="D36" s="1">
        <v>46219</v>
      </c>
      <c r="E36">
        <v>606155</v>
      </c>
      <c r="G36">
        <v>606155</v>
      </c>
      <c r="H36">
        <v>0</v>
      </c>
      <c r="I36">
        <v>130</v>
      </c>
      <c r="J36" t="s">
        <v>55</v>
      </c>
    </row>
    <row r="37" spans="1:10" x14ac:dyDescent="0.3">
      <c r="A37">
        <v>12</v>
      </c>
      <c r="B37">
        <v>3</v>
      </c>
      <c r="C37" s="1">
        <v>46127</v>
      </c>
      <c r="D37" s="1">
        <v>46128</v>
      </c>
      <c r="E37">
        <v>625675</v>
      </c>
      <c r="F37">
        <v>625678</v>
      </c>
      <c r="G37">
        <v>-3</v>
      </c>
      <c r="H37">
        <v>625678</v>
      </c>
      <c r="I37">
        <v>1</v>
      </c>
      <c r="J37" t="s">
        <v>53</v>
      </c>
    </row>
    <row r="38" spans="1:10" x14ac:dyDescent="0.3">
      <c r="A38">
        <v>1</v>
      </c>
      <c r="B38">
        <v>4</v>
      </c>
      <c r="C38" s="1">
        <v>45814</v>
      </c>
      <c r="D38" s="1">
        <v>45814</v>
      </c>
      <c r="E38">
        <v>706261</v>
      </c>
      <c r="F38">
        <v>706260</v>
      </c>
      <c r="G38">
        <v>1</v>
      </c>
      <c r="H38">
        <v>706260</v>
      </c>
      <c r="I38">
        <v>0</v>
      </c>
      <c r="J38" t="s">
        <v>53</v>
      </c>
    </row>
    <row r="39" spans="1:10" x14ac:dyDescent="0.3">
      <c r="A39">
        <v>2</v>
      </c>
      <c r="B39">
        <v>4</v>
      </c>
      <c r="C39" s="1">
        <v>45877</v>
      </c>
      <c r="D39" s="1">
        <v>45877</v>
      </c>
      <c r="E39">
        <v>1563355</v>
      </c>
      <c r="F39">
        <v>1563357</v>
      </c>
      <c r="G39">
        <v>-2</v>
      </c>
      <c r="H39">
        <v>1563357</v>
      </c>
      <c r="I39">
        <v>0</v>
      </c>
      <c r="J39" t="s">
        <v>53</v>
      </c>
    </row>
    <row r="40" spans="1:10" x14ac:dyDescent="0.3">
      <c r="A40">
        <v>3</v>
      </c>
      <c r="B40">
        <v>4</v>
      </c>
      <c r="C40" s="1">
        <v>45877</v>
      </c>
      <c r="D40" s="1">
        <v>45874</v>
      </c>
      <c r="E40">
        <v>2395041</v>
      </c>
      <c r="F40">
        <v>2395037</v>
      </c>
      <c r="G40">
        <v>4</v>
      </c>
      <c r="H40">
        <v>2395037</v>
      </c>
      <c r="I40">
        <v>-3</v>
      </c>
      <c r="J40" t="s">
        <v>53</v>
      </c>
    </row>
    <row r="41" spans="1:10" x14ac:dyDescent="0.3">
      <c r="A41">
        <v>4</v>
      </c>
      <c r="B41">
        <v>4</v>
      </c>
      <c r="C41" s="1">
        <v>45912</v>
      </c>
      <c r="D41" s="1">
        <v>45915</v>
      </c>
      <c r="E41">
        <v>3260712</v>
      </c>
      <c r="F41">
        <v>3260714</v>
      </c>
      <c r="G41">
        <v>-2</v>
      </c>
      <c r="H41">
        <v>3260714</v>
      </c>
      <c r="I41">
        <v>3</v>
      </c>
      <c r="J41" t="s">
        <v>53</v>
      </c>
    </row>
    <row r="42" spans="1:10" x14ac:dyDescent="0.3">
      <c r="A42">
        <v>5</v>
      </c>
      <c r="B42">
        <v>4</v>
      </c>
      <c r="C42" s="1">
        <v>45943</v>
      </c>
      <c r="D42" s="1">
        <v>45943</v>
      </c>
      <c r="E42">
        <v>2250276</v>
      </c>
      <c r="F42">
        <v>2250273</v>
      </c>
      <c r="G42">
        <v>3</v>
      </c>
      <c r="H42">
        <v>2250273</v>
      </c>
      <c r="I42">
        <v>0</v>
      </c>
      <c r="J42" t="s">
        <v>53</v>
      </c>
    </row>
    <row r="43" spans="1:10" x14ac:dyDescent="0.3">
      <c r="A43">
        <v>6</v>
      </c>
      <c r="B43">
        <v>4</v>
      </c>
      <c r="C43" s="1">
        <v>45968</v>
      </c>
      <c r="D43" s="1">
        <v>45966</v>
      </c>
      <c r="E43">
        <v>1611259</v>
      </c>
      <c r="F43">
        <v>1611256</v>
      </c>
      <c r="G43">
        <v>3</v>
      </c>
      <c r="H43">
        <v>1611256</v>
      </c>
      <c r="I43">
        <v>-2</v>
      </c>
      <c r="J43" t="s">
        <v>53</v>
      </c>
    </row>
    <row r="44" spans="1:10" x14ac:dyDescent="0.3">
      <c r="A44">
        <v>7</v>
      </c>
      <c r="B44">
        <v>4</v>
      </c>
      <c r="C44" s="1">
        <v>45998</v>
      </c>
      <c r="D44" s="1">
        <v>46001</v>
      </c>
      <c r="E44">
        <v>640312</v>
      </c>
      <c r="F44">
        <v>640307</v>
      </c>
      <c r="G44">
        <v>5</v>
      </c>
      <c r="H44">
        <v>640307</v>
      </c>
      <c r="I44">
        <v>3</v>
      </c>
      <c r="J44" t="s">
        <v>53</v>
      </c>
    </row>
    <row r="45" spans="1:10" x14ac:dyDescent="0.3">
      <c r="A45">
        <v>8</v>
      </c>
      <c r="B45">
        <v>4</v>
      </c>
      <c r="C45" s="1">
        <v>46033</v>
      </c>
      <c r="D45" s="1">
        <v>46034</v>
      </c>
      <c r="E45">
        <v>406780</v>
      </c>
      <c r="F45">
        <v>406780</v>
      </c>
      <c r="G45">
        <v>0</v>
      </c>
      <c r="H45">
        <v>406780</v>
      </c>
      <c r="I45">
        <v>1</v>
      </c>
      <c r="J45" t="s">
        <v>53</v>
      </c>
    </row>
    <row r="46" spans="1:10" x14ac:dyDescent="0.3">
      <c r="A46">
        <v>9</v>
      </c>
      <c r="B46">
        <v>4</v>
      </c>
      <c r="C46" s="1">
        <v>46063</v>
      </c>
      <c r="D46" s="1">
        <v>46065</v>
      </c>
      <c r="E46">
        <v>472243</v>
      </c>
      <c r="F46">
        <v>472240</v>
      </c>
      <c r="G46">
        <v>3</v>
      </c>
      <c r="H46">
        <v>472240</v>
      </c>
      <c r="I46">
        <v>2</v>
      </c>
      <c r="J46" t="s">
        <v>53</v>
      </c>
    </row>
    <row r="47" spans="1:10" x14ac:dyDescent="0.3">
      <c r="A47">
        <v>10</v>
      </c>
      <c r="B47">
        <v>4</v>
      </c>
      <c r="C47" s="1">
        <v>46089</v>
      </c>
      <c r="D47" s="1">
        <v>46087</v>
      </c>
      <c r="E47">
        <v>539568</v>
      </c>
      <c r="F47">
        <v>539569</v>
      </c>
      <c r="G47">
        <v>-1</v>
      </c>
      <c r="H47">
        <v>539569</v>
      </c>
      <c r="I47">
        <v>-2</v>
      </c>
      <c r="J47" t="s">
        <v>53</v>
      </c>
    </row>
    <row r="48" spans="1:10" x14ac:dyDescent="0.3">
      <c r="A48">
        <v>11</v>
      </c>
      <c r="B48">
        <v>4</v>
      </c>
      <c r="C48" s="1">
        <v>46132</v>
      </c>
      <c r="D48" s="1">
        <v>46130</v>
      </c>
      <c r="E48">
        <v>419646</v>
      </c>
      <c r="F48">
        <v>419646</v>
      </c>
      <c r="G48">
        <v>0</v>
      </c>
      <c r="H48">
        <v>419646</v>
      </c>
      <c r="I48">
        <v>-2</v>
      </c>
      <c r="J48" t="s">
        <v>53</v>
      </c>
    </row>
    <row r="49" spans="1:10" x14ac:dyDescent="0.3">
      <c r="A49">
        <v>12</v>
      </c>
      <c r="B49">
        <v>4</v>
      </c>
      <c r="C49" s="1">
        <v>46148</v>
      </c>
      <c r="D49" s="1">
        <v>46150</v>
      </c>
      <c r="E49">
        <v>433159</v>
      </c>
      <c r="F49">
        <v>433155</v>
      </c>
      <c r="G49">
        <v>4</v>
      </c>
      <c r="H49">
        <v>433155</v>
      </c>
      <c r="I49">
        <v>2</v>
      </c>
      <c r="J49" t="s">
        <v>53</v>
      </c>
    </row>
    <row r="50" spans="1:10" x14ac:dyDescent="0.3">
      <c r="A50">
        <v>1</v>
      </c>
      <c r="B50">
        <v>5</v>
      </c>
      <c r="C50" s="1">
        <v>45769</v>
      </c>
      <c r="D50" s="1">
        <v>45769</v>
      </c>
      <c r="E50">
        <v>317732</v>
      </c>
      <c r="F50">
        <v>317729</v>
      </c>
      <c r="G50">
        <v>3</v>
      </c>
      <c r="H50">
        <v>317729</v>
      </c>
      <c r="I50">
        <v>0</v>
      </c>
      <c r="J50" t="s">
        <v>53</v>
      </c>
    </row>
    <row r="51" spans="1:10" x14ac:dyDescent="0.3">
      <c r="A51">
        <v>2</v>
      </c>
      <c r="B51">
        <v>5</v>
      </c>
      <c r="C51" s="1">
        <v>45800</v>
      </c>
      <c r="D51" s="1">
        <v>45797</v>
      </c>
      <c r="E51">
        <v>647348</v>
      </c>
      <c r="F51">
        <v>647352</v>
      </c>
      <c r="G51">
        <v>-4</v>
      </c>
      <c r="H51">
        <v>647352</v>
      </c>
      <c r="I51">
        <v>-3</v>
      </c>
      <c r="J51" t="s">
        <v>53</v>
      </c>
    </row>
    <row r="52" spans="1:10" x14ac:dyDescent="0.3">
      <c r="A52">
        <v>3</v>
      </c>
      <c r="B52">
        <v>5</v>
      </c>
      <c r="C52" s="1">
        <v>45832</v>
      </c>
      <c r="D52" s="1">
        <v>45831</v>
      </c>
      <c r="E52">
        <v>893849</v>
      </c>
      <c r="F52">
        <v>893854</v>
      </c>
      <c r="G52">
        <v>-5</v>
      </c>
      <c r="H52">
        <v>893854</v>
      </c>
      <c r="I52">
        <v>-1</v>
      </c>
      <c r="J52" t="s">
        <v>53</v>
      </c>
    </row>
    <row r="53" spans="1:10" x14ac:dyDescent="0.3">
      <c r="A53">
        <v>4</v>
      </c>
      <c r="B53">
        <v>5</v>
      </c>
      <c r="C53" s="1">
        <v>46100</v>
      </c>
      <c r="D53" s="1">
        <v>46102</v>
      </c>
      <c r="E53">
        <v>1397765</v>
      </c>
      <c r="F53">
        <v>1397766</v>
      </c>
      <c r="G53">
        <v>-1</v>
      </c>
      <c r="H53">
        <v>1397766</v>
      </c>
      <c r="I53">
        <v>2</v>
      </c>
      <c r="J53" t="s">
        <v>53</v>
      </c>
    </row>
    <row r="54" spans="1:10" x14ac:dyDescent="0.3">
      <c r="A54">
        <v>5</v>
      </c>
      <c r="B54">
        <v>5</v>
      </c>
      <c r="C54" s="1">
        <v>46100</v>
      </c>
      <c r="D54" s="1">
        <v>46219</v>
      </c>
      <c r="E54">
        <v>1034925</v>
      </c>
      <c r="G54">
        <v>1034925</v>
      </c>
      <c r="H54">
        <v>0</v>
      </c>
      <c r="I54">
        <v>119</v>
      </c>
      <c r="J54" t="s">
        <v>55</v>
      </c>
    </row>
    <row r="55" spans="1:10" x14ac:dyDescent="0.3">
      <c r="A55">
        <v>6</v>
      </c>
      <c r="B55">
        <v>5</v>
      </c>
      <c r="C55" s="1">
        <v>46085</v>
      </c>
      <c r="D55" s="1">
        <v>46087</v>
      </c>
      <c r="E55">
        <v>878986</v>
      </c>
      <c r="F55">
        <v>878987</v>
      </c>
      <c r="G55">
        <v>-1</v>
      </c>
      <c r="H55">
        <v>878987</v>
      </c>
      <c r="I55">
        <v>2</v>
      </c>
      <c r="J55" t="s">
        <v>53</v>
      </c>
    </row>
    <row r="56" spans="1:10" x14ac:dyDescent="0.3">
      <c r="A56">
        <v>7</v>
      </c>
      <c r="B56">
        <v>5</v>
      </c>
      <c r="C56" s="1">
        <v>46085</v>
      </c>
      <c r="D56" s="1">
        <v>46085</v>
      </c>
      <c r="E56">
        <v>375555</v>
      </c>
      <c r="F56">
        <v>375558</v>
      </c>
      <c r="G56">
        <v>-3</v>
      </c>
      <c r="H56">
        <v>375558</v>
      </c>
      <c r="I56">
        <v>0</v>
      </c>
      <c r="J56" t="s">
        <v>53</v>
      </c>
    </row>
    <row r="57" spans="1:10" x14ac:dyDescent="0.3">
      <c r="A57">
        <v>8</v>
      </c>
      <c r="B57">
        <v>5</v>
      </c>
      <c r="C57" s="1">
        <v>46085</v>
      </c>
      <c r="D57" s="1">
        <v>46219</v>
      </c>
      <c r="E57">
        <v>316866</v>
      </c>
      <c r="G57">
        <v>316866</v>
      </c>
      <c r="H57">
        <v>0</v>
      </c>
      <c r="I57">
        <v>134</v>
      </c>
      <c r="J57" t="s">
        <v>55</v>
      </c>
    </row>
    <row r="58" spans="1:10" x14ac:dyDescent="0.3">
      <c r="A58">
        <v>9</v>
      </c>
      <c r="B58">
        <v>5</v>
      </c>
      <c r="C58" s="1">
        <v>46085</v>
      </c>
      <c r="D58" s="1">
        <v>46219</v>
      </c>
      <c r="E58">
        <v>344756</v>
      </c>
      <c r="G58">
        <v>344756</v>
      </c>
      <c r="H58">
        <v>0</v>
      </c>
      <c r="I58">
        <v>134</v>
      </c>
      <c r="J58" t="s">
        <v>55</v>
      </c>
    </row>
    <row r="59" spans="1:10" x14ac:dyDescent="0.3">
      <c r="A59">
        <v>10</v>
      </c>
      <c r="B59">
        <v>5</v>
      </c>
      <c r="C59" s="1">
        <v>46085</v>
      </c>
      <c r="D59" s="1">
        <v>46086</v>
      </c>
      <c r="E59">
        <v>397555</v>
      </c>
      <c r="F59">
        <v>397555</v>
      </c>
      <c r="G59">
        <v>0</v>
      </c>
      <c r="H59">
        <v>397555</v>
      </c>
      <c r="I59">
        <v>1</v>
      </c>
      <c r="J59" t="s">
        <v>53</v>
      </c>
    </row>
    <row r="60" spans="1:10" x14ac:dyDescent="0.3">
      <c r="A60">
        <v>11</v>
      </c>
      <c r="B60">
        <v>5</v>
      </c>
      <c r="C60" s="1">
        <v>46085</v>
      </c>
      <c r="D60" s="1">
        <v>46087</v>
      </c>
      <c r="E60">
        <v>257519</v>
      </c>
      <c r="F60">
        <v>257521</v>
      </c>
      <c r="G60">
        <v>-2</v>
      </c>
      <c r="H60">
        <v>257521</v>
      </c>
      <c r="I60">
        <v>2</v>
      </c>
      <c r="J60" t="s">
        <v>53</v>
      </c>
    </row>
    <row r="61" spans="1:10" x14ac:dyDescent="0.3">
      <c r="A61">
        <v>12</v>
      </c>
      <c r="B61">
        <v>5</v>
      </c>
      <c r="C61" s="1">
        <v>46085</v>
      </c>
      <c r="D61" s="1">
        <v>46086</v>
      </c>
      <c r="E61">
        <v>228521</v>
      </c>
      <c r="F61">
        <v>228516</v>
      </c>
      <c r="G61">
        <v>5</v>
      </c>
      <c r="H61">
        <v>228516</v>
      </c>
      <c r="I61">
        <v>1</v>
      </c>
      <c r="J61" t="s">
        <v>53</v>
      </c>
    </row>
    <row r="62" spans="1:10" x14ac:dyDescent="0.3">
      <c r="A62">
        <v>1</v>
      </c>
      <c r="B62">
        <v>6</v>
      </c>
      <c r="C62" s="1">
        <v>46126</v>
      </c>
      <c r="D62" s="1">
        <v>46123</v>
      </c>
      <c r="E62">
        <v>937740</v>
      </c>
      <c r="F62">
        <v>937740</v>
      </c>
      <c r="G62">
        <v>0</v>
      </c>
      <c r="H62">
        <v>937740</v>
      </c>
      <c r="I62">
        <v>-3</v>
      </c>
      <c r="J62" t="s">
        <v>53</v>
      </c>
    </row>
    <row r="63" spans="1:10" x14ac:dyDescent="0.3">
      <c r="A63">
        <v>2</v>
      </c>
      <c r="B63">
        <v>6</v>
      </c>
      <c r="C63" s="1">
        <v>45801</v>
      </c>
      <c r="D63" s="1">
        <v>45799</v>
      </c>
      <c r="E63">
        <v>740887</v>
      </c>
      <c r="F63">
        <v>740888</v>
      </c>
      <c r="G63">
        <v>-1</v>
      </c>
      <c r="H63">
        <v>740888</v>
      </c>
      <c r="I63">
        <v>-2</v>
      </c>
      <c r="J63" t="s">
        <v>53</v>
      </c>
    </row>
    <row r="64" spans="1:10" x14ac:dyDescent="0.3">
      <c r="A64">
        <v>3</v>
      </c>
      <c r="B64">
        <v>6</v>
      </c>
      <c r="C64" s="1">
        <v>45828</v>
      </c>
      <c r="D64" s="1">
        <v>45827</v>
      </c>
      <c r="E64">
        <v>1498981</v>
      </c>
      <c r="F64">
        <v>1498978</v>
      </c>
      <c r="G64">
        <v>3</v>
      </c>
      <c r="H64">
        <v>1498978</v>
      </c>
      <c r="I64">
        <v>-1</v>
      </c>
      <c r="J64" t="s">
        <v>53</v>
      </c>
    </row>
    <row r="65" spans="1:10" x14ac:dyDescent="0.3">
      <c r="A65">
        <v>4</v>
      </c>
      <c r="B65">
        <v>6</v>
      </c>
      <c r="C65" s="1">
        <v>45852</v>
      </c>
      <c r="D65" s="1">
        <v>45849</v>
      </c>
      <c r="E65">
        <v>1390688</v>
      </c>
      <c r="F65">
        <v>1390688</v>
      </c>
      <c r="G65">
        <v>0</v>
      </c>
      <c r="H65">
        <v>1390688</v>
      </c>
      <c r="I65">
        <v>-3</v>
      </c>
      <c r="J65" t="s">
        <v>53</v>
      </c>
    </row>
    <row r="66" spans="1:10" x14ac:dyDescent="0.3">
      <c r="A66">
        <v>5</v>
      </c>
      <c r="B66">
        <v>6</v>
      </c>
      <c r="C66" s="1">
        <v>45897</v>
      </c>
      <c r="D66" s="1">
        <v>46219</v>
      </c>
      <c r="E66">
        <v>1082808</v>
      </c>
      <c r="G66">
        <v>1082808</v>
      </c>
      <c r="H66">
        <v>0</v>
      </c>
      <c r="I66">
        <v>322</v>
      </c>
      <c r="J66" t="s">
        <v>55</v>
      </c>
    </row>
    <row r="67" spans="1:10" x14ac:dyDescent="0.3">
      <c r="A67">
        <v>6</v>
      </c>
      <c r="B67">
        <v>6</v>
      </c>
      <c r="C67" s="1">
        <v>45927</v>
      </c>
      <c r="D67" s="1">
        <v>46219</v>
      </c>
      <c r="E67">
        <v>800868</v>
      </c>
      <c r="G67">
        <v>800868</v>
      </c>
      <c r="H67">
        <v>0</v>
      </c>
      <c r="I67">
        <v>292</v>
      </c>
      <c r="J67" t="s">
        <v>55</v>
      </c>
    </row>
    <row r="68" spans="1:10" x14ac:dyDescent="0.3">
      <c r="A68">
        <v>7</v>
      </c>
      <c r="B68">
        <v>6</v>
      </c>
      <c r="C68" s="1">
        <v>45949</v>
      </c>
      <c r="D68" s="1">
        <v>46219</v>
      </c>
      <c r="E68">
        <v>256769</v>
      </c>
      <c r="G68">
        <v>256769</v>
      </c>
      <c r="H68">
        <v>0</v>
      </c>
      <c r="I68">
        <v>270</v>
      </c>
      <c r="J68" t="s">
        <v>55</v>
      </c>
    </row>
    <row r="69" spans="1:10" x14ac:dyDescent="0.3">
      <c r="A69">
        <v>8</v>
      </c>
      <c r="B69">
        <v>6</v>
      </c>
      <c r="C69" s="1">
        <v>46002</v>
      </c>
      <c r="D69" s="1">
        <v>46219</v>
      </c>
      <c r="E69">
        <v>213646</v>
      </c>
      <c r="G69">
        <v>213646</v>
      </c>
      <c r="H69">
        <v>0</v>
      </c>
      <c r="I69">
        <v>217</v>
      </c>
      <c r="J69" t="s">
        <v>55</v>
      </c>
    </row>
    <row r="70" spans="1:10" x14ac:dyDescent="0.3">
      <c r="A70">
        <v>9</v>
      </c>
      <c r="B70">
        <v>6</v>
      </c>
      <c r="C70" s="1">
        <v>46013</v>
      </c>
      <c r="D70" s="1">
        <v>46219</v>
      </c>
      <c r="E70">
        <v>239819</v>
      </c>
      <c r="G70">
        <v>239819</v>
      </c>
      <c r="H70">
        <v>0</v>
      </c>
      <c r="I70">
        <v>206</v>
      </c>
      <c r="J70" t="s">
        <v>55</v>
      </c>
    </row>
    <row r="71" spans="1:10" x14ac:dyDescent="0.3">
      <c r="A71">
        <v>10</v>
      </c>
      <c r="B71">
        <v>6</v>
      </c>
      <c r="C71" s="1">
        <v>46060</v>
      </c>
      <c r="D71" s="1">
        <v>46219</v>
      </c>
      <c r="E71">
        <v>197122</v>
      </c>
      <c r="G71">
        <v>197122</v>
      </c>
      <c r="H71">
        <v>0</v>
      </c>
      <c r="I71">
        <v>159</v>
      </c>
      <c r="J71" t="s">
        <v>55</v>
      </c>
    </row>
    <row r="72" spans="1:10" x14ac:dyDescent="0.3">
      <c r="A72">
        <v>11</v>
      </c>
      <c r="B72">
        <v>6</v>
      </c>
      <c r="C72" s="1">
        <v>46084</v>
      </c>
      <c r="D72" s="1">
        <v>46219</v>
      </c>
      <c r="E72">
        <v>170893</v>
      </c>
      <c r="G72">
        <v>170893</v>
      </c>
      <c r="H72">
        <v>0</v>
      </c>
      <c r="I72">
        <v>135</v>
      </c>
      <c r="J72" t="s">
        <v>55</v>
      </c>
    </row>
    <row r="73" spans="1:10" x14ac:dyDescent="0.3">
      <c r="A73">
        <v>12</v>
      </c>
      <c r="B73">
        <v>6</v>
      </c>
      <c r="C73" s="1">
        <v>46115</v>
      </c>
      <c r="D73" s="1">
        <v>46114</v>
      </c>
      <c r="E73">
        <v>421574</v>
      </c>
      <c r="F73">
        <v>421570</v>
      </c>
      <c r="G73">
        <v>4</v>
      </c>
      <c r="H73">
        <v>421570</v>
      </c>
      <c r="I73">
        <v>-1</v>
      </c>
      <c r="J73" t="s">
        <v>53</v>
      </c>
    </row>
    <row r="74" spans="1:10" x14ac:dyDescent="0.3">
      <c r="A74">
        <v>1</v>
      </c>
      <c r="B74">
        <v>7</v>
      </c>
      <c r="C74" s="1">
        <v>46123</v>
      </c>
      <c r="D74" s="1">
        <v>46122</v>
      </c>
      <c r="E74">
        <v>602300</v>
      </c>
      <c r="F74">
        <v>602299</v>
      </c>
      <c r="G74">
        <v>1</v>
      </c>
      <c r="H74">
        <v>602299</v>
      </c>
      <c r="I74">
        <v>-1</v>
      </c>
      <c r="J74" t="s">
        <v>53</v>
      </c>
    </row>
    <row r="75" spans="1:10" x14ac:dyDescent="0.3">
      <c r="A75">
        <v>2</v>
      </c>
      <c r="B75">
        <v>7</v>
      </c>
      <c r="C75" s="1">
        <v>45798</v>
      </c>
      <c r="D75" s="1">
        <v>45798</v>
      </c>
      <c r="E75">
        <v>828988</v>
      </c>
      <c r="F75">
        <v>828988</v>
      </c>
      <c r="G75">
        <v>0</v>
      </c>
      <c r="H75">
        <v>828988</v>
      </c>
      <c r="I75">
        <v>0</v>
      </c>
      <c r="J75" t="s">
        <v>53</v>
      </c>
    </row>
    <row r="76" spans="1:10" x14ac:dyDescent="0.3">
      <c r="A76">
        <v>3</v>
      </c>
      <c r="B76">
        <v>7</v>
      </c>
      <c r="C76" s="1">
        <v>45825</v>
      </c>
      <c r="D76" s="1">
        <v>45828</v>
      </c>
      <c r="E76">
        <v>2011204</v>
      </c>
      <c r="F76">
        <v>2011200</v>
      </c>
      <c r="G76">
        <v>4</v>
      </c>
      <c r="H76">
        <v>2011200</v>
      </c>
      <c r="I76">
        <v>3</v>
      </c>
      <c r="J76" t="s">
        <v>53</v>
      </c>
    </row>
    <row r="77" spans="1:10" x14ac:dyDescent="0.3">
      <c r="A77">
        <v>4</v>
      </c>
      <c r="B77">
        <v>7</v>
      </c>
      <c r="C77" s="1">
        <v>45849</v>
      </c>
      <c r="D77" s="1">
        <v>45846</v>
      </c>
      <c r="E77">
        <v>2505259</v>
      </c>
      <c r="F77">
        <v>2505264</v>
      </c>
      <c r="G77">
        <v>-5</v>
      </c>
      <c r="H77">
        <v>2505264</v>
      </c>
      <c r="I77">
        <v>-3</v>
      </c>
      <c r="J77" t="s">
        <v>53</v>
      </c>
    </row>
    <row r="78" spans="1:10" x14ac:dyDescent="0.3">
      <c r="A78">
        <v>5</v>
      </c>
      <c r="B78">
        <v>7</v>
      </c>
      <c r="C78" s="1">
        <v>45894</v>
      </c>
      <c r="D78" s="1">
        <v>45894</v>
      </c>
      <c r="E78">
        <v>1558371</v>
      </c>
      <c r="F78">
        <v>1558367</v>
      </c>
      <c r="G78">
        <v>4</v>
      </c>
      <c r="H78">
        <v>1558367</v>
      </c>
      <c r="I78">
        <v>0</v>
      </c>
      <c r="J78" t="s">
        <v>53</v>
      </c>
    </row>
    <row r="79" spans="1:10" x14ac:dyDescent="0.3">
      <c r="A79">
        <v>6</v>
      </c>
      <c r="B79">
        <v>7</v>
      </c>
      <c r="C79" s="1">
        <v>45924</v>
      </c>
      <c r="D79" s="1">
        <v>45922</v>
      </c>
      <c r="E79">
        <v>976351</v>
      </c>
      <c r="F79">
        <v>976346</v>
      </c>
      <c r="G79">
        <v>5</v>
      </c>
      <c r="H79">
        <v>976346</v>
      </c>
      <c r="I79">
        <v>-2</v>
      </c>
      <c r="J79" t="s">
        <v>53</v>
      </c>
    </row>
    <row r="80" spans="1:10" x14ac:dyDescent="0.3">
      <c r="A80">
        <v>7</v>
      </c>
      <c r="B80">
        <v>7</v>
      </c>
      <c r="C80" s="1">
        <v>45946</v>
      </c>
      <c r="D80" s="1">
        <v>45943</v>
      </c>
      <c r="E80">
        <v>692513</v>
      </c>
      <c r="F80">
        <v>692513</v>
      </c>
      <c r="G80">
        <v>0</v>
      </c>
      <c r="H80">
        <v>692513</v>
      </c>
      <c r="I80">
        <v>-3</v>
      </c>
      <c r="J80" t="s">
        <v>53</v>
      </c>
    </row>
    <row r="81" spans="1:10" x14ac:dyDescent="0.3">
      <c r="A81">
        <v>8</v>
      </c>
      <c r="B81">
        <v>7</v>
      </c>
      <c r="C81" s="1">
        <v>45999</v>
      </c>
      <c r="D81" s="1">
        <v>45999</v>
      </c>
      <c r="E81">
        <v>666650</v>
      </c>
      <c r="F81">
        <v>666655</v>
      </c>
      <c r="G81">
        <v>-5</v>
      </c>
      <c r="H81">
        <v>666655</v>
      </c>
      <c r="I81">
        <v>0</v>
      </c>
      <c r="J81" t="s">
        <v>53</v>
      </c>
    </row>
    <row r="82" spans="1:10" x14ac:dyDescent="0.3">
      <c r="A82">
        <v>9</v>
      </c>
      <c r="B82">
        <v>7</v>
      </c>
      <c r="C82" s="1">
        <v>46010</v>
      </c>
      <c r="D82" s="1">
        <v>46007</v>
      </c>
      <c r="E82">
        <v>728344</v>
      </c>
      <c r="F82">
        <v>728345</v>
      </c>
      <c r="G82">
        <v>-1</v>
      </c>
      <c r="H82">
        <v>728345</v>
      </c>
      <c r="I82">
        <v>-3</v>
      </c>
      <c r="J82" t="s">
        <v>53</v>
      </c>
    </row>
    <row r="83" spans="1:10" x14ac:dyDescent="0.3">
      <c r="A83">
        <v>10</v>
      </c>
      <c r="B83">
        <v>7</v>
      </c>
      <c r="C83" s="1">
        <v>46057</v>
      </c>
      <c r="D83" s="1">
        <v>46054</v>
      </c>
      <c r="E83">
        <v>451293</v>
      </c>
      <c r="F83">
        <v>451295</v>
      </c>
      <c r="G83">
        <v>-2</v>
      </c>
      <c r="H83">
        <v>451295</v>
      </c>
      <c r="I83">
        <v>-3</v>
      </c>
      <c r="J83" t="s">
        <v>53</v>
      </c>
    </row>
    <row r="84" spans="1:10" x14ac:dyDescent="0.3">
      <c r="A84">
        <v>11</v>
      </c>
      <c r="B84">
        <v>7</v>
      </c>
      <c r="C84" s="1">
        <v>46081</v>
      </c>
      <c r="D84" s="1">
        <v>46080</v>
      </c>
      <c r="E84">
        <v>293294</v>
      </c>
      <c r="F84">
        <v>293298</v>
      </c>
      <c r="G84">
        <v>-4</v>
      </c>
      <c r="H84">
        <v>293298</v>
      </c>
      <c r="I84">
        <v>-1</v>
      </c>
      <c r="J84" t="s">
        <v>53</v>
      </c>
    </row>
    <row r="85" spans="1:10" x14ac:dyDescent="0.3">
      <c r="A85">
        <v>12</v>
      </c>
      <c r="B85">
        <v>7</v>
      </c>
      <c r="C85" s="1">
        <v>46112</v>
      </c>
      <c r="D85" s="1">
        <v>46114</v>
      </c>
      <c r="E85">
        <v>435327</v>
      </c>
      <c r="F85">
        <v>435328</v>
      </c>
      <c r="G85">
        <v>-1</v>
      </c>
      <c r="H85">
        <v>435328</v>
      </c>
      <c r="I85">
        <v>2</v>
      </c>
      <c r="J85" t="s">
        <v>53</v>
      </c>
    </row>
    <row r="86" spans="1:10" x14ac:dyDescent="0.3">
      <c r="A86">
        <v>1</v>
      </c>
      <c r="B86">
        <v>8</v>
      </c>
      <c r="C86" s="1">
        <v>46131</v>
      </c>
      <c r="D86" s="1">
        <v>46130</v>
      </c>
      <c r="E86">
        <v>1178498</v>
      </c>
      <c r="F86">
        <v>1178493</v>
      </c>
      <c r="G86">
        <v>5</v>
      </c>
      <c r="H86">
        <v>1178493</v>
      </c>
      <c r="I86">
        <v>-1</v>
      </c>
      <c r="J86" t="s">
        <v>53</v>
      </c>
    </row>
    <row r="87" spans="1:10" x14ac:dyDescent="0.3">
      <c r="A87">
        <v>2</v>
      </c>
      <c r="B87">
        <v>8</v>
      </c>
      <c r="C87" s="1">
        <v>45806</v>
      </c>
      <c r="D87" s="1">
        <v>45803</v>
      </c>
      <c r="E87">
        <v>1671924</v>
      </c>
      <c r="F87">
        <v>1671927</v>
      </c>
      <c r="G87">
        <v>-3</v>
      </c>
      <c r="H87">
        <v>1671927</v>
      </c>
      <c r="I87">
        <v>-3</v>
      </c>
      <c r="J87" t="s">
        <v>53</v>
      </c>
    </row>
    <row r="88" spans="1:10" x14ac:dyDescent="0.3">
      <c r="A88">
        <v>3</v>
      </c>
      <c r="B88">
        <v>8</v>
      </c>
      <c r="C88" s="1">
        <v>45833</v>
      </c>
      <c r="D88" s="1">
        <v>45836</v>
      </c>
      <c r="E88">
        <v>4414497</v>
      </c>
      <c r="F88">
        <v>4414496</v>
      </c>
      <c r="G88">
        <v>1</v>
      </c>
      <c r="H88">
        <v>4414496</v>
      </c>
      <c r="I88">
        <v>3</v>
      </c>
      <c r="J88" t="s">
        <v>53</v>
      </c>
    </row>
    <row r="89" spans="1:10" x14ac:dyDescent="0.3">
      <c r="A89">
        <v>4</v>
      </c>
      <c r="B89">
        <v>8</v>
      </c>
      <c r="C89" s="1">
        <v>45857</v>
      </c>
      <c r="D89" s="1">
        <v>45855</v>
      </c>
      <c r="E89">
        <v>4405765</v>
      </c>
      <c r="F89">
        <v>4405760</v>
      </c>
      <c r="G89">
        <v>5</v>
      </c>
      <c r="H89">
        <v>4405760</v>
      </c>
      <c r="I89">
        <v>-2</v>
      </c>
      <c r="J89" t="s">
        <v>53</v>
      </c>
    </row>
    <row r="90" spans="1:10" x14ac:dyDescent="0.3">
      <c r="A90">
        <v>5</v>
      </c>
      <c r="B90">
        <v>8</v>
      </c>
      <c r="C90" s="1">
        <v>45902</v>
      </c>
      <c r="D90" s="1">
        <v>46219</v>
      </c>
      <c r="E90">
        <v>2651196</v>
      </c>
      <c r="G90">
        <v>2651196</v>
      </c>
      <c r="H90">
        <v>0</v>
      </c>
      <c r="I90">
        <v>317</v>
      </c>
      <c r="J90" t="s">
        <v>55</v>
      </c>
    </row>
    <row r="91" spans="1:10" x14ac:dyDescent="0.3">
      <c r="A91">
        <v>6</v>
      </c>
      <c r="B91">
        <v>8</v>
      </c>
      <c r="C91" s="1">
        <v>45932</v>
      </c>
      <c r="D91" s="1">
        <v>45931</v>
      </c>
      <c r="E91">
        <v>1843517</v>
      </c>
      <c r="F91">
        <v>1843516</v>
      </c>
      <c r="G91">
        <v>1</v>
      </c>
      <c r="H91">
        <v>1843516</v>
      </c>
      <c r="I91">
        <v>-1</v>
      </c>
      <c r="J91" t="s">
        <v>53</v>
      </c>
    </row>
    <row r="92" spans="1:10" x14ac:dyDescent="0.3">
      <c r="A92">
        <v>7</v>
      </c>
      <c r="B92">
        <v>8</v>
      </c>
      <c r="C92" s="1">
        <v>45954</v>
      </c>
      <c r="D92" s="1">
        <v>45957</v>
      </c>
      <c r="E92">
        <v>1014381</v>
      </c>
      <c r="F92">
        <v>1014380</v>
      </c>
      <c r="G92">
        <v>1</v>
      </c>
      <c r="H92">
        <v>1014380</v>
      </c>
      <c r="I92">
        <v>3</v>
      </c>
      <c r="J92" t="s">
        <v>53</v>
      </c>
    </row>
    <row r="93" spans="1:10" x14ac:dyDescent="0.3">
      <c r="A93">
        <v>8</v>
      </c>
      <c r="B93">
        <v>8</v>
      </c>
      <c r="C93" s="1">
        <v>46007</v>
      </c>
      <c r="D93" s="1">
        <v>46219</v>
      </c>
      <c r="E93">
        <v>1574935</v>
      </c>
      <c r="G93">
        <v>1574935</v>
      </c>
      <c r="H93">
        <v>0</v>
      </c>
      <c r="I93">
        <v>212</v>
      </c>
      <c r="J93" t="s">
        <v>55</v>
      </c>
    </row>
    <row r="94" spans="1:10" x14ac:dyDescent="0.3">
      <c r="A94">
        <v>9</v>
      </c>
      <c r="B94">
        <v>8</v>
      </c>
      <c r="C94" s="1">
        <v>46018</v>
      </c>
      <c r="D94" s="1">
        <v>46219</v>
      </c>
      <c r="E94">
        <v>2010332</v>
      </c>
      <c r="G94">
        <v>2010332</v>
      </c>
      <c r="H94">
        <v>0</v>
      </c>
      <c r="I94">
        <v>201</v>
      </c>
      <c r="J94" t="s">
        <v>55</v>
      </c>
    </row>
    <row r="95" spans="1:10" x14ac:dyDescent="0.3">
      <c r="A95">
        <v>10</v>
      </c>
      <c r="B95">
        <v>8</v>
      </c>
      <c r="C95" s="1">
        <v>46065</v>
      </c>
      <c r="D95" s="1">
        <v>46062</v>
      </c>
      <c r="E95">
        <v>754335</v>
      </c>
      <c r="F95">
        <v>754340</v>
      </c>
      <c r="G95">
        <v>-5</v>
      </c>
      <c r="H95">
        <v>754340</v>
      </c>
      <c r="I95">
        <v>-3</v>
      </c>
      <c r="J95" t="s">
        <v>53</v>
      </c>
    </row>
    <row r="96" spans="1:10" x14ac:dyDescent="0.3">
      <c r="A96">
        <v>11</v>
      </c>
      <c r="B96">
        <v>8</v>
      </c>
      <c r="C96" s="1">
        <v>46089</v>
      </c>
      <c r="D96" s="1">
        <v>46091</v>
      </c>
      <c r="E96">
        <v>620160</v>
      </c>
      <c r="F96">
        <v>620157</v>
      </c>
      <c r="G96">
        <v>3</v>
      </c>
      <c r="H96">
        <v>620157</v>
      </c>
      <c r="I96">
        <v>2</v>
      </c>
      <c r="J96" t="s">
        <v>53</v>
      </c>
    </row>
    <row r="97" spans="1:10" x14ac:dyDescent="0.3">
      <c r="A97">
        <v>12</v>
      </c>
      <c r="B97">
        <v>8</v>
      </c>
      <c r="C97" s="1">
        <v>46120</v>
      </c>
      <c r="D97" s="1">
        <v>46122</v>
      </c>
      <c r="E97">
        <v>961065</v>
      </c>
      <c r="F97">
        <v>961066</v>
      </c>
      <c r="G97">
        <v>-1</v>
      </c>
      <c r="H97">
        <v>961066</v>
      </c>
      <c r="I97">
        <v>2</v>
      </c>
      <c r="J97" t="s">
        <v>53</v>
      </c>
    </row>
    <row r="98" spans="1:10" x14ac:dyDescent="0.3">
      <c r="A98">
        <v>1</v>
      </c>
      <c r="B98">
        <v>9</v>
      </c>
      <c r="C98" s="1">
        <v>45770</v>
      </c>
      <c r="D98" s="1">
        <v>45768</v>
      </c>
      <c r="E98">
        <v>465408</v>
      </c>
      <c r="F98">
        <v>465407</v>
      </c>
      <c r="G98">
        <v>1</v>
      </c>
      <c r="H98">
        <v>465407</v>
      </c>
      <c r="I98">
        <v>-2</v>
      </c>
      <c r="J98" t="s">
        <v>53</v>
      </c>
    </row>
    <row r="99" spans="1:10" x14ac:dyDescent="0.3">
      <c r="A99">
        <v>2</v>
      </c>
      <c r="B99">
        <v>9</v>
      </c>
      <c r="C99" s="1">
        <v>45804</v>
      </c>
      <c r="D99" s="1">
        <v>45806</v>
      </c>
      <c r="E99">
        <v>897368</v>
      </c>
      <c r="F99">
        <v>897366</v>
      </c>
      <c r="G99">
        <v>2</v>
      </c>
      <c r="H99">
        <v>897366</v>
      </c>
      <c r="I99">
        <v>2</v>
      </c>
      <c r="J99" t="s">
        <v>53</v>
      </c>
    </row>
    <row r="100" spans="1:10" x14ac:dyDescent="0.3">
      <c r="A100">
        <v>3</v>
      </c>
      <c r="B100">
        <v>9</v>
      </c>
      <c r="C100" s="1">
        <v>45832</v>
      </c>
      <c r="D100" s="1">
        <v>45832</v>
      </c>
      <c r="E100">
        <v>1439441</v>
      </c>
      <c r="F100">
        <v>1439437</v>
      </c>
      <c r="G100">
        <v>4</v>
      </c>
      <c r="H100">
        <v>1439437</v>
      </c>
      <c r="I100">
        <v>0</v>
      </c>
      <c r="J100" t="s">
        <v>53</v>
      </c>
    </row>
    <row r="101" spans="1:10" x14ac:dyDescent="0.3">
      <c r="A101">
        <v>4</v>
      </c>
      <c r="B101">
        <v>9</v>
      </c>
      <c r="C101" s="1">
        <v>45867</v>
      </c>
      <c r="D101" s="1">
        <v>45869</v>
      </c>
      <c r="E101">
        <v>2091905</v>
      </c>
      <c r="F101">
        <v>2091904</v>
      </c>
      <c r="G101">
        <v>1</v>
      </c>
      <c r="H101">
        <v>2091904</v>
      </c>
      <c r="I101">
        <v>2</v>
      </c>
      <c r="J101" t="s">
        <v>53</v>
      </c>
    </row>
    <row r="102" spans="1:10" x14ac:dyDescent="0.3">
      <c r="A102">
        <v>5</v>
      </c>
      <c r="B102">
        <v>9</v>
      </c>
      <c r="C102" s="1">
        <v>45898</v>
      </c>
      <c r="D102" s="1">
        <v>46219</v>
      </c>
      <c r="E102">
        <v>1726223</v>
      </c>
      <c r="G102">
        <v>1726223</v>
      </c>
      <c r="H102">
        <v>0</v>
      </c>
      <c r="I102">
        <v>321</v>
      </c>
      <c r="J102" t="s">
        <v>55</v>
      </c>
    </row>
    <row r="103" spans="1:10" x14ac:dyDescent="0.3">
      <c r="A103">
        <v>6</v>
      </c>
      <c r="B103">
        <v>9</v>
      </c>
      <c r="C103" s="1">
        <v>45923</v>
      </c>
      <c r="D103" s="1">
        <v>45922</v>
      </c>
      <c r="E103">
        <v>1070298</v>
      </c>
      <c r="F103">
        <v>1070293</v>
      </c>
      <c r="G103">
        <v>5</v>
      </c>
      <c r="H103">
        <v>1070293</v>
      </c>
      <c r="I103">
        <v>-1</v>
      </c>
      <c r="J103" t="s">
        <v>53</v>
      </c>
    </row>
    <row r="104" spans="1:10" x14ac:dyDescent="0.3">
      <c r="A104">
        <v>7</v>
      </c>
      <c r="B104">
        <v>9</v>
      </c>
      <c r="C104" s="1">
        <v>45972</v>
      </c>
      <c r="D104" s="1">
        <v>45972</v>
      </c>
      <c r="E104">
        <v>773434</v>
      </c>
      <c r="F104">
        <v>773431</v>
      </c>
      <c r="G104">
        <v>3</v>
      </c>
      <c r="H104">
        <v>773431</v>
      </c>
      <c r="I104">
        <v>0</v>
      </c>
      <c r="J104" t="s">
        <v>53</v>
      </c>
    </row>
    <row r="105" spans="1:10" x14ac:dyDescent="0.3">
      <c r="A105">
        <v>8</v>
      </c>
      <c r="B105">
        <v>9</v>
      </c>
      <c r="C105" s="1">
        <v>45988</v>
      </c>
      <c r="D105" s="1">
        <v>46219</v>
      </c>
      <c r="E105">
        <v>651777</v>
      </c>
      <c r="G105">
        <v>651777</v>
      </c>
      <c r="H105">
        <v>0</v>
      </c>
      <c r="I105">
        <v>231</v>
      </c>
      <c r="J105" t="s">
        <v>55</v>
      </c>
    </row>
    <row r="106" spans="1:10" x14ac:dyDescent="0.3">
      <c r="A106">
        <v>9</v>
      </c>
      <c r="B106">
        <v>9</v>
      </c>
      <c r="C106" s="1">
        <v>46018</v>
      </c>
      <c r="D106" s="1">
        <v>46219</v>
      </c>
      <c r="E106">
        <v>850259</v>
      </c>
      <c r="G106">
        <v>850259</v>
      </c>
      <c r="H106">
        <v>0</v>
      </c>
      <c r="I106">
        <v>201</v>
      </c>
      <c r="J106" t="s">
        <v>55</v>
      </c>
    </row>
    <row r="107" spans="1:10" x14ac:dyDescent="0.3">
      <c r="A107">
        <v>10</v>
      </c>
      <c r="B107">
        <v>9</v>
      </c>
      <c r="C107" s="1">
        <v>46045</v>
      </c>
      <c r="D107" s="1">
        <v>46219</v>
      </c>
      <c r="E107">
        <v>390494</v>
      </c>
      <c r="G107">
        <v>390494</v>
      </c>
      <c r="H107">
        <v>0</v>
      </c>
      <c r="I107">
        <v>174</v>
      </c>
      <c r="J107" t="s">
        <v>55</v>
      </c>
    </row>
    <row r="108" spans="1:10" x14ac:dyDescent="0.3">
      <c r="A108">
        <v>11</v>
      </c>
      <c r="B108">
        <v>9</v>
      </c>
      <c r="C108" s="1">
        <v>46088</v>
      </c>
      <c r="D108" s="1">
        <v>46219</v>
      </c>
      <c r="E108">
        <v>345243</v>
      </c>
      <c r="G108">
        <v>345243</v>
      </c>
      <c r="H108">
        <v>0</v>
      </c>
      <c r="I108">
        <v>131</v>
      </c>
      <c r="J108" t="s">
        <v>55</v>
      </c>
    </row>
    <row r="109" spans="1:10" x14ac:dyDescent="0.3">
      <c r="A109">
        <v>12</v>
      </c>
      <c r="B109">
        <v>9</v>
      </c>
      <c r="C109" s="1">
        <v>46103</v>
      </c>
      <c r="D109" s="1">
        <v>46100</v>
      </c>
      <c r="E109">
        <v>319297</v>
      </c>
      <c r="F109">
        <v>319302</v>
      </c>
      <c r="G109">
        <v>-5</v>
      </c>
      <c r="H109">
        <v>319302</v>
      </c>
      <c r="I109">
        <v>-3</v>
      </c>
      <c r="J109" t="s">
        <v>53</v>
      </c>
    </row>
    <row r="110" spans="1:10" x14ac:dyDescent="0.3">
      <c r="A110">
        <v>1</v>
      </c>
      <c r="B110">
        <v>10</v>
      </c>
      <c r="C110" s="1">
        <v>45804</v>
      </c>
      <c r="D110" s="1">
        <v>45801</v>
      </c>
      <c r="E110">
        <v>668966</v>
      </c>
      <c r="F110">
        <v>668962</v>
      </c>
      <c r="G110">
        <v>4</v>
      </c>
      <c r="H110">
        <v>668962</v>
      </c>
      <c r="I110">
        <v>-3</v>
      </c>
      <c r="J110" t="s">
        <v>53</v>
      </c>
    </row>
    <row r="111" spans="1:10" x14ac:dyDescent="0.3">
      <c r="A111">
        <v>2</v>
      </c>
      <c r="B111">
        <v>10</v>
      </c>
      <c r="C111" s="1">
        <v>45833</v>
      </c>
      <c r="D111" s="1">
        <v>45830</v>
      </c>
      <c r="E111">
        <v>1854861</v>
      </c>
      <c r="F111">
        <v>1854857</v>
      </c>
      <c r="G111">
        <v>4</v>
      </c>
      <c r="H111">
        <v>1854857</v>
      </c>
      <c r="I111">
        <v>-3</v>
      </c>
      <c r="J111" t="s">
        <v>53</v>
      </c>
    </row>
    <row r="112" spans="1:10" x14ac:dyDescent="0.3">
      <c r="A112">
        <v>3</v>
      </c>
      <c r="B112">
        <v>10</v>
      </c>
      <c r="C112" s="1">
        <v>45860</v>
      </c>
      <c r="D112" s="1">
        <v>45863</v>
      </c>
      <c r="E112">
        <v>2878316</v>
      </c>
      <c r="F112">
        <v>2878318</v>
      </c>
      <c r="G112">
        <v>-2</v>
      </c>
      <c r="H112">
        <v>2878318</v>
      </c>
      <c r="I112">
        <v>3</v>
      </c>
      <c r="J112" t="s">
        <v>53</v>
      </c>
    </row>
    <row r="113" spans="1:10" x14ac:dyDescent="0.3">
      <c r="A113">
        <v>4</v>
      </c>
      <c r="B113">
        <v>10</v>
      </c>
      <c r="C113" s="1">
        <v>45895</v>
      </c>
      <c r="D113" s="1">
        <v>45893</v>
      </c>
      <c r="E113">
        <v>3336030</v>
      </c>
      <c r="F113">
        <v>3336030</v>
      </c>
      <c r="G113">
        <v>0</v>
      </c>
      <c r="H113">
        <v>3336030</v>
      </c>
      <c r="I113">
        <v>-2</v>
      </c>
      <c r="J113" t="s">
        <v>53</v>
      </c>
    </row>
    <row r="114" spans="1:10" x14ac:dyDescent="0.3">
      <c r="A114">
        <v>5</v>
      </c>
      <c r="B114">
        <v>10</v>
      </c>
      <c r="C114" s="1">
        <v>45930</v>
      </c>
      <c r="D114" s="1">
        <v>45928</v>
      </c>
      <c r="E114">
        <v>2068514</v>
      </c>
      <c r="F114">
        <v>2068517</v>
      </c>
      <c r="G114">
        <v>-3</v>
      </c>
      <c r="H114">
        <v>2068517</v>
      </c>
      <c r="I114">
        <v>-2</v>
      </c>
      <c r="J114" t="s">
        <v>53</v>
      </c>
    </row>
    <row r="115" spans="1:10" x14ac:dyDescent="0.3">
      <c r="A115">
        <v>6</v>
      </c>
      <c r="B115">
        <v>10</v>
      </c>
      <c r="C115" s="1">
        <v>45953</v>
      </c>
      <c r="D115" s="1">
        <v>45955</v>
      </c>
      <c r="E115">
        <v>1525979</v>
      </c>
      <c r="F115">
        <v>1525980</v>
      </c>
      <c r="G115">
        <v>-1</v>
      </c>
      <c r="H115">
        <v>1525980</v>
      </c>
      <c r="I115">
        <v>2</v>
      </c>
      <c r="J115" t="s">
        <v>53</v>
      </c>
    </row>
    <row r="116" spans="1:10" x14ac:dyDescent="0.3">
      <c r="A116">
        <v>7</v>
      </c>
      <c r="B116">
        <v>10</v>
      </c>
      <c r="C116" s="1">
        <v>45985</v>
      </c>
      <c r="D116" s="1">
        <v>46219</v>
      </c>
      <c r="E116">
        <v>946635</v>
      </c>
      <c r="G116">
        <v>946635</v>
      </c>
      <c r="H116">
        <v>0</v>
      </c>
      <c r="I116">
        <v>234</v>
      </c>
      <c r="J116" t="s">
        <v>55</v>
      </c>
    </row>
    <row r="117" spans="1:10" x14ac:dyDescent="0.3">
      <c r="A117">
        <v>8</v>
      </c>
      <c r="B117">
        <v>10</v>
      </c>
      <c r="C117" s="1">
        <v>46012</v>
      </c>
      <c r="D117" s="1">
        <v>46219</v>
      </c>
      <c r="E117">
        <v>871417</v>
      </c>
      <c r="G117">
        <v>871417</v>
      </c>
      <c r="H117">
        <v>0</v>
      </c>
      <c r="I117">
        <v>207</v>
      </c>
      <c r="J117" t="s">
        <v>55</v>
      </c>
    </row>
    <row r="118" spans="1:10" x14ac:dyDescent="0.3">
      <c r="A118">
        <v>9</v>
      </c>
      <c r="B118">
        <v>10</v>
      </c>
      <c r="C118" s="1">
        <v>46064</v>
      </c>
      <c r="D118" s="1">
        <v>46219</v>
      </c>
      <c r="E118">
        <v>1232306</v>
      </c>
      <c r="G118">
        <v>1232306</v>
      </c>
      <c r="H118">
        <v>0</v>
      </c>
      <c r="I118">
        <v>155</v>
      </c>
      <c r="J118" t="s">
        <v>55</v>
      </c>
    </row>
    <row r="119" spans="1:10" x14ac:dyDescent="0.3">
      <c r="A119">
        <v>10</v>
      </c>
      <c r="B119">
        <v>10</v>
      </c>
      <c r="C119" s="1">
        <v>46089</v>
      </c>
      <c r="D119" s="1">
        <v>46219</v>
      </c>
      <c r="E119">
        <v>1151486</v>
      </c>
      <c r="G119">
        <v>1151486</v>
      </c>
      <c r="H119">
        <v>0</v>
      </c>
      <c r="I119">
        <v>130</v>
      </c>
      <c r="J119" t="s">
        <v>55</v>
      </c>
    </row>
    <row r="120" spans="1:10" x14ac:dyDescent="0.3">
      <c r="A120">
        <v>11</v>
      </c>
      <c r="B120">
        <v>10</v>
      </c>
      <c r="C120" s="1">
        <v>46120</v>
      </c>
      <c r="D120" s="1">
        <v>46121</v>
      </c>
      <c r="E120">
        <v>861814</v>
      </c>
      <c r="F120">
        <v>861810</v>
      </c>
      <c r="G120">
        <v>4</v>
      </c>
      <c r="H120">
        <v>861810</v>
      </c>
      <c r="I120">
        <v>1</v>
      </c>
      <c r="J120" t="s">
        <v>53</v>
      </c>
    </row>
    <row r="121" spans="1:10" x14ac:dyDescent="0.3">
      <c r="A121">
        <v>12</v>
      </c>
      <c r="B121">
        <v>10</v>
      </c>
      <c r="C121" s="1">
        <v>46120</v>
      </c>
      <c r="D121" s="1">
        <v>46117</v>
      </c>
      <c r="E121">
        <v>666566</v>
      </c>
      <c r="F121">
        <v>666565</v>
      </c>
      <c r="G121">
        <v>1</v>
      </c>
      <c r="H121">
        <v>666565</v>
      </c>
      <c r="I121">
        <v>-3</v>
      </c>
      <c r="J121" t="s">
        <v>53</v>
      </c>
    </row>
    <row r="122" spans="1:10" x14ac:dyDescent="0.3">
      <c r="A122">
        <v>1</v>
      </c>
      <c r="B122">
        <v>11</v>
      </c>
      <c r="C122" s="1">
        <v>45804</v>
      </c>
      <c r="D122" s="1">
        <v>45802</v>
      </c>
      <c r="E122">
        <v>449330</v>
      </c>
      <c r="F122">
        <v>449331</v>
      </c>
      <c r="G122">
        <v>-1</v>
      </c>
      <c r="H122">
        <v>449331</v>
      </c>
      <c r="I122">
        <v>-2</v>
      </c>
      <c r="J122" t="s">
        <v>53</v>
      </c>
    </row>
    <row r="123" spans="1:10" x14ac:dyDescent="0.3">
      <c r="A123">
        <v>2</v>
      </c>
      <c r="B123">
        <v>11</v>
      </c>
      <c r="C123" s="1">
        <v>45833</v>
      </c>
      <c r="D123" s="1">
        <v>45834</v>
      </c>
      <c r="E123">
        <v>509843</v>
      </c>
      <c r="F123">
        <v>509841</v>
      </c>
      <c r="G123">
        <v>2</v>
      </c>
      <c r="H123">
        <v>509841</v>
      </c>
      <c r="I123">
        <v>1</v>
      </c>
      <c r="J123" t="s">
        <v>53</v>
      </c>
    </row>
    <row r="124" spans="1:10" x14ac:dyDescent="0.3">
      <c r="A124">
        <v>3</v>
      </c>
      <c r="B124">
        <v>11</v>
      </c>
      <c r="C124" s="1">
        <v>45860</v>
      </c>
      <c r="D124" s="1">
        <v>45860</v>
      </c>
      <c r="E124">
        <v>989337</v>
      </c>
      <c r="F124">
        <v>989333</v>
      </c>
      <c r="G124">
        <v>4</v>
      </c>
      <c r="H124">
        <v>989333</v>
      </c>
      <c r="I124">
        <v>0</v>
      </c>
      <c r="J124" t="s">
        <v>53</v>
      </c>
    </row>
    <row r="125" spans="1:10" x14ac:dyDescent="0.3">
      <c r="A125">
        <v>4</v>
      </c>
      <c r="B125">
        <v>11</v>
      </c>
      <c r="C125" s="1">
        <v>45895</v>
      </c>
      <c r="D125" s="1">
        <v>45894</v>
      </c>
      <c r="E125">
        <v>1084283</v>
      </c>
      <c r="F125">
        <v>1084279</v>
      </c>
      <c r="G125">
        <v>4</v>
      </c>
      <c r="H125">
        <v>1084279</v>
      </c>
      <c r="I125">
        <v>-1</v>
      </c>
      <c r="J125" t="s">
        <v>53</v>
      </c>
    </row>
    <row r="126" spans="1:10" x14ac:dyDescent="0.3">
      <c r="A126">
        <v>5</v>
      </c>
      <c r="B126">
        <v>11</v>
      </c>
      <c r="C126" s="1">
        <v>45930</v>
      </c>
      <c r="D126" s="1">
        <v>46219</v>
      </c>
      <c r="E126">
        <v>637567</v>
      </c>
      <c r="G126">
        <v>637567</v>
      </c>
      <c r="H126">
        <v>0</v>
      </c>
      <c r="I126">
        <v>289</v>
      </c>
      <c r="J126" t="s">
        <v>55</v>
      </c>
    </row>
    <row r="127" spans="1:10" x14ac:dyDescent="0.3">
      <c r="A127">
        <v>6</v>
      </c>
      <c r="B127">
        <v>11</v>
      </c>
      <c r="C127" s="1">
        <v>45953</v>
      </c>
      <c r="D127" s="1">
        <v>45954</v>
      </c>
      <c r="E127">
        <v>542700</v>
      </c>
      <c r="F127">
        <v>542696</v>
      </c>
      <c r="G127">
        <v>4</v>
      </c>
      <c r="H127">
        <v>542696</v>
      </c>
      <c r="I127">
        <v>1</v>
      </c>
      <c r="J127" t="s">
        <v>53</v>
      </c>
    </row>
    <row r="128" spans="1:10" x14ac:dyDescent="0.3">
      <c r="A128">
        <v>7</v>
      </c>
      <c r="B128">
        <v>11</v>
      </c>
      <c r="C128" s="1">
        <v>45985</v>
      </c>
      <c r="D128" s="1">
        <v>45982</v>
      </c>
      <c r="E128">
        <v>407349</v>
      </c>
      <c r="F128">
        <v>407351</v>
      </c>
      <c r="G128">
        <v>-2</v>
      </c>
      <c r="H128">
        <v>407351</v>
      </c>
      <c r="I128">
        <v>-3</v>
      </c>
      <c r="J128" t="s">
        <v>53</v>
      </c>
    </row>
    <row r="129" spans="1:10" x14ac:dyDescent="0.3">
      <c r="A129">
        <v>8</v>
      </c>
      <c r="B129">
        <v>11</v>
      </c>
      <c r="C129" s="1">
        <v>46012</v>
      </c>
      <c r="D129" s="1">
        <v>46219</v>
      </c>
      <c r="E129">
        <v>384352</v>
      </c>
      <c r="G129">
        <v>384352</v>
      </c>
      <c r="H129">
        <v>0</v>
      </c>
      <c r="I129">
        <v>207</v>
      </c>
      <c r="J129" t="s">
        <v>55</v>
      </c>
    </row>
    <row r="130" spans="1:10" x14ac:dyDescent="0.3">
      <c r="A130">
        <v>9</v>
      </c>
      <c r="B130">
        <v>11</v>
      </c>
      <c r="C130" s="1">
        <v>46064</v>
      </c>
      <c r="D130" s="1">
        <v>46219</v>
      </c>
      <c r="E130">
        <v>527914</v>
      </c>
      <c r="G130">
        <v>527914</v>
      </c>
      <c r="H130">
        <v>0</v>
      </c>
      <c r="I130">
        <v>155</v>
      </c>
      <c r="J130" t="s">
        <v>55</v>
      </c>
    </row>
    <row r="131" spans="1:10" x14ac:dyDescent="0.3">
      <c r="A131">
        <v>10</v>
      </c>
      <c r="B131">
        <v>11</v>
      </c>
      <c r="C131" s="1">
        <v>46089</v>
      </c>
      <c r="D131" s="1">
        <v>46090</v>
      </c>
      <c r="E131">
        <v>232425</v>
      </c>
      <c r="F131">
        <v>232421</v>
      </c>
      <c r="G131">
        <v>4</v>
      </c>
      <c r="H131">
        <v>232421</v>
      </c>
      <c r="I131">
        <v>1</v>
      </c>
      <c r="J131" t="s">
        <v>53</v>
      </c>
    </row>
    <row r="132" spans="1:10" x14ac:dyDescent="0.3">
      <c r="A132">
        <v>11</v>
      </c>
      <c r="B132">
        <v>11</v>
      </c>
      <c r="C132" s="1">
        <v>46120</v>
      </c>
      <c r="D132" s="1">
        <v>46121</v>
      </c>
      <c r="E132">
        <v>167894</v>
      </c>
      <c r="F132">
        <v>167890</v>
      </c>
      <c r="G132">
        <v>4</v>
      </c>
      <c r="H132">
        <v>167890</v>
      </c>
      <c r="I132">
        <v>1</v>
      </c>
      <c r="J132" t="s">
        <v>53</v>
      </c>
    </row>
    <row r="133" spans="1:10" x14ac:dyDescent="0.3">
      <c r="A133">
        <v>12</v>
      </c>
      <c r="B133">
        <v>11</v>
      </c>
      <c r="C133" s="1">
        <v>46120</v>
      </c>
      <c r="D133" s="1">
        <v>46120</v>
      </c>
      <c r="E133">
        <v>203156</v>
      </c>
      <c r="F133">
        <v>203158</v>
      </c>
      <c r="G133">
        <v>-2</v>
      </c>
      <c r="H133">
        <v>203158</v>
      </c>
      <c r="I133">
        <v>0</v>
      </c>
      <c r="J133" t="s">
        <v>53</v>
      </c>
    </row>
    <row r="134" spans="1:10" x14ac:dyDescent="0.3">
      <c r="A134">
        <v>1</v>
      </c>
      <c r="B134">
        <v>12</v>
      </c>
      <c r="C134" s="1">
        <v>45765</v>
      </c>
      <c r="D134" s="1">
        <v>45765</v>
      </c>
      <c r="E134">
        <v>325258</v>
      </c>
      <c r="F134">
        <v>325261</v>
      </c>
      <c r="G134">
        <v>-3</v>
      </c>
      <c r="H134">
        <v>325261</v>
      </c>
      <c r="I134">
        <v>0</v>
      </c>
      <c r="J134" t="s">
        <v>53</v>
      </c>
    </row>
    <row r="135" spans="1:10" x14ac:dyDescent="0.3">
      <c r="A135">
        <v>2</v>
      </c>
      <c r="B135">
        <v>12</v>
      </c>
      <c r="C135" s="1">
        <v>45799</v>
      </c>
      <c r="D135" s="1">
        <v>45797</v>
      </c>
      <c r="E135">
        <v>1119655</v>
      </c>
      <c r="F135">
        <v>1119656</v>
      </c>
      <c r="G135">
        <v>-1</v>
      </c>
      <c r="H135">
        <v>1119656</v>
      </c>
      <c r="I135">
        <v>-2</v>
      </c>
      <c r="J135" t="s">
        <v>53</v>
      </c>
    </row>
    <row r="136" spans="1:10" x14ac:dyDescent="0.3">
      <c r="A136">
        <v>3</v>
      </c>
      <c r="B136">
        <v>12</v>
      </c>
      <c r="C136" s="1">
        <v>45827</v>
      </c>
      <c r="D136" s="1">
        <v>45827</v>
      </c>
      <c r="E136">
        <v>1722484</v>
      </c>
      <c r="F136">
        <v>1722484</v>
      </c>
      <c r="G136">
        <v>0</v>
      </c>
      <c r="H136">
        <v>1722484</v>
      </c>
      <c r="I136">
        <v>0</v>
      </c>
      <c r="J136" t="s">
        <v>53</v>
      </c>
    </row>
    <row r="137" spans="1:10" x14ac:dyDescent="0.3">
      <c r="A137">
        <v>4</v>
      </c>
      <c r="B137">
        <v>12</v>
      </c>
      <c r="C137" s="1">
        <v>45862</v>
      </c>
      <c r="D137" s="1">
        <v>45865</v>
      </c>
      <c r="E137">
        <v>1894080</v>
      </c>
      <c r="F137">
        <v>1894075</v>
      </c>
      <c r="G137">
        <v>5</v>
      </c>
      <c r="H137">
        <v>1894075</v>
      </c>
      <c r="I137">
        <v>3</v>
      </c>
      <c r="J137" t="s">
        <v>53</v>
      </c>
    </row>
    <row r="138" spans="1:10" x14ac:dyDescent="0.3">
      <c r="A138">
        <v>5</v>
      </c>
      <c r="B138">
        <v>12</v>
      </c>
      <c r="C138" s="1">
        <v>45893</v>
      </c>
      <c r="D138" s="1">
        <v>46219</v>
      </c>
      <c r="E138">
        <v>1243563</v>
      </c>
      <c r="G138">
        <v>1243563</v>
      </c>
      <c r="H138">
        <v>0</v>
      </c>
      <c r="I138">
        <v>326</v>
      </c>
      <c r="J138" t="s">
        <v>55</v>
      </c>
    </row>
    <row r="139" spans="1:10" x14ac:dyDescent="0.3">
      <c r="A139">
        <v>6</v>
      </c>
      <c r="B139">
        <v>12</v>
      </c>
      <c r="C139" s="1">
        <v>45918</v>
      </c>
      <c r="D139" s="1">
        <v>46219</v>
      </c>
      <c r="E139">
        <v>1102129</v>
      </c>
      <c r="G139">
        <v>1102129</v>
      </c>
      <c r="H139">
        <v>0</v>
      </c>
      <c r="I139">
        <v>301</v>
      </c>
      <c r="J139" t="s">
        <v>55</v>
      </c>
    </row>
    <row r="140" spans="1:10" x14ac:dyDescent="0.3">
      <c r="A140">
        <v>7</v>
      </c>
      <c r="B140">
        <v>12</v>
      </c>
      <c r="C140" s="1">
        <v>45967</v>
      </c>
      <c r="D140" s="1">
        <v>46219</v>
      </c>
      <c r="E140">
        <v>718585</v>
      </c>
      <c r="G140">
        <v>718585</v>
      </c>
      <c r="H140">
        <v>0</v>
      </c>
      <c r="I140">
        <v>252</v>
      </c>
      <c r="J140" t="s">
        <v>55</v>
      </c>
    </row>
    <row r="141" spans="1:10" x14ac:dyDescent="0.3">
      <c r="A141">
        <v>8</v>
      </c>
      <c r="B141">
        <v>12</v>
      </c>
      <c r="C141" s="1">
        <v>45983</v>
      </c>
      <c r="D141" s="1">
        <v>46219</v>
      </c>
      <c r="E141">
        <v>383544</v>
      </c>
      <c r="G141">
        <v>383544</v>
      </c>
      <c r="H141">
        <v>0</v>
      </c>
      <c r="I141">
        <v>236</v>
      </c>
      <c r="J141" t="s">
        <v>55</v>
      </c>
    </row>
    <row r="142" spans="1:10" x14ac:dyDescent="0.3">
      <c r="A142">
        <v>9</v>
      </c>
      <c r="B142">
        <v>12</v>
      </c>
      <c r="C142" s="1">
        <v>46013</v>
      </c>
      <c r="D142" s="1">
        <v>46219</v>
      </c>
      <c r="E142">
        <v>505414</v>
      </c>
      <c r="G142">
        <v>505414</v>
      </c>
      <c r="H142">
        <v>0</v>
      </c>
      <c r="I142">
        <v>206</v>
      </c>
      <c r="J142" t="s">
        <v>55</v>
      </c>
    </row>
    <row r="143" spans="1:10" x14ac:dyDescent="0.3">
      <c r="A143">
        <v>10</v>
      </c>
      <c r="B143">
        <v>12</v>
      </c>
      <c r="C143" s="1">
        <v>46040</v>
      </c>
      <c r="D143" s="1">
        <v>46219</v>
      </c>
      <c r="E143">
        <v>560031</v>
      </c>
      <c r="G143">
        <v>560031</v>
      </c>
      <c r="H143">
        <v>0</v>
      </c>
      <c r="I143">
        <v>179</v>
      </c>
      <c r="J143" t="s">
        <v>55</v>
      </c>
    </row>
    <row r="144" spans="1:10" x14ac:dyDescent="0.3">
      <c r="A144">
        <v>11</v>
      </c>
      <c r="B144">
        <v>12</v>
      </c>
      <c r="C144" s="1">
        <v>46083</v>
      </c>
      <c r="D144" s="1">
        <v>46219</v>
      </c>
      <c r="E144">
        <v>410445</v>
      </c>
      <c r="G144">
        <v>410445</v>
      </c>
      <c r="H144">
        <v>0</v>
      </c>
      <c r="I144">
        <v>136</v>
      </c>
      <c r="J144" t="s">
        <v>55</v>
      </c>
    </row>
    <row r="145" spans="1:10" x14ac:dyDescent="0.3">
      <c r="A145">
        <v>12</v>
      </c>
      <c r="B145">
        <v>12</v>
      </c>
      <c r="C145" s="1">
        <v>46098</v>
      </c>
      <c r="D145" s="1">
        <v>46095</v>
      </c>
      <c r="E145">
        <v>359089</v>
      </c>
      <c r="F145">
        <v>359088</v>
      </c>
      <c r="G145">
        <v>1</v>
      </c>
      <c r="H145">
        <v>359088</v>
      </c>
      <c r="I145">
        <v>-3</v>
      </c>
      <c r="J145" t="s">
        <v>53</v>
      </c>
    </row>
    <row r="146" spans="1:10" x14ac:dyDescent="0.3">
      <c r="A146">
        <v>1</v>
      </c>
      <c r="B146">
        <v>13</v>
      </c>
      <c r="C146" s="1">
        <v>45770</v>
      </c>
      <c r="D146" s="1">
        <v>45768</v>
      </c>
      <c r="E146">
        <v>267380</v>
      </c>
      <c r="F146">
        <v>267376</v>
      </c>
      <c r="G146">
        <v>4</v>
      </c>
      <c r="H146">
        <v>267376</v>
      </c>
      <c r="I146">
        <v>-2</v>
      </c>
      <c r="J146" t="s">
        <v>53</v>
      </c>
    </row>
    <row r="147" spans="1:10" x14ac:dyDescent="0.3">
      <c r="A147">
        <v>2</v>
      </c>
      <c r="B147">
        <v>13</v>
      </c>
      <c r="C147" s="1">
        <v>45804</v>
      </c>
      <c r="D147" s="1">
        <v>45802</v>
      </c>
      <c r="E147">
        <v>1020610</v>
      </c>
      <c r="F147">
        <v>1020606</v>
      </c>
      <c r="G147">
        <v>4</v>
      </c>
      <c r="H147">
        <v>1020606</v>
      </c>
      <c r="I147">
        <v>-2</v>
      </c>
      <c r="J147" t="s">
        <v>53</v>
      </c>
    </row>
    <row r="148" spans="1:10" x14ac:dyDescent="0.3">
      <c r="A148">
        <v>3</v>
      </c>
      <c r="B148">
        <v>13</v>
      </c>
      <c r="C148" s="1">
        <v>45832</v>
      </c>
      <c r="D148" s="1">
        <v>45831</v>
      </c>
      <c r="E148">
        <v>1520318</v>
      </c>
      <c r="F148">
        <v>1520321</v>
      </c>
      <c r="G148">
        <v>-3</v>
      </c>
      <c r="H148">
        <v>1520321</v>
      </c>
      <c r="I148">
        <v>-1</v>
      </c>
      <c r="J148" t="s">
        <v>53</v>
      </c>
    </row>
    <row r="149" spans="1:10" x14ac:dyDescent="0.3">
      <c r="A149">
        <v>4</v>
      </c>
      <c r="B149">
        <v>13</v>
      </c>
      <c r="C149" s="1">
        <v>45867</v>
      </c>
      <c r="D149" s="1">
        <v>45870</v>
      </c>
      <c r="E149">
        <v>1939323</v>
      </c>
      <c r="F149">
        <v>1939325</v>
      </c>
      <c r="G149">
        <v>-2</v>
      </c>
      <c r="H149">
        <v>1939325</v>
      </c>
      <c r="I149">
        <v>3</v>
      </c>
      <c r="J149" t="s">
        <v>53</v>
      </c>
    </row>
    <row r="150" spans="1:10" x14ac:dyDescent="0.3">
      <c r="A150">
        <v>5</v>
      </c>
      <c r="B150">
        <v>13</v>
      </c>
      <c r="C150" s="1">
        <v>45898</v>
      </c>
      <c r="D150" s="1">
        <v>45900</v>
      </c>
      <c r="E150">
        <v>1125362</v>
      </c>
      <c r="F150">
        <v>1125363</v>
      </c>
      <c r="G150">
        <v>-1</v>
      </c>
      <c r="H150">
        <v>1125363</v>
      </c>
      <c r="I150">
        <v>2</v>
      </c>
      <c r="J150" t="s">
        <v>53</v>
      </c>
    </row>
    <row r="151" spans="1:10" x14ac:dyDescent="0.3">
      <c r="A151">
        <v>6</v>
      </c>
      <c r="B151">
        <v>13</v>
      </c>
      <c r="C151" s="1">
        <v>45923</v>
      </c>
      <c r="D151" s="1">
        <v>45926</v>
      </c>
      <c r="E151">
        <v>961102</v>
      </c>
      <c r="F151">
        <v>961106</v>
      </c>
      <c r="G151">
        <v>-4</v>
      </c>
      <c r="H151">
        <v>961106</v>
      </c>
      <c r="I151">
        <v>3</v>
      </c>
      <c r="J151" t="s">
        <v>53</v>
      </c>
    </row>
    <row r="152" spans="1:10" x14ac:dyDescent="0.3">
      <c r="A152">
        <v>7</v>
      </c>
      <c r="B152">
        <v>13</v>
      </c>
      <c r="C152" s="1">
        <v>45972</v>
      </c>
      <c r="D152" s="1">
        <v>45973</v>
      </c>
      <c r="E152">
        <v>648479</v>
      </c>
      <c r="F152">
        <v>648478</v>
      </c>
      <c r="G152">
        <v>1</v>
      </c>
      <c r="H152">
        <v>648478</v>
      </c>
      <c r="I152">
        <v>1</v>
      </c>
      <c r="J152" t="s">
        <v>53</v>
      </c>
    </row>
    <row r="153" spans="1:10" x14ac:dyDescent="0.3">
      <c r="A153">
        <v>8</v>
      </c>
      <c r="B153">
        <v>13</v>
      </c>
      <c r="C153" s="1">
        <v>45988</v>
      </c>
      <c r="D153" s="1">
        <v>45989</v>
      </c>
      <c r="E153">
        <v>414113</v>
      </c>
      <c r="F153">
        <v>414116</v>
      </c>
      <c r="G153">
        <v>-3</v>
      </c>
      <c r="H153">
        <v>414116</v>
      </c>
      <c r="I153">
        <v>1</v>
      </c>
      <c r="J153" t="s">
        <v>53</v>
      </c>
    </row>
    <row r="154" spans="1:10" x14ac:dyDescent="0.3">
      <c r="A154">
        <v>9</v>
      </c>
      <c r="B154">
        <v>13</v>
      </c>
      <c r="C154" s="1">
        <v>46018</v>
      </c>
      <c r="D154" s="1">
        <v>46017</v>
      </c>
      <c r="E154">
        <v>640327</v>
      </c>
      <c r="F154">
        <v>640328</v>
      </c>
      <c r="G154">
        <v>-1</v>
      </c>
      <c r="H154">
        <v>640328</v>
      </c>
      <c r="I154">
        <v>-1</v>
      </c>
      <c r="J154" t="s">
        <v>53</v>
      </c>
    </row>
    <row r="155" spans="1:10" x14ac:dyDescent="0.3">
      <c r="A155">
        <v>10</v>
      </c>
      <c r="B155">
        <v>13</v>
      </c>
      <c r="C155" s="1">
        <v>46045</v>
      </c>
      <c r="D155" s="1">
        <v>46043</v>
      </c>
      <c r="E155">
        <v>591008</v>
      </c>
      <c r="F155">
        <v>591012</v>
      </c>
      <c r="G155">
        <v>-4</v>
      </c>
      <c r="H155">
        <v>591012</v>
      </c>
      <c r="I155">
        <v>-2</v>
      </c>
      <c r="J155" t="s">
        <v>53</v>
      </c>
    </row>
    <row r="156" spans="1:10" x14ac:dyDescent="0.3">
      <c r="A156">
        <v>11</v>
      </c>
      <c r="B156">
        <v>13</v>
      </c>
      <c r="C156" s="1">
        <v>46088</v>
      </c>
      <c r="D156" s="1">
        <v>46085</v>
      </c>
      <c r="E156">
        <v>449166</v>
      </c>
      <c r="F156">
        <v>449165</v>
      </c>
      <c r="G156">
        <v>1</v>
      </c>
      <c r="H156">
        <v>449165</v>
      </c>
      <c r="I156">
        <v>-3</v>
      </c>
      <c r="J156" t="s">
        <v>53</v>
      </c>
    </row>
    <row r="157" spans="1:10" x14ac:dyDescent="0.3">
      <c r="A157">
        <v>12</v>
      </c>
      <c r="B157">
        <v>13</v>
      </c>
      <c r="C157" s="1">
        <v>46103</v>
      </c>
      <c r="D157" s="1">
        <v>46106</v>
      </c>
      <c r="E157">
        <v>315476</v>
      </c>
      <c r="F157">
        <v>315472</v>
      </c>
      <c r="G157">
        <v>4</v>
      </c>
      <c r="H157">
        <v>315472</v>
      </c>
      <c r="I157">
        <v>3</v>
      </c>
      <c r="J157" t="s">
        <v>53</v>
      </c>
    </row>
    <row r="158" spans="1:10" x14ac:dyDescent="0.3">
      <c r="A158">
        <v>1</v>
      </c>
      <c r="B158">
        <v>14</v>
      </c>
      <c r="C158" s="1">
        <v>45797</v>
      </c>
      <c r="D158" s="1">
        <v>45799</v>
      </c>
      <c r="E158">
        <v>247816</v>
      </c>
      <c r="F158">
        <v>247818</v>
      </c>
      <c r="G158">
        <v>-2</v>
      </c>
      <c r="H158">
        <v>247818</v>
      </c>
      <c r="I158">
        <v>2</v>
      </c>
      <c r="J158" t="s">
        <v>53</v>
      </c>
    </row>
    <row r="159" spans="1:10" x14ac:dyDescent="0.3">
      <c r="A159">
        <v>2</v>
      </c>
      <c r="B159">
        <v>14</v>
      </c>
      <c r="C159" s="1">
        <v>45820</v>
      </c>
      <c r="D159" s="1">
        <v>45817</v>
      </c>
      <c r="E159">
        <v>902816</v>
      </c>
      <c r="F159">
        <v>902811</v>
      </c>
      <c r="G159">
        <v>5</v>
      </c>
      <c r="H159">
        <v>902811</v>
      </c>
      <c r="I159">
        <v>-3</v>
      </c>
      <c r="J159" t="s">
        <v>53</v>
      </c>
    </row>
    <row r="160" spans="1:10" x14ac:dyDescent="0.3">
      <c r="A160">
        <v>3</v>
      </c>
      <c r="B160">
        <v>14</v>
      </c>
      <c r="C160" s="1">
        <v>45849</v>
      </c>
      <c r="D160" s="1">
        <v>45849</v>
      </c>
      <c r="E160">
        <v>1483227</v>
      </c>
      <c r="F160">
        <v>1483232</v>
      </c>
      <c r="G160">
        <v>-5</v>
      </c>
      <c r="H160">
        <v>1483232</v>
      </c>
      <c r="I160">
        <v>0</v>
      </c>
      <c r="J160" t="s">
        <v>53</v>
      </c>
    </row>
    <row r="161" spans="1:10" x14ac:dyDescent="0.3">
      <c r="A161">
        <v>4</v>
      </c>
      <c r="B161">
        <v>14</v>
      </c>
      <c r="C161" s="1">
        <v>45869</v>
      </c>
      <c r="D161" s="1">
        <v>45868</v>
      </c>
      <c r="E161">
        <v>1847615</v>
      </c>
      <c r="F161">
        <v>1847615</v>
      </c>
      <c r="G161">
        <v>0</v>
      </c>
      <c r="H161">
        <v>1847615</v>
      </c>
      <c r="I161">
        <v>-1</v>
      </c>
      <c r="J161" t="s">
        <v>53</v>
      </c>
    </row>
    <row r="162" spans="1:10" x14ac:dyDescent="0.3">
      <c r="A162">
        <v>5</v>
      </c>
      <c r="B162">
        <v>14</v>
      </c>
      <c r="C162" s="1">
        <v>45902</v>
      </c>
      <c r="D162" s="1">
        <v>46219</v>
      </c>
      <c r="E162">
        <v>1069114</v>
      </c>
      <c r="G162">
        <v>1069114</v>
      </c>
      <c r="H162">
        <v>0</v>
      </c>
      <c r="I162">
        <v>317</v>
      </c>
      <c r="J162" t="s">
        <v>55</v>
      </c>
    </row>
    <row r="163" spans="1:10" x14ac:dyDescent="0.3">
      <c r="A163">
        <v>6</v>
      </c>
      <c r="B163">
        <v>14</v>
      </c>
      <c r="C163" s="1">
        <v>45927</v>
      </c>
      <c r="D163" s="1">
        <v>45926</v>
      </c>
      <c r="E163">
        <v>998193</v>
      </c>
      <c r="F163">
        <v>998194</v>
      </c>
      <c r="G163">
        <v>-1</v>
      </c>
      <c r="H163">
        <v>998194</v>
      </c>
      <c r="I163">
        <v>-1</v>
      </c>
      <c r="J163" t="s">
        <v>53</v>
      </c>
    </row>
    <row r="164" spans="1:10" x14ac:dyDescent="0.3">
      <c r="A164">
        <v>7</v>
      </c>
      <c r="B164">
        <v>14</v>
      </c>
      <c r="C164" s="1">
        <v>45961</v>
      </c>
      <c r="D164" s="1">
        <v>45962</v>
      </c>
      <c r="E164">
        <v>544543</v>
      </c>
      <c r="F164">
        <v>544542</v>
      </c>
      <c r="G164">
        <v>1</v>
      </c>
      <c r="H164">
        <v>544542</v>
      </c>
      <c r="I164">
        <v>1</v>
      </c>
      <c r="J164" t="s">
        <v>53</v>
      </c>
    </row>
    <row r="165" spans="1:10" x14ac:dyDescent="0.3">
      <c r="A165">
        <v>8</v>
      </c>
      <c r="B165">
        <v>14</v>
      </c>
      <c r="C165" s="1">
        <v>46007</v>
      </c>
      <c r="D165" s="1">
        <v>46219</v>
      </c>
      <c r="E165">
        <v>277163</v>
      </c>
      <c r="G165">
        <v>277163</v>
      </c>
      <c r="H165">
        <v>0</v>
      </c>
      <c r="I165">
        <v>212</v>
      </c>
      <c r="J165" t="s">
        <v>55</v>
      </c>
    </row>
    <row r="166" spans="1:10" x14ac:dyDescent="0.3">
      <c r="A166">
        <v>9</v>
      </c>
      <c r="B166">
        <v>14</v>
      </c>
      <c r="C166" s="1">
        <v>46018</v>
      </c>
      <c r="D166" s="1">
        <v>46219</v>
      </c>
      <c r="E166">
        <v>410853</v>
      </c>
      <c r="G166">
        <v>410853</v>
      </c>
      <c r="H166">
        <v>0</v>
      </c>
      <c r="I166">
        <v>201</v>
      </c>
      <c r="J166" t="s">
        <v>55</v>
      </c>
    </row>
    <row r="167" spans="1:10" x14ac:dyDescent="0.3">
      <c r="A167">
        <v>10</v>
      </c>
      <c r="B167">
        <v>14</v>
      </c>
      <c r="C167" s="1">
        <v>46044</v>
      </c>
      <c r="D167" s="1">
        <v>46045</v>
      </c>
      <c r="E167">
        <v>442645</v>
      </c>
      <c r="F167">
        <v>442642</v>
      </c>
      <c r="G167">
        <v>3</v>
      </c>
      <c r="H167">
        <v>442642</v>
      </c>
      <c r="I167">
        <v>1</v>
      </c>
      <c r="J167" t="s">
        <v>53</v>
      </c>
    </row>
    <row r="168" spans="1:10" x14ac:dyDescent="0.3">
      <c r="A168">
        <v>11</v>
      </c>
      <c r="B168">
        <v>14</v>
      </c>
      <c r="C168" s="1">
        <v>46089</v>
      </c>
      <c r="D168" s="1">
        <v>46092</v>
      </c>
      <c r="E168">
        <v>316699</v>
      </c>
      <c r="F168">
        <v>316702</v>
      </c>
      <c r="G168">
        <v>-3</v>
      </c>
      <c r="H168">
        <v>316702</v>
      </c>
      <c r="I168">
        <v>3</v>
      </c>
      <c r="J168" t="s">
        <v>53</v>
      </c>
    </row>
    <row r="169" spans="1:10" x14ac:dyDescent="0.3">
      <c r="A169">
        <v>12</v>
      </c>
      <c r="B169">
        <v>14</v>
      </c>
      <c r="C169" s="1">
        <v>46127</v>
      </c>
      <c r="D169" s="1">
        <v>46125</v>
      </c>
      <c r="E169">
        <v>265342</v>
      </c>
      <c r="F169">
        <v>265346</v>
      </c>
      <c r="G169">
        <v>-4</v>
      </c>
      <c r="H169">
        <v>265346</v>
      </c>
      <c r="I169">
        <v>-2</v>
      </c>
      <c r="J169" t="s">
        <v>53</v>
      </c>
    </row>
    <row r="170" spans="1:10" x14ac:dyDescent="0.3">
      <c r="A170">
        <v>1</v>
      </c>
      <c r="B170">
        <v>15</v>
      </c>
      <c r="C170" s="1">
        <v>45804</v>
      </c>
      <c r="D170" s="1">
        <v>45802</v>
      </c>
      <c r="E170">
        <v>172786</v>
      </c>
      <c r="F170">
        <v>172785</v>
      </c>
      <c r="G170">
        <v>1</v>
      </c>
      <c r="H170">
        <v>172785</v>
      </c>
      <c r="I170">
        <v>-2</v>
      </c>
      <c r="J170" t="s">
        <v>53</v>
      </c>
    </row>
    <row r="171" spans="1:10" x14ac:dyDescent="0.3">
      <c r="A171">
        <v>2</v>
      </c>
      <c r="B171">
        <v>15</v>
      </c>
      <c r="C171" s="1">
        <v>45833</v>
      </c>
      <c r="D171" s="1">
        <v>45831</v>
      </c>
      <c r="E171">
        <v>1098975</v>
      </c>
      <c r="F171">
        <v>1098972</v>
      </c>
      <c r="G171">
        <v>3</v>
      </c>
      <c r="H171">
        <v>1098972</v>
      </c>
      <c r="I171">
        <v>-2</v>
      </c>
      <c r="J171" t="s">
        <v>53</v>
      </c>
    </row>
    <row r="172" spans="1:10" x14ac:dyDescent="0.3">
      <c r="A172">
        <v>3</v>
      </c>
      <c r="B172">
        <v>15</v>
      </c>
      <c r="C172" s="1">
        <v>45860</v>
      </c>
      <c r="D172" s="1">
        <v>45862</v>
      </c>
      <c r="E172">
        <v>1857396</v>
      </c>
      <c r="F172">
        <v>1857392</v>
      </c>
      <c r="G172">
        <v>4</v>
      </c>
      <c r="H172">
        <v>1857392</v>
      </c>
      <c r="I172">
        <v>2</v>
      </c>
      <c r="J172" t="s">
        <v>53</v>
      </c>
    </row>
    <row r="173" spans="1:10" x14ac:dyDescent="0.3">
      <c r="A173">
        <v>4</v>
      </c>
      <c r="B173">
        <v>15</v>
      </c>
      <c r="C173" s="1">
        <v>45895</v>
      </c>
      <c r="D173" s="1">
        <v>45898</v>
      </c>
      <c r="E173">
        <v>2059136</v>
      </c>
      <c r="F173">
        <v>2059135</v>
      </c>
      <c r="G173">
        <v>1</v>
      </c>
      <c r="H173">
        <v>2059135</v>
      </c>
      <c r="I173">
        <v>3</v>
      </c>
      <c r="J173" t="s">
        <v>53</v>
      </c>
    </row>
    <row r="174" spans="1:10" x14ac:dyDescent="0.3">
      <c r="A174">
        <v>5</v>
      </c>
      <c r="B174">
        <v>15</v>
      </c>
      <c r="C174" s="1">
        <v>45930</v>
      </c>
      <c r="D174" s="1">
        <v>46219</v>
      </c>
      <c r="E174">
        <v>1470280</v>
      </c>
      <c r="G174">
        <v>1470280</v>
      </c>
      <c r="H174">
        <v>0</v>
      </c>
      <c r="I174">
        <v>289</v>
      </c>
      <c r="J174" t="s">
        <v>55</v>
      </c>
    </row>
    <row r="175" spans="1:10" x14ac:dyDescent="0.3">
      <c r="A175">
        <v>6</v>
      </c>
      <c r="B175">
        <v>15</v>
      </c>
      <c r="C175" s="1">
        <v>45953</v>
      </c>
      <c r="D175" s="1">
        <v>45953</v>
      </c>
      <c r="E175">
        <v>1421767</v>
      </c>
      <c r="F175">
        <v>1421765</v>
      </c>
      <c r="G175">
        <v>2</v>
      </c>
      <c r="H175">
        <v>1421765</v>
      </c>
      <c r="I175">
        <v>0</v>
      </c>
      <c r="J175" t="s">
        <v>53</v>
      </c>
    </row>
    <row r="176" spans="1:10" x14ac:dyDescent="0.3">
      <c r="A176">
        <v>7</v>
      </c>
      <c r="B176">
        <v>15</v>
      </c>
      <c r="C176" s="1">
        <v>45985</v>
      </c>
      <c r="D176" s="1">
        <v>45983</v>
      </c>
      <c r="E176">
        <v>478890</v>
      </c>
      <c r="F176">
        <v>478887</v>
      </c>
      <c r="G176">
        <v>3</v>
      </c>
      <c r="H176">
        <v>478887</v>
      </c>
      <c r="I176">
        <v>-2</v>
      </c>
      <c r="J176" t="s">
        <v>53</v>
      </c>
    </row>
    <row r="177" spans="1:10" x14ac:dyDescent="0.3">
      <c r="A177">
        <v>8</v>
      </c>
      <c r="B177">
        <v>15</v>
      </c>
      <c r="C177" s="1">
        <v>46012</v>
      </c>
      <c r="D177" s="1">
        <v>46219</v>
      </c>
      <c r="E177">
        <v>166371</v>
      </c>
      <c r="G177">
        <v>166371</v>
      </c>
      <c r="H177">
        <v>0</v>
      </c>
      <c r="I177">
        <v>207</v>
      </c>
      <c r="J177" t="s">
        <v>55</v>
      </c>
    </row>
    <row r="178" spans="1:10" x14ac:dyDescent="0.3">
      <c r="A178">
        <v>9</v>
      </c>
      <c r="B178">
        <v>15</v>
      </c>
      <c r="C178" s="1">
        <v>46064</v>
      </c>
      <c r="D178" s="1">
        <v>46219</v>
      </c>
      <c r="E178">
        <v>117114</v>
      </c>
      <c r="G178">
        <v>117114</v>
      </c>
      <c r="H178">
        <v>0</v>
      </c>
      <c r="I178">
        <v>155</v>
      </c>
      <c r="J178" t="s">
        <v>55</v>
      </c>
    </row>
    <row r="179" spans="1:10" x14ac:dyDescent="0.3">
      <c r="A179">
        <v>10</v>
      </c>
      <c r="B179">
        <v>15</v>
      </c>
      <c r="C179" s="1">
        <v>46089</v>
      </c>
      <c r="D179" s="1">
        <v>46219</v>
      </c>
      <c r="E179">
        <v>136539</v>
      </c>
      <c r="G179">
        <v>136539</v>
      </c>
      <c r="H179">
        <v>0</v>
      </c>
      <c r="I179">
        <v>130</v>
      </c>
      <c r="J179" t="s">
        <v>55</v>
      </c>
    </row>
    <row r="180" spans="1:10" x14ac:dyDescent="0.3">
      <c r="A180">
        <v>11</v>
      </c>
      <c r="B180">
        <v>15</v>
      </c>
      <c r="C180" s="1">
        <v>46120</v>
      </c>
      <c r="D180" s="1">
        <v>46219</v>
      </c>
      <c r="E180">
        <v>117338</v>
      </c>
      <c r="G180">
        <v>117338</v>
      </c>
      <c r="H180">
        <v>0</v>
      </c>
      <c r="I180">
        <v>99</v>
      </c>
      <c r="J180" t="s">
        <v>55</v>
      </c>
    </row>
    <row r="181" spans="1:10" x14ac:dyDescent="0.3">
      <c r="A181">
        <v>12</v>
      </c>
      <c r="B181">
        <v>15</v>
      </c>
      <c r="C181" s="1">
        <v>46120</v>
      </c>
      <c r="D181" s="1">
        <v>46117</v>
      </c>
      <c r="E181">
        <v>95468</v>
      </c>
      <c r="F181">
        <v>95463</v>
      </c>
      <c r="G181">
        <v>5</v>
      </c>
      <c r="H181">
        <v>95463</v>
      </c>
      <c r="I181">
        <v>-3</v>
      </c>
      <c r="J181" t="s">
        <v>53</v>
      </c>
    </row>
    <row r="182" spans="1:10" x14ac:dyDescent="0.3">
      <c r="A182">
        <v>1</v>
      </c>
      <c r="B182">
        <v>16</v>
      </c>
      <c r="C182" s="1">
        <v>45849</v>
      </c>
      <c r="D182" s="1">
        <v>45847</v>
      </c>
      <c r="E182">
        <v>192344</v>
      </c>
      <c r="F182">
        <v>192342</v>
      </c>
      <c r="G182">
        <v>2</v>
      </c>
      <c r="H182">
        <v>192342</v>
      </c>
      <c r="I182">
        <v>-2</v>
      </c>
      <c r="J182" t="s">
        <v>53</v>
      </c>
    </row>
    <row r="183" spans="1:10" x14ac:dyDescent="0.3">
      <c r="A183">
        <v>2</v>
      </c>
      <c r="B183">
        <v>16</v>
      </c>
      <c r="C183" s="1">
        <v>45878</v>
      </c>
      <c r="D183" s="1">
        <v>45876</v>
      </c>
      <c r="E183">
        <v>1149789</v>
      </c>
      <c r="F183">
        <v>1149790</v>
      </c>
      <c r="G183">
        <v>-1</v>
      </c>
      <c r="H183">
        <v>1149790</v>
      </c>
      <c r="I183">
        <v>-2</v>
      </c>
      <c r="J183" t="s">
        <v>53</v>
      </c>
    </row>
    <row r="184" spans="1:10" x14ac:dyDescent="0.3">
      <c r="A184">
        <v>3</v>
      </c>
      <c r="B184">
        <v>16</v>
      </c>
      <c r="C184" s="1">
        <v>45905</v>
      </c>
      <c r="D184" s="1">
        <v>45908</v>
      </c>
      <c r="E184">
        <v>1956535</v>
      </c>
      <c r="F184">
        <v>1956533</v>
      </c>
      <c r="G184">
        <v>2</v>
      </c>
      <c r="H184">
        <v>1956533</v>
      </c>
      <c r="I184">
        <v>3</v>
      </c>
      <c r="J184" t="s">
        <v>53</v>
      </c>
    </row>
    <row r="185" spans="1:10" x14ac:dyDescent="0.3">
      <c r="A185">
        <v>4</v>
      </c>
      <c r="B185">
        <v>16</v>
      </c>
      <c r="C185" s="1">
        <v>45940</v>
      </c>
      <c r="D185" s="1">
        <v>45943</v>
      </c>
      <c r="E185">
        <v>2175313</v>
      </c>
      <c r="F185">
        <v>2175310</v>
      </c>
      <c r="G185">
        <v>3</v>
      </c>
      <c r="H185">
        <v>2175310</v>
      </c>
      <c r="I185">
        <v>3</v>
      </c>
      <c r="J185" t="s">
        <v>53</v>
      </c>
    </row>
    <row r="186" spans="1:10" x14ac:dyDescent="0.3">
      <c r="A186">
        <v>5</v>
      </c>
      <c r="B186">
        <v>16</v>
      </c>
      <c r="C186" s="1">
        <v>45975</v>
      </c>
      <c r="D186" s="1">
        <v>45977</v>
      </c>
      <c r="E186">
        <v>1567493</v>
      </c>
      <c r="F186">
        <v>1567497</v>
      </c>
      <c r="G186">
        <v>-4</v>
      </c>
      <c r="H186">
        <v>1567497</v>
      </c>
      <c r="I186">
        <v>2</v>
      </c>
      <c r="J186" t="s">
        <v>53</v>
      </c>
    </row>
    <row r="187" spans="1:10" x14ac:dyDescent="0.3">
      <c r="A187">
        <v>6</v>
      </c>
      <c r="B187">
        <v>16</v>
      </c>
      <c r="C187" s="1">
        <v>45998</v>
      </c>
      <c r="D187" s="1">
        <v>46000</v>
      </c>
      <c r="E187">
        <v>1530513</v>
      </c>
      <c r="F187">
        <v>1530515</v>
      </c>
      <c r="G187">
        <v>-2</v>
      </c>
      <c r="H187">
        <v>1530515</v>
      </c>
      <c r="I187">
        <v>2</v>
      </c>
      <c r="J187" t="s">
        <v>53</v>
      </c>
    </row>
    <row r="188" spans="1:10" x14ac:dyDescent="0.3">
      <c r="A188">
        <v>7</v>
      </c>
      <c r="B188">
        <v>16</v>
      </c>
      <c r="C188" s="1">
        <v>46030</v>
      </c>
      <c r="D188" s="1">
        <v>46030</v>
      </c>
      <c r="E188">
        <v>514429</v>
      </c>
      <c r="F188">
        <v>514429</v>
      </c>
      <c r="G188">
        <v>0</v>
      </c>
      <c r="H188">
        <v>514429</v>
      </c>
      <c r="I188">
        <v>0</v>
      </c>
      <c r="J188" t="s">
        <v>53</v>
      </c>
    </row>
    <row r="189" spans="1:10" x14ac:dyDescent="0.3">
      <c r="A189">
        <v>8</v>
      </c>
      <c r="B189">
        <v>16</v>
      </c>
      <c r="C189" s="1">
        <v>46057</v>
      </c>
      <c r="D189" s="1">
        <v>46057</v>
      </c>
      <c r="E189">
        <v>176258</v>
      </c>
      <c r="F189">
        <v>176259</v>
      </c>
      <c r="G189">
        <v>-1</v>
      </c>
      <c r="H189">
        <v>176259</v>
      </c>
      <c r="I189">
        <v>0</v>
      </c>
      <c r="J189" t="s">
        <v>53</v>
      </c>
    </row>
    <row r="190" spans="1:10" x14ac:dyDescent="0.3">
      <c r="A190">
        <v>9</v>
      </c>
      <c r="B190">
        <v>16</v>
      </c>
      <c r="C190" s="1">
        <v>46109</v>
      </c>
      <c r="D190" s="1">
        <v>46106</v>
      </c>
      <c r="E190">
        <v>138889</v>
      </c>
      <c r="F190">
        <v>138891</v>
      </c>
      <c r="G190">
        <v>-2</v>
      </c>
      <c r="H190">
        <v>138891</v>
      </c>
      <c r="I190">
        <v>-3</v>
      </c>
      <c r="J190" t="s">
        <v>53</v>
      </c>
    </row>
    <row r="191" spans="1:10" x14ac:dyDescent="0.3">
      <c r="A191">
        <v>10</v>
      </c>
      <c r="B191">
        <v>16</v>
      </c>
      <c r="C191" s="1">
        <v>46134</v>
      </c>
      <c r="D191" s="1">
        <v>46131</v>
      </c>
      <c r="E191">
        <v>142946</v>
      </c>
      <c r="F191">
        <v>142951</v>
      </c>
      <c r="G191">
        <v>-5</v>
      </c>
      <c r="H191">
        <v>142951</v>
      </c>
      <c r="I191">
        <v>-3</v>
      </c>
      <c r="J191" t="s">
        <v>53</v>
      </c>
    </row>
    <row r="192" spans="1:10" x14ac:dyDescent="0.3">
      <c r="A192">
        <v>11</v>
      </c>
      <c r="B192">
        <v>16</v>
      </c>
      <c r="C192" s="1">
        <v>46165</v>
      </c>
      <c r="D192" s="1">
        <v>46164</v>
      </c>
      <c r="E192">
        <v>124588</v>
      </c>
      <c r="F192">
        <v>124586</v>
      </c>
      <c r="G192">
        <v>2</v>
      </c>
      <c r="H192">
        <v>124586</v>
      </c>
      <c r="I192">
        <v>-1</v>
      </c>
      <c r="J192" t="s">
        <v>53</v>
      </c>
    </row>
    <row r="193" spans="1:10" x14ac:dyDescent="0.3">
      <c r="A193">
        <v>12</v>
      </c>
      <c r="B193">
        <v>16</v>
      </c>
      <c r="C193" s="1">
        <v>46165</v>
      </c>
      <c r="D193" s="1">
        <v>46168</v>
      </c>
      <c r="E193">
        <v>93246</v>
      </c>
      <c r="F193">
        <v>93246</v>
      </c>
      <c r="G193">
        <v>0</v>
      </c>
      <c r="H193">
        <v>93246</v>
      </c>
      <c r="I193">
        <v>3</v>
      </c>
      <c r="J193" t="s">
        <v>53</v>
      </c>
    </row>
    <row r="194" spans="1:10" x14ac:dyDescent="0.3">
      <c r="A194">
        <v>1</v>
      </c>
      <c r="B194">
        <v>17</v>
      </c>
      <c r="C194" s="1">
        <v>45814</v>
      </c>
      <c r="D194" s="1">
        <v>45812</v>
      </c>
      <c r="E194">
        <v>220082</v>
      </c>
      <c r="F194">
        <v>220084</v>
      </c>
      <c r="G194">
        <v>-2</v>
      </c>
      <c r="H194">
        <v>220084</v>
      </c>
      <c r="I194">
        <v>-2</v>
      </c>
      <c r="J194" t="s">
        <v>53</v>
      </c>
    </row>
    <row r="195" spans="1:10" x14ac:dyDescent="0.3">
      <c r="A195">
        <v>2</v>
      </c>
      <c r="B195">
        <v>17</v>
      </c>
      <c r="C195" s="1">
        <v>45877</v>
      </c>
      <c r="D195" s="1">
        <v>45874</v>
      </c>
      <c r="E195">
        <v>1423230</v>
      </c>
      <c r="F195">
        <v>1423232</v>
      </c>
      <c r="G195">
        <v>-2</v>
      </c>
      <c r="H195">
        <v>1423232</v>
      </c>
      <c r="I195">
        <v>-3</v>
      </c>
      <c r="J195" t="s">
        <v>53</v>
      </c>
    </row>
    <row r="196" spans="1:10" x14ac:dyDescent="0.3">
      <c r="A196">
        <v>3</v>
      </c>
      <c r="B196">
        <v>17</v>
      </c>
      <c r="C196" s="1">
        <v>45877</v>
      </c>
      <c r="D196" s="1">
        <v>45878</v>
      </c>
      <c r="E196">
        <v>2410027</v>
      </c>
      <c r="F196">
        <v>2410026</v>
      </c>
      <c r="G196">
        <v>1</v>
      </c>
      <c r="H196">
        <v>2410026</v>
      </c>
      <c r="I196">
        <v>1</v>
      </c>
      <c r="J196" t="s">
        <v>53</v>
      </c>
    </row>
    <row r="197" spans="1:10" x14ac:dyDescent="0.3">
      <c r="A197">
        <v>4</v>
      </c>
      <c r="B197">
        <v>17</v>
      </c>
      <c r="C197" s="1">
        <v>45912</v>
      </c>
      <c r="D197" s="1">
        <v>45912</v>
      </c>
      <c r="E197">
        <v>2762884</v>
      </c>
      <c r="F197">
        <v>2762887</v>
      </c>
      <c r="G197">
        <v>-3</v>
      </c>
      <c r="H197">
        <v>2762887</v>
      </c>
      <c r="I197">
        <v>0</v>
      </c>
      <c r="J197" t="s">
        <v>53</v>
      </c>
    </row>
    <row r="198" spans="1:10" x14ac:dyDescent="0.3">
      <c r="A198">
        <v>5</v>
      </c>
      <c r="B198">
        <v>17</v>
      </c>
      <c r="C198" s="1">
        <v>45945</v>
      </c>
      <c r="D198" s="1">
        <v>46219</v>
      </c>
      <c r="E198">
        <v>1923920</v>
      </c>
      <c r="G198">
        <v>1923920</v>
      </c>
      <c r="H198">
        <v>0</v>
      </c>
      <c r="I198">
        <v>274</v>
      </c>
      <c r="J198" t="s">
        <v>55</v>
      </c>
    </row>
    <row r="199" spans="1:10" x14ac:dyDescent="0.3">
      <c r="A199">
        <v>6</v>
      </c>
      <c r="B199">
        <v>17</v>
      </c>
      <c r="C199" s="1">
        <v>45968</v>
      </c>
      <c r="D199" s="1">
        <v>45968</v>
      </c>
      <c r="E199">
        <v>1752645</v>
      </c>
      <c r="F199">
        <v>1752647</v>
      </c>
      <c r="G199">
        <v>-2</v>
      </c>
      <c r="H199">
        <v>1752647</v>
      </c>
      <c r="I199">
        <v>0</v>
      </c>
      <c r="J199" t="s">
        <v>53</v>
      </c>
    </row>
    <row r="200" spans="1:10" x14ac:dyDescent="0.3">
      <c r="A200">
        <v>7</v>
      </c>
      <c r="B200">
        <v>17</v>
      </c>
      <c r="C200" s="1">
        <v>46004</v>
      </c>
      <c r="D200" s="1">
        <v>46006</v>
      </c>
      <c r="E200">
        <v>617013</v>
      </c>
      <c r="F200">
        <v>617017</v>
      </c>
      <c r="G200">
        <v>-4</v>
      </c>
      <c r="H200">
        <v>617017</v>
      </c>
      <c r="I200">
        <v>2</v>
      </c>
      <c r="J200" t="s">
        <v>53</v>
      </c>
    </row>
    <row r="201" spans="1:10" x14ac:dyDescent="0.3">
      <c r="A201">
        <v>8</v>
      </c>
      <c r="B201">
        <v>17</v>
      </c>
      <c r="C201" s="1">
        <v>46033</v>
      </c>
      <c r="D201" s="1">
        <v>46219</v>
      </c>
      <c r="E201">
        <v>238458</v>
      </c>
      <c r="G201">
        <v>238458</v>
      </c>
      <c r="H201">
        <v>0</v>
      </c>
      <c r="I201">
        <v>186</v>
      </c>
      <c r="J201" t="s">
        <v>55</v>
      </c>
    </row>
    <row r="202" spans="1:10" x14ac:dyDescent="0.3">
      <c r="A202">
        <v>9</v>
      </c>
      <c r="B202">
        <v>17</v>
      </c>
      <c r="C202" s="1">
        <v>46056</v>
      </c>
      <c r="D202" s="1">
        <v>46219</v>
      </c>
      <c r="E202">
        <v>173598</v>
      </c>
      <c r="G202">
        <v>173598</v>
      </c>
      <c r="H202">
        <v>0</v>
      </c>
      <c r="I202">
        <v>163</v>
      </c>
      <c r="J202" t="s">
        <v>55</v>
      </c>
    </row>
    <row r="203" spans="1:10" x14ac:dyDescent="0.3">
      <c r="A203">
        <v>10</v>
      </c>
      <c r="B203">
        <v>17</v>
      </c>
      <c r="C203" s="1">
        <v>45724</v>
      </c>
      <c r="D203" s="1">
        <v>45727</v>
      </c>
      <c r="E203">
        <v>225900</v>
      </c>
      <c r="F203">
        <v>225897</v>
      </c>
      <c r="G203">
        <v>3</v>
      </c>
      <c r="H203">
        <v>225897</v>
      </c>
      <c r="I203">
        <v>3</v>
      </c>
      <c r="J203" t="s">
        <v>53</v>
      </c>
    </row>
    <row r="204" spans="1:10" x14ac:dyDescent="0.3">
      <c r="A204">
        <v>11</v>
      </c>
      <c r="B204">
        <v>17</v>
      </c>
      <c r="C204" s="1">
        <v>45768</v>
      </c>
      <c r="D204" s="1">
        <v>45767</v>
      </c>
      <c r="E204">
        <v>167285</v>
      </c>
      <c r="F204">
        <v>167280</v>
      </c>
      <c r="G204">
        <v>5</v>
      </c>
      <c r="H204">
        <v>167280</v>
      </c>
      <c r="I204">
        <v>-1</v>
      </c>
      <c r="J204" t="s">
        <v>53</v>
      </c>
    </row>
    <row r="205" spans="1:10" x14ac:dyDescent="0.3">
      <c r="A205">
        <v>12</v>
      </c>
      <c r="B205">
        <v>17</v>
      </c>
      <c r="C205" s="1">
        <v>46148</v>
      </c>
      <c r="D205" s="1">
        <v>46148</v>
      </c>
      <c r="E205">
        <v>129707</v>
      </c>
      <c r="F205">
        <v>129708</v>
      </c>
      <c r="G205">
        <v>-1</v>
      </c>
      <c r="H205">
        <v>129708</v>
      </c>
      <c r="I205">
        <v>0</v>
      </c>
      <c r="J205" t="s">
        <v>53</v>
      </c>
    </row>
    <row r="206" spans="1:10" x14ac:dyDescent="0.3">
      <c r="A206">
        <v>1</v>
      </c>
      <c r="B206">
        <v>18</v>
      </c>
      <c r="C206" s="1">
        <v>45764</v>
      </c>
      <c r="D206" s="1">
        <v>45764</v>
      </c>
      <c r="E206">
        <v>155912</v>
      </c>
      <c r="F206">
        <v>155908</v>
      </c>
      <c r="G206">
        <v>4</v>
      </c>
      <c r="H206">
        <v>155908</v>
      </c>
      <c r="I206">
        <v>0</v>
      </c>
      <c r="J206" t="s">
        <v>53</v>
      </c>
    </row>
    <row r="207" spans="1:10" x14ac:dyDescent="0.3">
      <c r="A207">
        <v>2</v>
      </c>
      <c r="B207">
        <v>18</v>
      </c>
      <c r="C207" s="1">
        <v>45827</v>
      </c>
      <c r="D207" s="1">
        <v>45825</v>
      </c>
      <c r="E207">
        <v>331761</v>
      </c>
      <c r="F207">
        <v>331763</v>
      </c>
      <c r="G207">
        <v>-2</v>
      </c>
      <c r="H207">
        <v>331763</v>
      </c>
      <c r="I207">
        <v>-2</v>
      </c>
      <c r="J207" t="s">
        <v>53</v>
      </c>
    </row>
    <row r="208" spans="1:10" x14ac:dyDescent="0.3">
      <c r="A208">
        <v>3</v>
      </c>
      <c r="B208">
        <v>18</v>
      </c>
      <c r="C208" s="1">
        <v>45827</v>
      </c>
      <c r="D208" s="1">
        <v>45824</v>
      </c>
      <c r="E208">
        <v>659715</v>
      </c>
      <c r="F208">
        <v>659712</v>
      </c>
      <c r="G208">
        <v>3</v>
      </c>
      <c r="H208">
        <v>659712</v>
      </c>
      <c r="I208">
        <v>-3</v>
      </c>
      <c r="J208" t="s">
        <v>53</v>
      </c>
    </row>
    <row r="209" spans="1:10" x14ac:dyDescent="0.3">
      <c r="A209">
        <v>4</v>
      </c>
      <c r="B209">
        <v>18</v>
      </c>
      <c r="C209" s="1">
        <v>45862</v>
      </c>
      <c r="D209" s="1">
        <v>45861</v>
      </c>
      <c r="E209">
        <v>945610</v>
      </c>
      <c r="F209">
        <v>945612</v>
      </c>
      <c r="G209">
        <v>-2</v>
      </c>
      <c r="H209">
        <v>945612</v>
      </c>
      <c r="I209">
        <v>-1</v>
      </c>
      <c r="J209" t="s">
        <v>53</v>
      </c>
    </row>
    <row r="210" spans="1:10" x14ac:dyDescent="0.3">
      <c r="A210">
        <v>5</v>
      </c>
      <c r="B210">
        <v>18</v>
      </c>
      <c r="C210" s="1">
        <v>45895</v>
      </c>
      <c r="D210" s="1">
        <v>46219</v>
      </c>
      <c r="E210">
        <v>876106</v>
      </c>
      <c r="G210">
        <v>876106</v>
      </c>
      <c r="H210">
        <v>0</v>
      </c>
      <c r="I210">
        <v>324</v>
      </c>
      <c r="J210" t="s">
        <v>55</v>
      </c>
    </row>
    <row r="211" spans="1:10" x14ac:dyDescent="0.3">
      <c r="A211">
        <v>6</v>
      </c>
      <c r="B211">
        <v>18</v>
      </c>
      <c r="C211" s="1">
        <v>45918</v>
      </c>
      <c r="D211" s="1">
        <v>46219</v>
      </c>
      <c r="E211">
        <v>534173</v>
      </c>
      <c r="G211">
        <v>534173</v>
      </c>
      <c r="H211">
        <v>0</v>
      </c>
      <c r="I211">
        <v>301</v>
      </c>
      <c r="J211" t="s">
        <v>55</v>
      </c>
    </row>
    <row r="212" spans="1:10" x14ac:dyDescent="0.3">
      <c r="A212">
        <v>7</v>
      </c>
      <c r="B212">
        <v>18</v>
      </c>
      <c r="C212" s="1">
        <v>45954</v>
      </c>
      <c r="D212" s="1">
        <v>46219</v>
      </c>
      <c r="E212">
        <v>288411</v>
      </c>
      <c r="G212">
        <v>288411</v>
      </c>
      <c r="H212">
        <v>0</v>
      </c>
      <c r="I212">
        <v>265</v>
      </c>
      <c r="J212" t="s">
        <v>55</v>
      </c>
    </row>
    <row r="213" spans="1:10" x14ac:dyDescent="0.3">
      <c r="A213">
        <v>8</v>
      </c>
      <c r="B213">
        <v>18</v>
      </c>
      <c r="C213" s="1">
        <v>45983</v>
      </c>
      <c r="D213" s="1">
        <v>46219</v>
      </c>
      <c r="E213">
        <v>254387</v>
      </c>
      <c r="G213">
        <v>254387</v>
      </c>
      <c r="H213">
        <v>0</v>
      </c>
      <c r="I213">
        <v>236</v>
      </c>
      <c r="J213" t="s">
        <v>55</v>
      </c>
    </row>
    <row r="214" spans="1:10" x14ac:dyDescent="0.3">
      <c r="A214">
        <v>9</v>
      </c>
      <c r="B214">
        <v>18</v>
      </c>
      <c r="C214" s="1">
        <v>46006</v>
      </c>
      <c r="D214" s="1">
        <v>46219</v>
      </c>
      <c r="E214">
        <v>420289</v>
      </c>
      <c r="G214">
        <v>420289</v>
      </c>
      <c r="H214">
        <v>0</v>
      </c>
      <c r="I214">
        <v>213</v>
      </c>
      <c r="J214" t="s">
        <v>55</v>
      </c>
    </row>
    <row r="215" spans="1:10" x14ac:dyDescent="0.3">
      <c r="A215">
        <v>10</v>
      </c>
      <c r="B215">
        <v>18</v>
      </c>
      <c r="C215" s="1">
        <v>45674</v>
      </c>
      <c r="D215" s="1">
        <v>46219</v>
      </c>
      <c r="E215">
        <v>135913</v>
      </c>
      <c r="G215">
        <v>135913</v>
      </c>
      <c r="H215">
        <v>0</v>
      </c>
      <c r="I215">
        <v>545</v>
      </c>
      <c r="J215" t="s">
        <v>55</v>
      </c>
    </row>
    <row r="216" spans="1:10" x14ac:dyDescent="0.3">
      <c r="A216">
        <v>11</v>
      </c>
      <c r="B216">
        <v>18</v>
      </c>
      <c r="C216" s="1">
        <v>45718</v>
      </c>
      <c r="D216" s="1">
        <v>46219</v>
      </c>
      <c r="E216">
        <v>92377</v>
      </c>
      <c r="G216">
        <v>92377</v>
      </c>
      <c r="H216">
        <v>0</v>
      </c>
      <c r="I216">
        <v>501</v>
      </c>
      <c r="J216" t="s">
        <v>55</v>
      </c>
    </row>
    <row r="217" spans="1:10" x14ac:dyDescent="0.3">
      <c r="A217">
        <v>12</v>
      </c>
      <c r="B217">
        <v>18</v>
      </c>
      <c r="C217" s="1">
        <v>46098</v>
      </c>
      <c r="D217" s="1">
        <v>46098</v>
      </c>
      <c r="E217">
        <v>129385</v>
      </c>
      <c r="F217">
        <v>129389</v>
      </c>
      <c r="G217">
        <v>-4</v>
      </c>
      <c r="H217">
        <v>129389</v>
      </c>
      <c r="I217">
        <v>0</v>
      </c>
      <c r="J217" t="s">
        <v>53</v>
      </c>
    </row>
    <row r="218" spans="1:10" x14ac:dyDescent="0.3">
      <c r="A218">
        <v>1</v>
      </c>
      <c r="B218">
        <v>19</v>
      </c>
      <c r="C218" s="1">
        <v>45761</v>
      </c>
      <c r="D218" s="1">
        <v>45760</v>
      </c>
      <c r="E218">
        <v>331670</v>
      </c>
      <c r="F218">
        <v>331674</v>
      </c>
      <c r="G218">
        <v>-4</v>
      </c>
      <c r="H218">
        <v>331674</v>
      </c>
      <c r="I218">
        <v>-1</v>
      </c>
      <c r="J218" t="s">
        <v>53</v>
      </c>
    </row>
    <row r="219" spans="1:10" x14ac:dyDescent="0.3">
      <c r="A219">
        <v>2</v>
      </c>
      <c r="B219">
        <v>19</v>
      </c>
      <c r="C219" s="1">
        <v>45824</v>
      </c>
      <c r="D219" s="1">
        <v>45826</v>
      </c>
      <c r="E219">
        <v>652753</v>
      </c>
      <c r="F219">
        <v>652749</v>
      </c>
      <c r="G219">
        <v>4</v>
      </c>
      <c r="H219">
        <v>652749</v>
      </c>
      <c r="I219">
        <v>2</v>
      </c>
      <c r="J219" t="s">
        <v>53</v>
      </c>
    </row>
    <row r="220" spans="1:10" x14ac:dyDescent="0.3">
      <c r="A220">
        <v>3</v>
      </c>
      <c r="B220">
        <v>19</v>
      </c>
      <c r="C220" s="1">
        <v>45824</v>
      </c>
      <c r="D220" s="1">
        <v>45826</v>
      </c>
      <c r="E220">
        <v>2004679</v>
      </c>
      <c r="F220">
        <v>2004683</v>
      </c>
      <c r="G220">
        <v>-4</v>
      </c>
      <c r="H220">
        <v>2004683</v>
      </c>
      <c r="I220">
        <v>2</v>
      </c>
      <c r="J220" t="s">
        <v>53</v>
      </c>
    </row>
    <row r="221" spans="1:10" x14ac:dyDescent="0.3">
      <c r="A221">
        <v>4</v>
      </c>
      <c r="B221">
        <v>19</v>
      </c>
      <c r="C221" s="1">
        <v>45859</v>
      </c>
      <c r="D221" s="1">
        <v>45858</v>
      </c>
      <c r="E221">
        <v>2554186</v>
      </c>
      <c r="F221">
        <v>2554185</v>
      </c>
      <c r="G221">
        <v>1</v>
      </c>
      <c r="H221">
        <v>2554185</v>
      </c>
      <c r="I221">
        <v>-1</v>
      </c>
      <c r="J221" t="s">
        <v>53</v>
      </c>
    </row>
    <row r="222" spans="1:10" x14ac:dyDescent="0.3">
      <c r="A222">
        <v>5</v>
      </c>
      <c r="B222">
        <v>19</v>
      </c>
      <c r="C222" s="1">
        <v>45892</v>
      </c>
      <c r="D222" s="1">
        <v>45892</v>
      </c>
      <c r="E222">
        <v>1594359</v>
      </c>
      <c r="F222">
        <v>1594362</v>
      </c>
      <c r="G222">
        <v>-3</v>
      </c>
      <c r="H222">
        <v>1594362</v>
      </c>
      <c r="I222">
        <v>0</v>
      </c>
      <c r="J222" t="s">
        <v>53</v>
      </c>
    </row>
    <row r="223" spans="1:10" x14ac:dyDescent="0.3">
      <c r="A223">
        <v>6</v>
      </c>
      <c r="B223">
        <v>19</v>
      </c>
      <c r="C223" s="1">
        <v>45915</v>
      </c>
      <c r="D223" s="1">
        <v>45914</v>
      </c>
      <c r="E223">
        <v>928727</v>
      </c>
      <c r="F223">
        <v>928722</v>
      </c>
      <c r="G223">
        <v>5</v>
      </c>
      <c r="H223">
        <v>928722</v>
      </c>
      <c r="I223">
        <v>-1</v>
      </c>
      <c r="J223" t="s">
        <v>53</v>
      </c>
    </row>
    <row r="224" spans="1:10" x14ac:dyDescent="0.3">
      <c r="A224">
        <v>7</v>
      </c>
      <c r="B224">
        <v>19</v>
      </c>
      <c r="C224" s="1">
        <v>45951</v>
      </c>
      <c r="D224" s="1">
        <v>45953</v>
      </c>
      <c r="E224">
        <v>530048</v>
      </c>
      <c r="F224">
        <v>530045</v>
      </c>
      <c r="G224">
        <v>3</v>
      </c>
      <c r="H224">
        <v>530045</v>
      </c>
      <c r="I224">
        <v>2</v>
      </c>
      <c r="J224" t="s">
        <v>53</v>
      </c>
    </row>
    <row r="225" spans="1:10" x14ac:dyDescent="0.3">
      <c r="A225">
        <v>8</v>
      </c>
      <c r="B225">
        <v>19</v>
      </c>
      <c r="C225" s="1">
        <v>45980</v>
      </c>
      <c r="D225" s="1">
        <v>45978</v>
      </c>
      <c r="E225">
        <v>518980</v>
      </c>
      <c r="F225">
        <v>518975</v>
      </c>
      <c r="G225">
        <v>5</v>
      </c>
      <c r="H225">
        <v>518975</v>
      </c>
      <c r="I225">
        <v>-2</v>
      </c>
      <c r="J225" t="s">
        <v>53</v>
      </c>
    </row>
    <row r="226" spans="1:10" x14ac:dyDescent="0.3">
      <c r="A226">
        <v>9</v>
      </c>
      <c r="B226">
        <v>19</v>
      </c>
      <c r="C226" s="1">
        <v>46003</v>
      </c>
      <c r="D226" s="1">
        <v>46004</v>
      </c>
      <c r="E226">
        <v>814689</v>
      </c>
      <c r="F226">
        <v>814692</v>
      </c>
      <c r="G226">
        <v>-3</v>
      </c>
      <c r="H226">
        <v>814692</v>
      </c>
      <c r="I226">
        <v>1</v>
      </c>
      <c r="J226" t="s">
        <v>53</v>
      </c>
    </row>
    <row r="227" spans="1:10" x14ac:dyDescent="0.3">
      <c r="A227">
        <v>10</v>
      </c>
      <c r="B227">
        <v>19</v>
      </c>
      <c r="C227" s="1">
        <v>45671</v>
      </c>
      <c r="D227" s="1">
        <v>45668</v>
      </c>
      <c r="E227">
        <v>317984</v>
      </c>
      <c r="F227">
        <v>317982</v>
      </c>
      <c r="G227">
        <v>2</v>
      </c>
      <c r="H227">
        <v>317982</v>
      </c>
      <c r="I227">
        <v>-3</v>
      </c>
      <c r="J227" t="s">
        <v>53</v>
      </c>
    </row>
    <row r="228" spans="1:10" x14ac:dyDescent="0.3">
      <c r="A228">
        <v>11</v>
      </c>
      <c r="B228">
        <v>19</v>
      </c>
      <c r="C228" s="1">
        <v>45715</v>
      </c>
      <c r="D228" s="1">
        <v>45714</v>
      </c>
      <c r="E228">
        <v>220294</v>
      </c>
      <c r="F228">
        <v>220292</v>
      </c>
      <c r="G228">
        <v>2</v>
      </c>
      <c r="H228">
        <v>220292</v>
      </c>
      <c r="I228">
        <v>-1</v>
      </c>
      <c r="J228" t="s">
        <v>53</v>
      </c>
    </row>
    <row r="229" spans="1:10" x14ac:dyDescent="0.3">
      <c r="A229">
        <v>12</v>
      </c>
      <c r="B229">
        <v>19</v>
      </c>
      <c r="C229" s="1">
        <v>46095</v>
      </c>
      <c r="D229" s="1">
        <v>46098</v>
      </c>
      <c r="E229">
        <v>278209</v>
      </c>
      <c r="F229">
        <v>278204</v>
      </c>
      <c r="G229">
        <v>5</v>
      </c>
      <c r="H229">
        <v>278204</v>
      </c>
      <c r="I229">
        <v>3</v>
      </c>
      <c r="J229" t="s">
        <v>53</v>
      </c>
    </row>
    <row r="230" spans="1:10" x14ac:dyDescent="0.3">
      <c r="A230">
        <v>1</v>
      </c>
      <c r="B230">
        <v>20</v>
      </c>
      <c r="C230" s="1">
        <v>45774</v>
      </c>
      <c r="D230" s="1">
        <v>45772</v>
      </c>
      <c r="E230">
        <v>121345</v>
      </c>
      <c r="F230">
        <v>121340</v>
      </c>
      <c r="G230">
        <v>5</v>
      </c>
      <c r="H230">
        <v>121340</v>
      </c>
      <c r="I230">
        <v>-2</v>
      </c>
      <c r="J230" t="s">
        <v>53</v>
      </c>
    </row>
    <row r="231" spans="1:10" x14ac:dyDescent="0.3">
      <c r="A231">
        <v>2</v>
      </c>
      <c r="B231">
        <v>20</v>
      </c>
      <c r="C231" s="1">
        <v>45837</v>
      </c>
      <c r="D231" s="1">
        <v>45837</v>
      </c>
      <c r="E231">
        <v>541393</v>
      </c>
      <c r="F231">
        <v>541388</v>
      </c>
      <c r="G231">
        <v>5</v>
      </c>
      <c r="H231">
        <v>541388</v>
      </c>
      <c r="I231">
        <v>0</v>
      </c>
      <c r="J231" t="s">
        <v>53</v>
      </c>
    </row>
    <row r="232" spans="1:10" x14ac:dyDescent="0.3">
      <c r="A232">
        <v>3</v>
      </c>
      <c r="B232">
        <v>20</v>
      </c>
      <c r="C232" s="1">
        <v>45837</v>
      </c>
      <c r="D232" s="1">
        <v>45838</v>
      </c>
      <c r="E232">
        <v>892006</v>
      </c>
      <c r="F232">
        <v>892004</v>
      </c>
      <c r="G232">
        <v>2</v>
      </c>
      <c r="H232">
        <v>892004</v>
      </c>
      <c r="I232">
        <v>1</v>
      </c>
      <c r="J232" t="s">
        <v>53</v>
      </c>
    </row>
    <row r="233" spans="1:10" x14ac:dyDescent="0.3">
      <c r="A233">
        <v>4</v>
      </c>
      <c r="B233">
        <v>20</v>
      </c>
      <c r="C233" s="1">
        <v>45872</v>
      </c>
      <c r="D233" s="1">
        <v>45871</v>
      </c>
      <c r="E233">
        <v>1121674</v>
      </c>
      <c r="F233">
        <v>1121671</v>
      </c>
      <c r="G233">
        <v>3</v>
      </c>
      <c r="H233">
        <v>1121671</v>
      </c>
      <c r="I233">
        <v>-1</v>
      </c>
      <c r="J233" t="s">
        <v>53</v>
      </c>
    </row>
    <row r="234" spans="1:10" x14ac:dyDescent="0.3">
      <c r="A234">
        <v>5</v>
      </c>
      <c r="B234">
        <v>20</v>
      </c>
      <c r="C234" s="1">
        <v>45905</v>
      </c>
      <c r="D234" s="1">
        <v>46219</v>
      </c>
      <c r="E234">
        <v>746771</v>
      </c>
      <c r="G234">
        <v>746771</v>
      </c>
      <c r="H234">
        <v>0</v>
      </c>
      <c r="I234">
        <v>314</v>
      </c>
      <c r="J234" t="s">
        <v>55</v>
      </c>
    </row>
    <row r="235" spans="1:10" x14ac:dyDescent="0.3">
      <c r="A235">
        <v>6</v>
      </c>
      <c r="B235">
        <v>20</v>
      </c>
      <c r="C235" s="1">
        <v>45928</v>
      </c>
      <c r="D235" s="1">
        <v>45925</v>
      </c>
      <c r="E235">
        <v>755129</v>
      </c>
      <c r="F235">
        <v>755127</v>
      </c>
      <c r="G235">
        <v>2</v>
      </c>
      <c r="H235">
        <v>755127</v>
      </c>
      <c r="I235">
        <v>-3</v>
      </c>
      <c r="J235" t="s">
        <v>53</v>
      </c>
    </row>
    <row r="236" spans="1:10" x14ac:dyDescent="0.3">
      <c r="A236">
        <v>7</v>
      </c>
      <c r="B236">
        <v>20</v>
      </c>
      <c r="C236" s="1">
        <v>45964</v>
      </c>
      <c r="D236" s="1">
        <v>45961</v>
      </c>
      <c r="E236">
        <v>222457</v>
      </c>
      <c r="F236">
        <v>222459</v>
      </c>
      <c r="G236">
        <v>-2</v>
      </c>
      <c r="H236">
        <v>222459</v>
      </c>
      <c r="I236">
        <v>-3</v>
      </c>
      <c r="J236" t="s">
        <v>53</v>
      </c>
    </row>
    <row r="237" spans="1:10" x14ac:dyDescent="0.3">
      <c r="A237">
        <v>8</v>
      </c>
      <c r="B237">
        <v>20</v>
      </c>
      <c r="C237" s="1">
        <v>45993</v>
      </c>
      <c r="D237" s="1">
        <v>46219</v>
      </c>
      <c r="E237">
        <v>45829</v>
      </c>
      <c r="G237">
        <v>45829</v>
      </c>
      <c r="H237">
        <v>0</v>
      </c>
      <c r="I237">
        <v>226</v>
      </c>
      <c r="J237" t="s">
        <v>55</v>
      </c>
    </row>
    <row r="238" spans="1:10" x14ac:dyDescent="0.3">
      <c r="A238">
        <v>9</v>
      </c>
      <c r="B238">
        <v>20</v>
      </c>
      <c r="C238" s="1">
        <v>46016</v>
      </c>
      <c r="D238" s="1">
        <v>46219</v>
      </c>
      <c r="E238">
        <v>27791</v>
      </c>
      <c r="G238">
        <v>27791</v>
      </c>
      <c r="H238">
        <v>0</v>
      </c>
      <c r="I238">
        <v>203</v>
      </c>
      <c r="J238" t="s">
        <v>55</v>
      </c>
    </row>
    <row r="239" spans="1:10" x14ac:dyDescent="0.3">
      <c r="A239">
        <v>10</v>
      </c>
      <c r="B239">
        <v>20</v>
      </c>
      <c r="C239" s="1">
        <v>45684</v>
      </c>
      <c r="D239" s="1">
        <v>45683</v>
      </c>
      <c r="E239">
        <v>43341</v>
      </c>
      <c r="F239">
        <v>43344</v>
      </c>
      <c r="G239">
        <v>-3</v>
      </c>
      <c r="H239">
        <v>43344</v>
      </c>
      <c r="I239">
        <v>-1</v>
      </c>
      <c r="J239" t="s">
        <v>53</v>
      </c>
    </row>
    <row r="240" spans="1:10" x14ac:dyDescent="0.3">
      <c r="A240">
        <v>11</v>
      </c>
      <c r="B240">
        <v>20</v>
      </c>
      <c r="C240" s="1">
        <v>45728</v>
      </c>
      <c r="D240" s="1">
        <v>45731</v>
      </c>
      <c r="E240">
        <v>57655</v>
      </c>
      <c r="F240">
        <v>57654</v>
      </c>
      <c r="G240">
        <v>1</v>
      </c>
      <c r="H240">
        <v>57654</v>
      </c>
      <c r="I240">
        <v>3</v>
      </c>
      <c r="J240" t="s">
        <v>53</v>
      </c>
    </row>
    <row r="241" spans="1:10" x14ac:dyDescent="0.3">
      <c r="A241">
        <v>12</v>
      </c>
      <c r="B241">
        <v>20</v>
      </c>
      <c r="C241" s="1">
        <v>46108</v>
      </c>
      <c r="D241" s="1">
        <v>46108</v>
      </c>
      <c r="E241">
        <v>51189</v>
      </c>
      <c r="F241">
        <v>51188</v>
      </c>
      <c r="G241">
        <v>1</v>
      </c>
      <c r="H241">
        <v>51188</v>
      </c>
      <c r="I241">
        <v>0</v>
      </c>
      <c r="J241" t="s">
        <v>53</v>
      </c>
    </row>
    <row r="242" spans="1:10" x14ac:dyDescent="0.3">
      <c r="A242">
        <v>1</v>
      </c>
      <c r="B242">
        <v>21</v>
      </c>
      <c r="C242" s="1">
        <v>45774</v>
      </c>
      <c r="D242" s="1">
        <v>45777</v>
      </c>
      <c r="E242">
        <v>107763</v>
      </c>
      <c r="F242">
        <v>107762</v>
      </c>
      <c r="G242">
        <v>1</v>
      </c>
      <c r="H242">
        <v>107762</v>
      </c>
      <c r="I242">
        <v>3</v>
      </c>
      <c r="J242" t="s">
        <v>53</v>
      </c>
    </row>
    <row r="243" spans="1:10" x14ac:dyDescent="0.3">
      <c r="A243">
        <v>2</v>
      </c>
      <c r="B243">
        <v>21</v>
      </c>
      <c r="C243" s="1">
        <v>45837</v>
      </c>
      <c r="D243" s="1">
        <v>45836</v>
      </c>
      <c r="E243">
        <v>478887</v>
      </c>
      <c r="F243">
        <v>478892</v>
      </c>
      <c r="G243">
        <v>-5</v>
      </c>
      <c r="H243">
        <v>478892</v>
      </c>
      <c r="I243">
        <v>-1</v>
      </c>
      <c r="J243" t="s">
        <v>53</v>
      </c>
    </row>
    <row r="244" spans="1:10" x14ac:dyDescent="0.3">
      <c r="A244">
        <v>3</v>
      </c>
      <c r="B244">
        <v>21</v>
      </c>
      <c r="C244" s="1">
        <v>45837</v>
      </c>
      <c r="D244" s="1">
        <v>45836</v>
      </c>
      <c r="E244">
        <v>753929</v>
      </c>
      <c r="F244">
        <v>753932</v>
      </c>
      <c r="G244">
        <v>-3</v>
      </c>
      <c r="H244">
        <v>753932</v>
      </c>
      <c r="I244">
        <v>-1</v>
      </c>
      <c r="J244" t="s">
        <v>53</v>
      </c>
    </row>
    <row r="245" spans="1:10" x14ac:dyDescent="0.3">
      <c r="A245">
        <v>4</v>
      </c>
      <c r="B245">
        <v>21</v>
      </c>
      <c r="C245" s="1">
        <v>45872</v>
      </c>
      <c r="D245" s="1">
        <v>45872</v>
      </c>
      <c r="E245">
        <v>995608</v>
      </c>
      <c r="F245">
        <v>995609</v>
      </c>
      <c r="G245">
        <v>-1</v>
      </c>
      <c r="H245">
        <v>995609</v>
      </c>
      <c r="I245">
        <v>0</v>
      </c>
      <c r="J245" t="s">
        <v>53</v>
      </c>
    </row>
    <row r="246" spans="1:10" x14ac:dyDescent="0.3">
      <c r="A246">
        <v>5</v>
      </c>
      <c r="B246">
        <v>21</v>
      </c>
      <c r="C246" s="1">
        <v>45905</v>
      </c>
      <c r="D246" s="1">
        <v>46219</v>
      </c>
      <c r="E246">
        <v>706628</v>
      </c>
      <c r="G246">
        <v>706628</v>
      </c>
      <c r="H246">
        <v>0</v>
      </c>
      <c r="I246">
        <v>314</v>
      </c>
      <c r="J246" t="s">
        <v>55</v>
      </c>
    </row>
    <row r="247" spans="1:10" x14ac:dyDescent="0.3">
      <c r="A247">
        <v>6</v>
      </c>
      <c r="B247">
        <v>21</v>
      </c>
      <c r="C247" s="1">
        <v>45928</v>
      </c>
      <c r="D247" s="1">
        <v>45931</v>
      </c>
      <c r="E247">
        <v>692663</v>
      </c>
      <c r="F247">
        <v>692658</v>
      </c>
      <c r="G247">
        <v>5</v>
      </c>
      <c r="H247">
        <v>692658</v>
      </c>
      <c r="I247">
        <v>3</v>
      </c>
      <c r="J247" t="s">
        <v>53</v>
      </c>
    </row>
    <row r="248" spans="1:10" x14ac:dyDescent="0.3">
      <c r="A248">
        <v>7</v>
      </c>
      <c r="B248">
        <v>21</v>
      </c>
      <c r="C248" s="1">
        <v>45964</v>
      </c>
      <c r="D248" s="1">
        <v>45967</v>
      </c>
      <c r="E248">
        <v>168099</v>
      </c>
      <c r="F248">
        <v>168099</v>
      </c>
      <c r="G248">
        <v>0</v>
      </c>
      <c r="H248">
        <v>168099</v>
      </c>
      <c r="I248">
        <v>3</v>
      </c>
      <c r="J248" t="s">
        <v>53</v>
      </c>
    </row>
    <row r="249" spans="1:10" x14ac:dyDescent="0.3">
      <c r="A249">
        <v>8</v>
      </c>
      <c r="B249">
        <v>21</v>
      </c>
      <c r="C249" s="1">
        <v>45993</v>
      </c>
      <c r="D249" s="1">
        <v>46219</v>
      </c>
      <c r="E249">
        <v>46651</v>
      </c>
      <c r="G249">
        <v>46651</v>
      </c>
      <c r="H249">
        <v>0</v>
      </c>
      <c r="I249">
        <v>226</v>
      </c>
      <c r="J249" t="s">
        <v>55</v>
      </c>
    </row>
    <row r="250" spans="1:10" x14ac:dyDescent="0.3">
      <c r="A250">
        <v>9</v>
      </c>
      <c r="B250">
        <v>21</v>
      </c>
      <c r="C250" s="1">
        <v>46016</v>
      </c>
      <c r="D250" s="1">
        <v>46219</v>
      </c>
      <c r="E250">
        <v>25156</v>
      </c>
      <c r="G250">
        <v>25156</v>
      </c>
      <c r="H250">
        <v>0</v>
      </c>
      <c r="I250">
        <v>203</v>
      </c>
      <c r="J250" t="s">
        <v>55</v>
      </c>
    </row>
    <row r="251" spans="1:10" x14ac:dyDescent="0.3">
      <c r="A251">
        <v>10</v>
      </c>
      <c r="B251">
        <v>21</v>
      </c>
      <c r="C251" s="1">
        <v>45684</v>
      </c>
      <c r="D251" s="1">
        <v>46219</v>
      </c>
      <c r="E251">
        <v>38829</v>
      </c>
      <c r="G251">
        <v>38829</v>
      </c>
      <c r="H251">
        <v>0</v>
      </c>
      <c r="I251">
        <v>535</v>
      </c>
      <c r="J251" t="s">
        <v>55</v>
      </c>
    </row>
    <row r="252" spans="1:10" x14ac:dyDescent="0.3">
      <c r="A252">
        <v>11</v>
      </c>
      <c r="B252">
        <v>21</v>
      </c>
      <c r="C252" s="1">
        <v>45728</v>
      </c>
      <c r="D252" s="1">
        <v>46219</v>
      </c>
      <c r="E252">
        <v>54382</v>
      </c>
      <c r="G252">
        <v>54382</v>
      </c>
      <c r="H252">
        <v>0</v>
      </c>
      <c r="I252">
        <v>491</v>
      </c>
      <c r="J252" t="s">
        <v>55</v>
      </c>
    </row>
    <row r="253" spans="1:10" x14ac:dyDescent="0.3">
      <c r="A253">
        <v>12</v>
      </c>
      <c r="B253">
        <v>21</v>
      </c>
      <c r="C253" s="1">
        <v>46108</v>
      </c>
      <c r="D253" s="1">
        <v>46106</v>
      </c>
      <c r="E253">
        <v>49956</v>
      </c>
      <c r="F253">
        <v>49961</v>
      </c>
      <c r="G253">
        <v>-5</v>
      </c>
      <c r="H253">
        <v>49961</v>
      </c>
      <c r="I253">
        <v>-2</v>
      </c>
      <c r="J253" t="s">
        <v>53</v>
      </c>
    </row>
    <row r="254" spans="1:10" x14ac:dyDescent="0.3">
      <c r="A254">
        <v>1</v>
      </c>
      <c r="B254">
        <v>22</v>
      </c>
      <c r="C254" s="1">
        <v>45769</v>
      </c>
      <c r="D254" s="1">
        <v>45771</v>
      </c>
      <c r="E254">
        <v>330941</v>
      </c>
      <c r="F254">
        <v>330938</v>
      </c>
      <c r="G254">
        <v>3</v>
      </c>
      <c r="H254">
        <v>330938</v>
      </c>
      <c r="I254">
        <v>2</v>
      </c>
      <c r="J254" t="s">
        <v>53</v>
      </c>
    </row>
    <row r="255" spans="1:10" x14ac:dyDescent="0.3">
      <c r="A255">
        <v>2</v>
      </c>
      <c r="B255">
        <v>22</v>
      </c>
      <c r="C255" s="1">
        <v>45832</v>
      </c>
      <c r="D255" s="1">
        <v>45830</v>
      </c>
      <c r="E255">
        <v>1013088</v>
      </c>
      <c r="F255">
        <v>1013091</v>
      </c>
      <c r="G255">
        <v>-3</v>
      </c>
      <c r="H255">
        <v>1013091</v>
      </c>
      <c r="I255">
        <v>-2</v>
      </c>
      <c r="J255" t="s">
        <v>53</v>
      </c>
    </row>
    <row r="256" spans="1:10" x14ac:dyDescent="0.3">
      <c r="A256">
        <v>3</v>
      </c>
      <c r="B256">
        <v>22</v>
      </c>
      <c r="C256" s="1">
        <v>45832</v>
      </c>
      <c r="D256" s="1">
        <v>45830</v>
      </c>
      <c r="E256">
        <v>1334588</v>
      </c>
      <c r="F256">
        <v>1334590</v>
      </c>
      <c r="G256">
        <v>-2</v>
      </c>
      <c r="H256">
        <v>1334590</v>
      </c>
      <c r="I256">
        <v>-2</v>
      </c>
      <c r="J256" t="s">
        <v>53</v>
      </c>
    </row>
    <row r="257" spans="1:10" x14ac:dyDescent="0.3">
      <c r="A257">
        <v>4</v>
      </c>
      <c r="B257">
        <v>22</v>
      </c>
      <c r="C257" s="1">
        <v>45867</v>
      </c>
      <c r="D257" s="1">
        <v>45868</v>
      </c>
      <c r="E257">
        <v>1603005</v>
      </c>
      <c r="F257">
        <v>1603009</v>
      </c>
      <c r="G257">
        <v>-4</v>
      </c>
      <c r="H257">
        <v>1603009</v>
      </c>
      <c r="I257">
        <v>1</v>
      </c>
      <c r="J257" t="s">
        <v>53</v>
      </c>
    </row>
    <row r="258" spans="1:10" x14ac:dyDescent="0.3">
      <c r="A258">
        <v>5</v>
      </c>
      <c r="B258">
        <v>22</v>
      </c>
      <c r="C258" s="1">
        <v>45898</v>
      </c>
      <c r="D258" s="1">
        <v>45899</v>
      </c>
      <c r="E258">
        <v>1350065</v>
      </c>
      <c r="F258">
        <v>1350066</v>
      </c>
      <c r="G258">
        <v>-1</v>
      </c>
      <c r="H258">
        <v>1350066</v>
      </c>
      <c r="I258">
        <v>1</v>
      </c>
      <c r="J258" t="s">
        <v>53</v>
      </c>
    </row>
    <row r="259" spans="1:10" x14ac:dyDescent="0.3">
      <c r="A259">
        <v>6</v>
      </c>
      <c r="B259">
        <v>22</v>
      </c>
      <c r="C259" s="1">
        <v>45923</v>
      </c>
      <c r="D259" s="1">
        <v>45920</v>
      </c>
      <c r="E259">
        <v>1209931</v>
      </c>
      <c r="F259">
        <v>1209930</v>
      </c>
      <c r="G259">
        <v>1</v>
      </c>
      <c r="H259">
        <v>1209930</v>
      </c>
      <c r="I259">
        <v>-3</v>
      </c>
      <c r="J259" t="s">
        <v>53</v>
      </c>
    </row>
    <row r="260" spans="1:10" x14ac:dyDescent="0.3">
      <c r="A260">
        <v>7</v>
      </c>
      <c r="B260">
        <v>22</v>
      </c>
      <c r="C260" s="1">
        <v>45953</v>
      </c>
      <c r="D260" s="1">
        <v>46219</v>
      </c>
      <c r="E260">
        <v>432731</v>
      </c>
      <c r="G260">
        <v>432731</v>
      </c>
      <c r="H260">
        <v>0</v>
      </c>
      <c r="I260">
        <v>266</v>
      </c>
      <c r="J260" t="s">
        <v>55</v>
      </c>
    </row>
    <row r="261" spans="1:10" x14ac:dyDescent="0.3">
      <c r="A261">
        <v>8</v>
      </c>
      <c r="B261">
        <v>22</v>
      </c>
      <c r="C261" s="1">
        <v>45988</v>
      </c>
      <c r="D261" s="1">
        <v>46219</v>
      </c>
      <c r="E261">
        <v>242176</v>
      </c>
      <c r="G261">
        <v>242176</v>
      </c>
      <c r="H261">
        <v>0</v>
      </c>
      <c r="I261">
        <v>231</v>
      </c>
      <c r="J261" t="s">
        <v>55</v>
      </c>
    </row>
    <row r="262" spans="1:10" x14ac:dyDescent="0.3">
      <c r="A262">
        <v>9</v>
      </c>
      <c r="B262">
        <v>22</v>
      </c>
      <c r="C262" s="1">
        <v>46018</v>
      </c>
      <c r="D262" s="1">
        <v>46219</v>
      </c>
      <c r="E262">
        <v>315051</v>
      </c>
      <c r="G262">
        <v>315051</v>
      </c>
      <c r="H262">
        <v>0</v>
      </c>
      <c r="I262">
        <v>201</v>
      </c>
      <c r="J262" t="s">
        <v>55</v>
      </c>
    </row>
    <row r="263" spans="1:10" x14ac:dyDescent="0.3">
      <c r="A263">
        <v>10</v>
      </c>
      <c r="B263">
        <v>22</v>
      </c>
      <c r="C263" s="1">
        <v>46044</v>
      </c>
      <c r="D263" s="1">
        <v>46219</v>
      </c>
      <c r="E263">
        <v>346645</v>
      </c>
      <c r="G263">
        <v>346645</v>
      </c>
      <c r="H263">
        <v>0</v>
      </c>
      <c r="I263">
        <v>175</v>
      </c>
      <c r="J263" t="s">
        <v>55</v>
      </c>
    </row>
    <row r="264" spans="1:10" x14ac:dyDescent="0.3">
      <c r="A264">
        <v>11</v>
      </c>
      <c r="B264">
        <v>22</v>
      </c>
      <c r="C264" s="1">
        <v>46087</v>
      </c>
      <c r="D264" s="1">
        <v>46089</v>
      </c>
      <c r="E264">
        <v>295013</v>
      </c>
      <c r="F264">
        <v>295009</v>
      </c>
      <c r="G264">
        <v>4</v>
      </c>
      <c r="H264">
        <v>295009</v>
      </c>
      <c r="I264">
        <v>2</v>
      </c>
      <c r="J264" t="s">
        <v>53</v>
      </c>
    </row>
    <row r="265" spans="1:10" x14ac:dyDescent="0.3">
      <c r="A265">
        <v>12</v>
      </c>
      <c r="B265">
        <v>22</v>
      </c>
      <c r="C265" s="1">
        <v>46103</v>
      </c>
      <c r="D265" s="1">
        <v>46105</v>
      </c>
      <c r="E265">
        <v>178351</v>
      </c>
      <c r="F265">
        <v>178348</v>
      </c>
      <c r="G265">
        <v>3</v>
      </c>
      <c r="H265">
        <v>178348</v>
      </c>
      <c r="I265">
        <v>2</v>
      </c>
      <c r="J265" t="s">
        <v>53</v>
      </c>
    </row>
    <row r="266" spans="1:10" x14ac:dyDescent="0.3">
      <c r="A266">
        <v>1</v>
      </c>
      <c r="B266">
        <v>23</v>
      </c>
      <c r="C266" s="1">
        <v>45770</v>
      </c>
      <c r="D266" s="1">
        <v>45768</v>
      </c>
      <c r="E266">
        <v>411416</v>
      </c>
      <c r="F266">
        <v>411416</v>
      </c>
      <c r="G266">
        <v>0</v>
      </c>
      <c r="H266">
        <v>411416</v>
      </c>
      <c r="I266">
        <v>-2</v>
      </c>
      <c r="J266" t="s">
        <v>53</v>
      </c>
    </row>
    <row r="267" spans="1:10" x14ac:dyDescent="0.3">
      <c r="A267">
        <v>2</v>
      </c>
      <c r="B267">
        <v>23</v>
      </c>
      <c r="C267" s="1">
        <v>45804</v>
      </c>
      <c r="D267" s="1">
        <v>45802</v>
      </c>
      <c r="E267">
        <v>1244157</v>
      </c>
      <c r="F267">
        <v>1244161</v>
      </c>
      <c r="G267">
        <v>-4</v>
      </c>
      <c r="H267">
        <v>1244161</v>
      </c>
      <c r="I267">
        <v>-2</v>
      </c>
      <c r="J267" t="s">
        <v>53</v>
      </c>
    </row>
    <row r="268" spans="1:10" x14ac:dyDescent="0.3">
      <c r="A268">
        <v>3</v>
      </c>
      <c r="B268">
        <v>23</v>
      </c>
      <c r="C268" s="1">
        <v>45832</v>
      </c>
      <c r="D268" s="1">
        <v>45831</v>
      </c>
      <c r="E268">
        <v>1670899</v>
      </c>
      <c r="F268">
        <v>1670896</v>
      </c>
      <c r="G268">
        <v>3</v>
      </c>
      <c r="H268">
        <v>1670896</v>
      </c>
      <c r="I268">
        <v>-1</v>
      </c>
      <c r="J268" t="s">
        <v>53</v>
      </c>
    </row>
    <row r="269" spans="1:10" x14ac:dyDescent="0.3">
      <c r="A269">
        <v>4</v>
      </c>
      <c r="B269">
        <v>23</v>
      </c>
      <c r="C269" s="1">
        <v>45867</v>
      </c>
      <c r="D269" s="1">
        <v>45870</v>
      </c>
      <c r="E269">
        <v>1930428</v>
      </c>
      <c r="F269">
        <v>1930432</v>
      </c>
      <c r="G269">
        <v>-4</v>
      </c>
      <c r="H269">
        <v>1930432</v>
      </c>
      <c r="I269">
        <v>3</v>
      </c>
      <c r="J269" t="s">
        <v>53</v>
      </c>
    </row>
    <row r="270" spans="1:10" x14ac:dyDescent="0.3">
      <c r="A270">
        <v>5</v>
      </c>
      <c r="B270">
        <v>23</v>
      </c>
      <c r="C270" s="1">
        <v>45898</v>
      </c>
      <c r="D270" s="1">
        <v>46219</v>
      </c>
      <c r="E270">
        <v>1787291</v>
      </c>
      <c r="G270">
        <v>1787291</v>
      </c>
      <c r="H270">
        <v>0</v>
      </c>
      <c r="I270">
        <v>321</v>
      </c>
      <c r="J270" t="s">
        <v>55</v>
      </c>
    </row>
    <row r="271" spans="1:10" x14ac:dyDescent="0.3">
      <c r="A271">
        <v>6</v>
      </c>
      <c r="B271">
        <v>23</v>
      </c>
      <c r="C271" s="1">
        <v>45923</v>
      </c>
      <c r="D271" s="1">
        <v>45920</v>
      </c>
      <c r="E271">
        <v>1556162</v>
      </c>
      <c r="F271">
        <v>1556164</v>
      </c>
      <c r="G271">
        <v>-2</v>
      </c>
      <c r="H271">
        <v>1556164</v>
      </c>
      <c r="I271">
        <v>-3</v>
      </c>
      <c r="J271" t="s">
        <v>53</v>
      </c>
    </row>
    <row r="272" spans="1:10" x14ac:dyDescent="0.3">
      <c r="A272">
        <v>7</v>
      </c>
      <c r="B272">
        <v>23</v>
      </c>
      <c r="C272" s="1">
        <v>45972</v>
      </c>
      <c r="D272" s="1">
        <v>45975</v>
      </c>
      <c r="E272">
        <v>474845</v>
      </c>
      <c r="F272">
        <v>474849</v>
      </c>
      <c r="G272">
        <v>-4</v>
      </c>
      <c r="H272">
        <v>474849</v>
      </c>
      <c r="I272">
        <v>3</v>
      </c>
      <c r="J272" t="s">
        <v>53</v>
      </c>
    </row>
    <row r="273" spans="1:10" x14ac:dyDescent="0.3">
      <c r="A273">
        <v>8</v>
      </c>
      <c r="B273">
        <v>23</v>
      </c>
      <c r="C273" s="1">
        <v>45988</v>
      </c>
      <c r="D273" s="1">
        <v>46219</v>
      </c>
      <c r="E273">
        <v>270144</v>
      </c>
      <c r="G273">
        <v>270144</v>
      </c>
      <c r="H273">
        <v>0</v>
      </c>
      <c r="I273">
        <v>231</v>
      </c>
      <c r="J273" t="s">
        <v>55</v>
      </c>
    </row>
    <row r="274" spans="1:10" x14ac:dyDescent="0.3">
      <c r="A274">
        <v>9</v>
      </c>
      <c r="B274">
        <v>23</v>
      </c>
      <c r="C274" s="1">
        <v>46018</v>
      </c>
      <c r="D274" s="1">
        <v>46219</v>
      </c>
      <c r="E274">
        <v>377208</v>
      </c>
      <c r="G274">
        <v>377208</v>
      </c>
      <c r="H274">
        <v>0</v>
      </c>
      <c r="I274">
        <v>201</v>
      </c>
      <c r="J274" t="s">
        <v>55</v>
      </c>
    </row>
    <row r="275" spans="1:10" x14ac:dyDescent="0.3">
      <c r="A275">
        <v>10</v>
      </c>
      <c r="B275">
        <v>23</v>
      </c>
      <c r="C275" s="1">
        <v>46045</v>
      </c>
      <c r="D275" s="1">
        <v>46042</v>
      </c>
      <c r="E275">
        <v>382897</v>
      </c>
      <c r="F275">
        <v>382897</v>
      </c>
      <c r="G275">
        <v>0</v>
      </c>
      <c r="H275">
        <v>382897</v>
      </c>
      <c r="I275">
        <v>-3</v>
      </c>
      <c r="J275" t="s">
        <v>53</v>
      </c>
    </row>
    <row r="276" spans="1:10" x14ac:dyDescent="0.3">
      <c r="A276">
        <v>11</v>
      </c>
      <c r="B276">
        <v>23</v>
      </c>
      <c r="C276" s="1">
        <v>46088</v>
      </c>
      <c r="D276" s="1">
        <v>46088</v>
      </c>
      <c r="E276">
        <v>326553</v>
      </c>
      <c r="F276">
        <v>326550</v>
      </c>
      <c r="G276">
        <v>3</v>
      </c>
      <c r="H276">
        <v>326550</v>
      </c>
      <c r="I276">
        <v>0</v>
      </c>
      <c r="J276" t="s">
        <v>53</v>
      </c>
    </row>
    <row r="277" spans="1:10" x14ac:dyDescent="0.3">
      <c r="A277">
        <v>12</v>
      </c>
      <c r="B277">
        <v>23</v>
      </c>
      <c r="C277" s="1">
        <v>46103</v>
      </c>
      <c r="D277" s="1">
        <v>46102</v>
      </c>
      <c r="E277">
        <v>186773</v>
      </c>
      <c r="F277">
        <v>186769</v>
      </c>
      <c r="G277">
        <v>4</v>
      </c>
      <c r="H277">
        <v>186769</v>
      </c>
      <c r="I277">
        <v>-1</v>
      </c>
      <c r="J277" t="s">
        <v>53</v>
      </c>
    </row>
    <row r="278" spans="1:10" x14ac:dyDescent="0.3">
      <c r="A278">
        <v>1</v>
      </c>
      <c r="B278">
        <v>24</v>
      </c>
      <c r="C278" s="1">
        <v>45765</v>
      </c>
      <c r="D278" s="1">
        <v>45766</v>
      </c>
      <c r="E278">
        <v>480119</v>
      </c>
      <c r="F278">
        <v>480120</v>
      </c>
      <c r="G278">
        <v>-1</v>
      </c>
      <c r="H278">
        <v>480120</v>
      </c>
      <c r="I278">
        <v>1</v>
      </c>
      <c r="J278" t="s">
        <v>53</v>
      </c>
    </row>
    <row r="279" spans="1:10" x14ac:dyDescent="0.3">
      <c r="A279">
        <v>2</v>
      </c>
      <c r="B279">
        <v>24</v>
      </c>
      <c r="C279" s="1">
        <v>45799</v>
      </c>
      <c r="D279" s="1">
        <v>45800</v>
      </c>
      <c r="E279">
        <v>900628</v>
      </c>
      <c r="F279">
        <v>900628</v>
      </c>
      <c r="G279">
        <v>0</v>
      </c>
      <c r="H279">
        <v>900628</v>
      </c>
      <c r="I279">
        <v>1</v>
      </c>
      <c r="J279" t="s">
        <v>53</v>
      </c>
    </row>
    <row r="280" spans="1:10" x14ac:dyDescent="0.3">
      <c r="A280">
        <v>3</v>
      </c>
      <c r="B280">
        <v>24</v>
      </c>
      <c r="C280" s="1">
        <v>45827</v>
      </c>
      <c r="D280" s="1">
        <v>45827</v>
      </c>
      <c r="E280">
        <v>1495473</v>
      </c>
      <c r="F280">
        <v>1495477</v>
      </c>
      <c r="G280">
        <v>-4</v>
      </c>
      <c r="H280">
        <v>1495477</v>
      </c>
      <c r="I280">
        <v>0</v>
      </c>
      <c r="J280" t="s">
        <v>53</v>
      </c>
    </row>
    <row r="281" spans="1:10" x14ac:dyDescent="0.3">
      <c r="A281">
        <v>4</v>
      </c>
      <c r="B281">
        <v>24</v>
      </c>
      <c r="C281" s="1">
        <v>45862</v>
      </c>
      <c r="D281" s="1">
        <v>45865</v>
      </c>
      <c r="E281">
        <v>2024234</v>
      </c>
      <c r="F281">
        <v>2024230</v>
      </c>
      <c r="G281">
        <v>4</v>
      </c>
      <c r="H281">
        <v>2024230</v>
      </c>
      <c r="I281">
        <v>3</v>
      </c>
      <c r="J281" t="s">
        <v>53</v>
      </c>
    </row>
    <row r="282" spans="1:10" x14ac:dyDescent="0.3">
      <c r="A282">
        <v>5</v>
      </c>
      <c r="B282">
        <v>24</v>
      </c>
      <c r="C282" s="1">
        <v>45893</v>
      </c>
      <c r="D282" s="1">
        <v>45896</v>
      </c>
      <c r="E282">
        <v>1346900</v>
      </c>
      <c r="F282">
        <v>1346905</v>
      </c>
      <c r="G282">
        <v>-5</v>
      </c>
      <c r="H282">
        <v>1346905</v>
      </c>
      <c r="I282">
        <v>3</v>
      </c>
      <c r="J282" t="s">
        <v>53</v>
      </c>
    </row>
    <row r="283" spans="1:10" x14ac:dyDescent="0.3">
      <c r="A283">
        <v>6</v>
      </c>
      <c r="B283">
        <v>24</v>
      </c>
      <c r="C283" s="1">
        <v>45918</v>
      </c>
      <c r="D283" s="1">
        <v>45917</v>
      </c>
      <c r="E283">
        <v>1211585</v>
      </c>
      <c r="F283">
        <v>1211581</v>
      </c>
      <c r="G283">
        <v>4</v>
      </c>
      <c r="H283">
        <v>1211581</v>
      </c>
      <c r="I283">
        <v>-1</v>
      </c>
      <c r="J283" t="s">
        <v>53</v>
      </c>
    </row>
    <row r="284" spans="1:10" x14ac:dyDescent="0.3">
      <c r="A284">
        <v>7</v>
      </c>
      <c r="B284">
        <v>24</v>
      </c>
      <c r="C284" s="1">
        <v>45967</v>
      </c>
      <c r="D284" s="1">
        <v>45965</v>
      </c>
      <c r="E284">
        <v>524943</v>
      </c>
      <c r="F284">
        <v>524938</v>
      </c>
      <c r="G284">
        <v>5</v>
      </c>
      <c r="H284">
        <v>524938</v>
      </c>
      <c r="I284">
        <v>-2</v>
      </c>
      <c r="J284" t="s">
        <v>53</v>
      </c>
    </row>
    <row r="285" spans="1:10" x14ac:dyDescent="0.3">
      <c r="A285">
        <v>8</v>
      </c>
      <c r="B285">
        <v>24</v>
      </c>
      <c r="C285" s="1">
        <v>45983</v>
      </c>
      <c r="D285" s="1">
        <v>45984</v>
      </c>
      <c r="E285">
        <v>391516</v>
      </c>
      <c r="F285">
        <v>391516</v>
      </c>
      <c r="G285">
        <v>0</v>
      </c>
      <c r="H285">
        <v>391516</v>
      </c>
      <c r="I285">
        <v>1</v>
      </c>
      <c r="J285" t="s">
        <v>53</v>
      </c>
    </row>
    <row r="286" spans="1:10" x14ac:dyDescent="0.3">
      <c r="A286">
        <v>9</v>
      </c>
      <c r="B286">
        <v>24</v>
      </c>
      <c r="C286" s="1">
        <v>46013</v>
      </c>
      <c r="D286" s="1">
        <v>46012</v>
      </c>
      <c r="E286">
        <v>401580</v>
      </c>
      <c r="F286">
        <v>401580</v>
      </c>
      <c r="G286">
        <v>0</v>
      </c>
      <c r="H286">
        <v>401580</v>
      </c>
      <c r="I286">
        <v>-1</v>
      </c>
      <c r="J286" t="s">
        <v>53</v>
      </c>
    </row>
    <row r="287" spans="1:10" x14ac:dyDescent="0.3">
      <c r="A287">
        <v>10</v>
      </c>
      <c r="B287">
        <v>24</v>
      </c>
      <c r="C287" s="1">
        <v>46040</v>
      </c>
      <c r="D287" s="1">
        <v>46042</v>
      </c>
      <c r="E287">
        <v>450407</v>
      </c>
      <c r="F287">
        <v>450403</v>
      </c>
      <c r="G287">
        <v>4</v>
      </c>
      <c r="H287">
        <v>450403</v>
      </c>
      <c r="I287">
        <v>2</v>
      </c>
      <c r="J287" t="s">
        <v>53</v>
      </c>
    </row>
    <row r="288" spans="1:10" x14ac:dyDescent="0.3">
      <c r="A288">
        <v>11</v>
      </c>
      <c r="B288">
        <v>24</v>
      </c>
      <c r="C288" s="1">
        <v>46083</v>
      </c>
      <c r="D288" s="1">
        <v>46084</v>
      </c>
      <c r="E288">
        <v>354605</v>
      </c>
      <c r="F288">
        <v>354607</v>
      </c>
      <c r="G288">
        <v>-2</v>
      </c>
      <c r="H288">
        <v>354607</v>
      </c>
      <c r="I288">
        <v>1</v>
      </c>
      <c r="J288" t="s">
        <v>53</v>
      </c>
    </row>
    <row r="289" spans="1:10" x14ac:dyDescent="0.3">
      <c r="A289">
        <v>12</v>
      </c>
      <c r="B289">
        <v>24</v>
      </c>
      <c r="C289" s="1">
        <v>46098</v>
      </c>
      <c r="D289" s="1">
        <v>46099</v>
      </c>
      <c r="E289">
        <v>371328</v>
      </c>
      <c r="F289">
        <v>371333</v>
      </c>
      <c r="G289">
        <v>-5</v>
      </c>
      <c r="H289">
        <v>371333</v>
      </c>
      <c r="I289">
        <v>1</v>
      </c>
      <c r="J289" t="s">
        <v>53</v>
      </c>
    </row>
    <row r="290" spans="1:10" x14ac:dyDescent="0.3">
      <c r="A290">
        <v>1</v>
      </c>
      <c r="B290">
        <v>25</v>
      </c>
      <c r="C290" s="1">
        <v>45767</v>
      </c>
      <c r="D290" s="1">
        <v>45768</v>
      </c>
      <c r="E290">
        <v>5815856</v>
      </c>
      <c r="F290">
        <v>5815856</v>
      </c>
      <c r="G290">
        <v>0</v>
      </c>
      <c r="H290">
        <v>5815856</v>
      </c>
      <c r="I290">
        <v>1</v>
      </c>
      <c r="J290" t="s">
        <v>53</v>
      </c>
    </row>
    <row r="291" spans="1:10" x14ac:dyDescent="0.3">
      <c r="A291">
        <v>2</v>
      </c>
      <c r="B291">
        <v>25</v>
      </c>
      <c r="C291" s="1">
        <v>45799</v>
      </c>
      <c r="D291" s="1">
        <v>45801</v>
      </c>
      <c r="E291">
        <v>8144335</v>
      </c>
      <c r="F291">
        <v>8144334</v>
      </c>
      <c r="G291">
        <v>1</v>
      </c>
      <c r="H291">
        <v>8144334</v>
      </c>
      <c r="I291">
        <v>2</v>
      </c>
      <c r="J291" t="s">
        <v>53</v>
      </c>
    </row>
    <row r="292" spans="1:10" x14ac:dyDescent="0.3">
      <c r="A292">
        <v>3</v>
      </c>
      <c r="B292">
        <v>25</v>
      </c>
      <c r="C292" s="1">
        <v>45827</v>
      </c>
      <c r="D292" s="1">
        <v>45824</v>
      </c>
      <c r="E292">
        <v>14407567</v>
      </c>
      <c r="F292">
        <v>14407566</v>
      </c>
      <c r="G292">
        <v>1</v>
      </c>
      <c r="H292">
        <v>14407566</v>
      </c>
      <c r="I292">
        <v>-3</v>
      </c>
      <c r="J292" t="s">
        <v>53</v>
      </c>
    </row>
    <row r="293" spans="1:10" x14ac:dyDescent="0.3">
      <c r="A293">
        <v>4</v>
      </c>
      <c r="B293">
        <v>25</v>
      </c>
      <c r="C293" s="1">
        <v>45862</v>
      </c>
      <c r="D293" s="1">
        <v>45861</v>
      </c>
      <c r="E293">
        <v>17501159</v>
      </c>
      <c r="F293">
        <v>17501161</v>
      </c>
      <c r="G293">
        <v>-2</v>
      </c>
      <c r="H293">
        <v>17501161</v>
      </c>
      <c r="I293">
        <v>-1</v>
      </c>
      <c r="J293" t="s">
        <v>53</v>
      </c>
    </row>
    <row r="294" spans="1:10" x14ac:dyDescent="0.3">
      <c r="A294">
        <v>5</v>
      </c>
      <c r="B294">
        <v>25</v>
      </c>
      <c r="C294" s="1">
        <v>45893</v>
      </c>
      <c r="D294" s="1">
        <v>46219</v>
      </c>
      <c r="E294">
        <v>12572271</v>
      </c>
      <c r="G294">
        <v>12572271</v>
      </c>
      <c r="H294">
        <v>0</v>
      </c>
      <c r="I294">
        <v>326</v>
      </c>
      <c r="J294" t="s">
        <v>55</v>
      </c>
    </row>
    <row r="295" spans="1:10" x14ac:dyDescent="0.3">
      <c r="A295">
        <v>6</v>
      </c>
      <c r="B295">
        <v>25</v>
      </c>
      <c r="C295" s="1">
        <v>45926</v>
      </c>
      <c r="D295" s="1">
        <v>46219</v>
      </c>
      <c r="E295">
        <v>9591748</v>
      </c>
      <c r="G295">
        <v>9591748</v>
      </c>
      <c r="H295">
        <v>0</v>
      </c>
      <c r="I295">
        <v>293</v>
      </c>
      <c r="J295" t="s">
        <v>55</v>
      </c>
    </row>
    <row r="296" spans="1:10" x14ac:dyDescent="0.3">
      <c r="A296">
        <v>7</v>
      </c>
      <c r="B296">
        <v>25</v>
      </c>
      <c r="C296" s="1">
        <v>45954</v>
      </c>
      <c r="D296" s="1">
        <v>46219</v>
      </c>
      <c r="E296">
        <v>5638572</v>
      </c>
      <c r="G296">
        <v>5638572</v>
      </c>
      <c r="H296">
        <v>0</v>
      </c>
      <c r="I296">
        <v>265</v>
      </c>
      <c r="J296" t="s">
        <v>55</v>
      </c>
    </row>
    <row r="297" spans="1:10" x14ac:dyDescent="0.3">
      <c r="A297">
        <v>8</v>
      </c>
      <c r="B297">
        <v>25</v>
      </c>
      <c r="C297" s="1">
        <v>45983</v>
      </c>
      <c r="D297" s="1">
        <v>46219</v>
      </c>
      <c r="E297">
        <v>4247623</v>
      </c>
      <c r="G297">
        <v>4247623</v>
      </c>
      <c r="H297">
        <v>0</v>
      </c>
      <c r="I297">
        <v>236</v>
      </c>
      <c r="J297" t="s">
        <v>55</v>
      </c>
    </row>
    <row r="298" spans="1:10" x14ac:dyDescent="0.3">
      <c r="A298">
        <v>9</v>
      </c>
      <c r="B298">
        <v>25</v>
      </c>
      <c r="C298" s="1">
        <v>46023</v>
      </c>
      <c r="D298" s="1">
        <v>46219</v>
      </c>
      <c r="E298">
        <v>4405214</v>
      </c>
      <c r="G298">
        <v>4405214</v>
      </c>
      <c r="H298">
        <v>0</v>
      </c>
      <c r="I298">
        <v>196</v>
      </c>
      <c r="J298" t="s">
        <v>55</v>
      </c>
    </row>
    <row r="299" spans="1:10" x14ac:dyDescent="0.3">
      <c r="A299">
        <v>10</v>
      </c>
      <c r="B299">
        <v>25</v>
      </c>
      <c r="C299" s="1">
        <v>46060</v>
      </c>
      <c r="D299" s="1">
        <v>46219</v>
      </c>
      <c r="E299">
        <v>2815641</v>
      </c>
      <c r="G299">
        <v>2815641</v>
      </c>
      <c r="H299">
        <v>0</v>
      </c>
      <c r="I299">
        <v>159</v>
      </c>
      <c r="J299" t="s">
        <v>55</v>
      </c>
    </row>
    <row r="300" spans="1:10" x14ac:dyDescent="0.3">
      <c r="A300">
        <v>11</v>
      </c>
      <c r="B300">
        <v>25</v>
      </c>
      <c r="C300" s="1">
        <v>46082</v>
      </c>
      <c r="D300" s="1">
        <v>46219</v>
      </c>
      <c r="E300">
        <v>2486557</v>
      </c>
      <c r="G300">
        <v>2486557</v>
      </c>
      <c r="H300">
        <v>0</v>
      </c>
      <c r="I300">
        <v>137</v>
      </c>
      <c r="J300" t="s">
        <v>55</v>
      </c>
    </row>
    <row r="301" spans="1:10" x14ac:dyDescent="0.3">
      <c r="A301">
        <v>12</v>
      </c>
      <c r="B301">
        <v>25</v>
      </c>
      <c r="C301" s="1">
        <v>46109</v>
      </c>
      <c r="D301" s="1">
        <v>46111</v>
      </c>
      <c r="E301">
        <v>3443136</v>
      </c>
      <c r="F301">
        <v>3443136</v>
      </c>
      <c r="G301">
        <v>0</v>
      </c>
      <c r="H301">
        <v>3443136</v>
      </c>
      <c r="I301">
        <v>2</v>
      </c>
      <c r="J301" t="s">
        <v>53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82485-9AD9-4BB8-9E50-F0D7D5DC40AE}">
  <dimension ref="A3:P36"/>
  <sheetViews>
    <sheetView zoomScale="61" workbookViewId="0">
      <selection activeCell="P37" sqref="P37"/>
    </sheetView>
  </sheetViews>
  <sheetFormatPr defaultRowHeight="14.4" x14ac:dyDescent="0.3"/>
  <cols>
    <col min="1" max="1" width="18" bestFit="1" customWidth="1"/>
    <col min="2" max="2" width="28.88671875" bestFit="1" customWidth="1"/>
    <col min="3" max="3" width="33.21875" bestFit="1" customWidth="1"/>
    <col min="15" max="15" width="18" bestFit="1" customWidth="1"/>
    <col min="16" max="16" width="28.88671875" bestFit="1" customWidth="1"/>
  </cols>
  <sheetData>
    <row r="3" spans="1:16" x14ac:dyDescent="0.3">
      <c r="A3" s="3" t="s">
        <v>87</v>
      </c>
      <c r="B3" t="s">
        <v>97</v>
      </c>
      <c r="C3" t="s">
        <v>98</v>
      </c>
      <c r="O3" s="3" t="s">
        <v>87</v>
      </c>
      <c r="P3" t="s">
        <v>97</v>
      </c>
    </row>
    <row r="4" spans="1:16" x14ac:dyDescent="0.3">
      <c r="A4" s="4">
        <v>1</v>
      </c>
      <c r="B4" s="7">
        <v>9783716</v>
      </c>
      <c r="C4" s="7">
        <v>9773931</v>
      </c>
      <c r="O4" s="4" t="s">
        <v>107</v>
      </c>
      <c r="P4" s="7">
        <v>11872245</v>
      </c>
    </row>
    <row r="5" spans="1:16" x14ac:dyDescent="0.3">
      <c r="A5" s="4">
        <v>2</v>
      </c>
      <c r="B5" s="7">
        <v>4788576</v>
      </c>
      <c r="C5" s="7">
        <v>4783787</v>
      </c>
      <c r="O5" s="4" t="s">
        <v>108</v>
      </c>
      <c r="P5" s="7">
        <v>9592239</v>
      </c>
    </row>
    <row r="6" spans="1:16" x14ac:dyDescent="0.3">
      <c r="A6" s="4">
        <v>3</v>
      </c>
      <c r="B6" s="7">
        <v>21252582</v>
      </c>
      <c r="C6" s="7">
        <v>21231329</v>
      </c>
      <c r="O6" s="4" t="s">
        <v>109</v>
      </c>
      <c r="P6" s="7">
        <v>10650298</v>
      </c>
    </row>
    <row r="7" spans="1:16" x14ac:dyDescent="0.3">
      <c r="A7" s="4">
        <v>4</v>
      </c>
      <c r="B7" s="7">
        <v>14713326</v>
      </c>
      <c r="C7" s="7">
        <v>14698612</v>
      </c>
      <c r="O7" s="4" t="s">
        <v>110</v>
      </c>
      <c r="P7" s="7">
        <v>16341495</v>
      </c>
    </row>
    <row r="8" spans="1:16" x14ac:dyDescent="0.3">
      <c r="A8" s="4">
        <v>5</v>
      </c>
      <c r="B8" s="7">
        <v>7098475</v>
      </c>
      <c r="C8" s="7">
        <v>7091377</v>
      </c>
      <c r="O8" s="4" t="s">
        <v>111</v>
      </c>
      <c r="P8" s="7">
        <v>32328981</v>
      </c>
    </row>
    <row r="9" spans="1:16" x14ac:dyDescent="0.3">
      <c r="A9" s="4">
        <v>6</v>
      </c>
      <c r="B9" s="7">
        <v>7959756</v>
      </c>
      <c r="C9" s="7">
        <v>7951795</v>
      </c>
      <c r="O9" s="4" t="s">
        <v>112</v>
      </c>
      <c r="P9" s="7">
        <v>56673509</v>
      </c>
    </row>
    <row r="10" spans="1:16" x14ac:dyDescent="0.3">
      <c r="A10" s="4">
        <v>7</v>
      </c>
      <c r="B10" s="7">
        <v>11761654</v>
      </c>
      <c r="C10" s="7">
        <v>11749894</v>
      </c>
      <c r="O10" s="4" t="s">
        <v>113</v>
      </c>
      <c r="P10" s="7">
        <v>68987506</v>
      </c>
    </row>
    <row r="11" spans="1:16" x14ac:dyDescent="0.3">
      <c r="A11" s="4">
        <v>8</v>
      </c>
      <c r="B11" s="7">
        <v>23123730</v>
      </c>
      <c r="C11" s="7">
        <v>23100605</v>
      </c>
      <c r="O11" s="4" t="s">
        <v>114</v>
      </c>
      <c r="P11" s="7">
        <v>47568275</v>
      </c>
    </row>
    <row r="12" spans="1:16" x14ac:dyDescent="0.3">
      <c r="A12" s="4">
        <v>9</v>
      </c>
      <c r="B12" s="7">
        <v>11032179</v>
      </c>
      <c r="C12" s="7">
        <v>11021147</v>
      </c>
      <c r="O12" s="4" t="s">
        <v>115</v>
      </c>
      <c r="P12" s="7">
        <v>37047318</v>
      </c>
    </row>
    <row r="13" spans="1:16" x14ac:dyDescent="0.3">
      <c r="A13" s="4">
        <v>10</v>
      </c>
      <c r="B13" s="7">
        <v>18080973</v>
      </c>
      <c r="C13" s="7">
        <v>18062890</v>
      </c>
      <c r="O13" s="4" t="s">
        <v>116</v>
      </c>
      <c r="P13" s="7">
        <v>18517366</v>
      </c>
    </row>
    <row r="14" spans="1:16" x14ac:dyDescent="0.3">
      <c r="A14" s="4">
        <v>11</v>
      </c>
      <c r="B14" s="7">
        <v>6142293</v>
      </c>
      <c r="C14" s="7">
        <v>6136150</v>
      </c>
      <c r="O14" s="4" t="s">
        <v>117</v>
      </c>
      <c r="P14" s="7">
        <v>14083116</v>
      </c>
    </row>
    <row r="15" spans="1:16" x14ac:dyDescent="0.3">
      <c r="A15" s="4">
        <v>12</v>
      </c>
      <c r="B15" s="7">
        <v>10354632</v>
      </c>
      <c r="C15" s="7">
        <v>10344277</v>
      </c>
      <c r="O15" s="4" t="s">
        <v>118</v>
      </c>
      <c r="P15" s="7">
        <v>16930984</v>
      </c>
    </row>
    <row r="16" spans="1:16" x14ac:dyDescent="0.3">
      <c r="A16" s="4">
        <v>13</v>
      </c>
      <c r="B16" s="7">
        <v>9902568</v>
      </c>
      <c r="C16" s="7">
        <v>9892664</v>
      </c>
      <c r="O16" s="4" t="s">
        <v>88</v>
      </c>
      <c r="P16" s="7">
        <v>340593332</v>
      </c>
    </row>
    <row r="17" spans="1:3" x14ac:dyDescent="0.3">
      <c r="A17" s="4">
        <v>14</v>
      </c>
      <c r="B17" s="7">
        <v>8814840</v>
      </c>
      <c r="C17" s="7">
        <v>8806026</v>
      </c>
    </row>
    <row r="18" spans="1:3" x14ac:dyDescent="0.3">
      <c r="A18" s="4">
        <v>15</v>
      </c>
      <c r="B18" s="7">
        <v>9201259</v>
      </c>
      <c r="C18" s="7">
        <v>9192060</v>
      </c>
    </row>
    <row r="19" spans="1:3" x14ac:dyDescent="0.3">
      <c r="A19" s="4">
        <v>16</v>
      </c>
      <c r="B19" s="7">
        <v>9772116</v>
      </c>
      <c r="C19" s="7">
        <v>9762343</v>
      </c>
    </row>
    <row r="20" spans="1:3" x14ac:dyDescent="0.3">
      <c r="A20" s="4">
        <v>17</v>
      </c>
      <c r="B20" s="7">
        <v>12056806</v>
      </c>
      <c r="C20" s="7">
        <v>12044749</v>
      </c>
    </row>
    <row r="21" spans="1:3" x14ac:dyDescent="0.3">
      <c r="A21" s="4">
        <v>18</v>
      </c>
      <c r="B21" s="7">
        <v>4828868</v>
      </c>
      <c r="C21" s="7">
        <v>4824039</v>
      </c>
    </row>
    <row r="22" spans="1:3" x14ac:dyDescent="0.3">
      <c r="A22" s="4">
        <v>19</v>
      </c>
      <c r="B22" s="7">
        <v>10757336</v>
      </c>
      <c r="C22" s="7">
        <v>10746578</v>
      </c>
    </row>
    <row r="23" spans="1:3" x14ac:dyDescent="0.3">
      <c r="A23" s="4">
        <v>20</v>
      </c>
      <c r="B23" s="7">
        <v>4631209</v>
      </c>
      <c r="C23" s="7">
        <v>4626580</v>
      </c>
    </row>
    <row r="24" spans="1:3" x14ac:dyDescent="0.3">
      <c r="A24" s="4">
        <v>21</v>
      </c>
      <c r="B24" s="7">
        <v>4122671</v>
      </c>
      <c r="C24" s="7">
        <v>4118551</v>
      </c>
    </row>
    <row r="25" spans="1:3" x14ac:dyDescent="0.3">
      <c r="A25" s="4">
        <v>22</v>
      </c>
      <c r="B25" s="7">
        <v>8660244</v>
      </c>
      <c r="C25" s="7">
        <v>8651585</v>
      </c>
    </row>
    <row r="26" spans="1:3" x14ac:dyDescent="0.3">
      <c r="A26" s="4">
        <v>23</v>
      </c>
      <c r="B26" s="7">
        <v>10629402</v>
      </c>
      <c r="C26" s="7">
        <v>10618773</v>
      </c>
    </row>
    <row r="27" spans="1:3" x14ac:dyDescent="0.3">
      <c r="A27" s="4">
        <v>24</v>
      </c>
      <c r="B27" s="7">
        <v>9963282</v>
      </c>
      <c r="C27" s="7">
        <v>9953318</v>
      </c>
    </row>
    <row r="28" spans="1:3" x14ac:dyDescent="0.3">
      <c r="A28" s="4">
        <v>25</v>
      </c>
      <c r="B28" s="7">
        <v>91160839</v>
      </c>
      <c r="C28" s="7">
        <v>91069679</v>
      </c>
    </row>
    <row r="29" spans="1:3" x14ac:dyDescent="0.3">
      <c r="A29" s="4" t="s">
        <v>88</v>
      </c>
      <c r="B29" s="7">
        <v>340593332</v>
      </c>
      <c r="C29" s="7">
        <v>340252739</v>
      </c>
    </row>
    <row r="33" spans="1:2" x14ac:dyDescent="0.3">
      <c r="A33" s="3" t="s">
        <v>87</v>
      </c>
      <c r="B33" t="s">
        <v>99</v>
      </c>
    </row>
    <row r="34" spans="1:2" x14ac:dyDescent="0.3">
      <c r="A34" s="4" t="s">
        <v>53</v>
      </c>
      <c r="B34" s="7">
        <v>220</v>
      </c>
    </row>
    <row r="35" spans="1:2" x14ac:dyDescent="0.3">
      <c r="A35" s="4" t="s">
        <v>55</v>
      </c>
      <c r="B35" s="7">
        <v>80</v>
      </c>
    </row>
    <row r="36" spans="1:2" x14ac:dyDescent="0.3">
      <c r="A36" s="4" t="s">
        <v>88</v>
      </c>
      <c r="B36" s="7">
        <v>300</v>
      </c>
    </row>
  </sheetData>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064EE-194D-417D-B063-8F93B12100E2}">
  <dimension ref="A1:K301"/>
  <sheetViews>
    <sheetView topLeftCell="A2" workbookViewId="0">
      <selection sqref="A1:K301"/>
    </sheetView>
  </sheetViews>
  <sheetFormatPr defaultRowHeight="14.4" x14ac:dyDescent="0.3"/>
  <cols>
    <col min="1" max="1" width="12.33203125" bestFit="1" customWidth="1"/>
    <col min="2" max="2" width="10.109375" bestFit="1" customWidth="1"/>
    <col min="3" max="3" width="11.109375" bestFit="1" customWidth="1"/>
    <col min="4" max="4" width="15.33203125" bestFit="1" customWidth="1"/>
    <col min="5" max="5" width="19.88671875" bestFit="1" customWidth="1"/>
    <col min="6" max="6" width="18.21875" bestFit="1" customWidth="1"/>
    <col min="7" max="7" width="20.77734375" bestFit="1" customWidth="1"/>
    <col min="8" max="8" width="11.77734375" bestFit="1" customWidth="1"/>
    <col min="9" max="9" width="12.6640625" bestFit="1" customWidth="1"/>
    <col min="10" max="10" width="15.44140625" bestFit="1" customWidth="1"/>
    <col min="11" max="11" width="15.44140625" customWidth="1"/>
  </cols>
  <sheetData>
    <row r="1" spans="1:11" x14ac:dyDescent="0.3">
      <c r="A1" t="s">
        <v>41</v>
      </c>
      <c r="B1" t="s">
        <v>0</v>
      </c>
      <c r="C1" t="s">
        <v>48</v>
      </c>
      <c r="D1" t="s">
        <v>67</v>
      </c>
      <c r="E1" t="s">
        <v>47</v>
      </c>
      <c r="F1" t="s">
        <v>68</v>
      </c>
      <c r="G1" t="s">
        <v>69</v>
      </c>
      <c r="H1" t="s">
        <v>70</v>
      </c>
      <c r="I1" t="s">
        <v>71</v>
      </c>
      <c r="J1" t="s">
        <v>49</v>
      </c>
      <c r="K1" t="s">
        <v>80</v>
      </c>
    </row>
    <row r="2" spans="1:11" x14ac:dyDescent="0.3">
      <c r="A2">
        <v>1</v>
      </c>
      <c r="B2">
        <v>1</v>
      </c>
      <c r="C2" s="1">
        <v>45804</v>
      </c>
      <c r="D2" s="1">
        <v>45807</v>
      </c>
      <c r="E2">
        <v>559657</v>
      </c>
      <c r="F2">
        <v>559659</v>
      </c>
      <c r="G2">
        <v>-2</v>
      </c>
      <c r="H2">
        <v>559659</v>
      </c>
      <c r="I2">
        <v>3</v>
      </c>
      <c r="J2" t="s">
        <v>53</v>
      </c>
      <c r="K2" t="str">
        <f t="shared" ref="K2:K65" si="0">IF(AND(J2="Unpaid",D2&lt;&gt;""),"Review: Unpaid with payment date",IF(AND(J2="Paid",D2=""),"Review: Paid without payment date","OK"))</f>
        <v>OK</v>
      </c>
    </row>
    <row r="3" spans="1:11" x14ac:dyDescent="0.3">
      <c r="A3">
        <v>2</v>
      </c>
      <c r="B3">
        <v>1</v>
      </c>
      <c r="C3" s="1">
        <v>45833</v>
      </c>
      <c r="D3" s="1">
        <v>45836</v>
      </c>
      <c r="E3">
        <v>732654</v>
      </c>
      <c r="F3">
        <v>732655</v>
      </c>
      <c r="G3">
        <v>-1</v>
      </c>
      <c r="H3">
        <v>732655</v>
      </c>
      <c r="I3">
        <v>3</v>
      </c>
      <c r="J3" t="s">
        <v>53</v>
      </c>
      <c r="K3" t="str">
        <f t="shared" si="0"/>
        <v>OK</v>
      </c>
    </row>
    <row r="4" spans="1:11" x14ac:dyDescent="0.3">
      <c r="A4">
        <v>3</v>
      </c>
      <c r="B4">
        <v>1</v>
      </c>
      <c r="C4" s="1">
        <v>45860</v>
      </c>
      <c r="D4" s="1">
        <v>45860</v>
      </c>
      <c r="E4">
        <v>1630365</v>
      </c>
      <c r="F4">
        <v>1630368</v>
      </c>
      <c r="G4">
        <v>-3</v>
      </c>
      <c r="H4">
        <v>1630368</v>
      </c>
      <c r="I4">
        <v>0</v>
      </c>
      <c r="J4" t="s">
        <v>53</v>
      </c>
      <c r="K4" t="str">
        <f t="shared" si="0"/>
        <v>OK</v>
      </c>
    </row>
    <row r="5" spans="1:11" x14ac:dyDescent="0.3">
      <c r="A5">
        <v>4</v>
      </c>
      <c r="B5">
        <v>1</v>
      </c>
      <c r="C5" s="1">
        <v>45895</v>
      </c>
      <c r="D5" s="1">
        <v>45897</v>
      </c>
      <c r="E5">
        <v>2394320</v>
      </c>
      <c r="F5">
        <v>2394318</v>
      </c>
      <c r="G5">
        <v>2</v>
      </c>
      <c r="H5">
        <v>2394318</v>
      </c>
      <c r="I5">
        <v>2</v>
      </c>
      <c r="J5" t="s">
        <v>53</v>
      </c>
      <c r="K5" t="str">
        <f t="shared" si="0"/>
        <v>OK</v>
      </c>
    </row>
    <row r="6" spans="1:11" x14ac:dyDescent="0.3">
      <c r="A6">
        <v>5</v>
      </c>
      <c r="B6">
        <v>1</v>
      </c>
      <c r="C6" s="1">
        <v>45930</v>
      </c>
      <c r="D6" s="1">
        <v>45928</v>
      </c>
      <c r="E6">
        <v>1197158</v>
      </c>
      <c r="F6">
        <v>1197161</v>
      </c>
      <c r="G6">
        <v>-3</v>
      </c>
      <c r="H6">
        <v>1197161</v>
      </c>
      <c r="I6">
        <v>-2</v>
      </c>
      <c r="J6" t="s">
        <v>53</v>
      </c>
      <c r="K6" t="str">
        <f t="shared" si="0"/>
        <v>OK</v>
      </c>
    </row>
    <row r="7" spans="1:11" x14ac:dyDescent="0.3">
      <c r="A7">
        <v>6</v>
      </c>
      <c r="B7">
        <v>1</v>
      </c>
      <c r="C7" s="1">
        <v>45953</v>
      </c>
      <c r="D7" s="1">
        <v>45950</v>
      </c>
      <c r="E7">
        <v>580023</v>
      </c>
      <c r="F7">
        <v>580020</v>
      </c>
      <c r="G7">
        <v>3</v>
      </c>
      <c r="H7">
        <v>580020</v>
      </c>
      <c r="I7">
        <v>-3</v>
      </c>
      <c r="J7" t="s">
        <v>53</v>
      </c>
      <c r="K7" t="str">
        <f t="shared" si="0"/>
        <v>OK</v>
      </c>
    </row>
    <row r="8" spans="1:11" x14ac:dyDescent="0.3">
      <c r="A8">
        <v>7</v>
      </c>
      <c r="B8">
        <v>1</v>
      </c>
      <c r="C8" s="1">
        <v>45985</v>
      </c>
      <c r="D8" s="1">
        <v>45986</v>
      </c>
      <c r="E8">
        <v>407485</v>
      </c>
      <c r="F8">
        <v>407483</v>
      </c>
      <c r="G8">
        <v>2</v>
      </c>
      <c r="H8">
        <v>407483</v>
      </c>
      <c r="I8">
        <v>1</v>
      </c>
      <c r="J8" t="s">
        <v>53</v>
      </c>
      <c r="K8" t="str">
        <f t="shared" si="0"/>
        <v>OK</v>
      </c>
    </row>
    <row r="9" spans="1:11" x14ac:dyDescent="0.3">
      <c r="A9">
        <v>8</v>
      </c>
      <c r="B9">
        <v>1</v>
      </c>
      <c r="C9" s="1">
        <v>46012</v>
      </c>
      <c r="D9" s="1">
        <v>46015</v>
      </c>
      <c r="E9">
        <v>576657</v>
      </c>
      <c r="F9">
        <v>576654</v>
      </c>
      <c r="G9">
        <v>3</v>
      </c>
      <c r="H9">
        <v>576654</v>
      </c>
      <c r="I9">
        <v>3</v>
      </c>
      <c r="J9" t="s">
        <v>53</v>
      </c>
      <c r="K9" t="str">
        <f t="shared" si="0"/>
        <v>OK</v>
      </c>
    </row>
    <row r="10" spans="1:11" x14ac:dyDescent="0.3">
      <c r="A10">
        <v>9</v>
      </c>
      <c r="B10">
        <v>1</v>
      </c>
      <c r="C10" s="1">
        <v>46064</v>
      </c>
      <c r="D10" s="1">
        <v>46063</v>
      </c>
      <c r="E10">
        <v>947713</v>
      </c>
      <c r="F10">
        <v>947711</v>
      </c>
      <c r="G10">
        <v>2</v>
      </c>
      <c r="H10">
        <v>947711</v>
      </c>
      <c r="I10">
        <v>-1</v>
      </c>
      <c r="J10" t="s">
        <v>53</v>
      </c>
      <c r="K10" t="str">
        <f t="shared" si="0"/>
        <v>OK</v>
      </c>
    </row>
    <row r="11" spans="1:11" x14ac:dyDescent="0.3">
      <c r="A11">
        <v>10</v>
      </c>
      <c r="B11">
        <v>1</v>
      </c>
      <c r="C11" s="1">
        <v>46089</v>
      </c>
      <c r="D11" s="1">
        <v>46087</v>
      </c>
      <c r="E11">
        <v>223277</v>
      </c>
      <c r="F11">
        <v>223280</v>
      </c>
      <c r="G11">
        <v>-3</v>
      </c>
      <c r="H11">
        <v>223280</v>
      </c>
      <c r="I11">
        <v>-2</v>
      </c>
      <c r="J11" t="s">
        <v>53</v>
      </c>
      <c r="K11" t="str">
        <f t="shared" si="0"/>
        <v>OK</v>
      </c>
    </row>
    <row r="12" spans="1:11" x14ac:dyDescent="0.3">
      <c r="A12">
        <v>11</v>
      </c>
      <c r="B12">
        <v>1</v>
      </c>
      <c r="C12" s="1">
        <v>46120</v>
      </c>
      <c r="D12" s="1">
        <v>46120</v>
      </c>
      <c r="E12">
        <v>270112</v>
      </c>
      <c r="F12">
        <v>270116</v>
      </c>
      <c r="G12">
        <v>-4</v>
      </c>
      <c r="H12">
        <v>270116</v>
      </c>
      <c r="I12">
        <v>0</v>
      </c>
      <c r="J12" t="s">
        <v>53</v>
      </c>
      <c r="K12" t="str">
        <f t="shared" si="0"/>
        <v>OK</v>
      </c>
    </row>
    <row r="13" spans="1:11" x14ac:dyDescent="0.3">
      <c r="A13">
        <v>12</v>
      </c>
      <c r="B13">
        <v>1</v>
      </c>
      <c r="C13" s="1">
        <v>46120</v>
      </c>
      <c r="D13" s="1">
        <v>46119</v>
      </c>
      <c r="E13">
        <v>254510</v>
      </c>
      <c r="F13">
        <v>254507</v>
      </c>
      <c r="G13">
        <v>3</v>
      </c>
      <c r="H13">
        <v>254507</v>
      </c>
      <c r="I13">
        <v>-1</v>
      </c>
      <c r="J13" t="s">
        <v>53</v>
      </c>
      <c r="K13" t="str">
        <f t="shared" si="0"/>
        <v>OK</v>
      </c>
    </row>
    <row r="14" spans="1:11" x14ac:dyDescent="0.3">
      <c r="A14">
        <v>1</v>
      </c>
      <c r="B14">
        <v>2</v>
      </c>
      <c r="C14" s="1">
        <v>45797</v>
      </c>
      <c r="D14" s="1">
        <v>45800</v>
      </c>
      <c r="E14">
        <v>238417</v>
      </c>
      <c r="F14">
        <v>238420</v>
      </c>
      <c r="G14">
        <v>-3</v>
      </c>
      <c r="H14">
        <v>238420</v>
      </c>
      <c r="I14">
        <v>3</v>
      </c>
      <c r="J14" t="s">
        <v>53</v>
      </c>
      <c r="K14" t="str">
        <f t="shared" si="0"/>
        <v>OK</v>
      </c>
    </row>
    <row r="15" spans="1:11" x14ac:dyDescent="0.3">
      <c r="A15">
        <v>2</v>
      </c>
      <c r="B15">
        <v>2</v>
      </c>
      <c r="C15" s="1">
        <v>45820</v>
      </c>
      <c r="D15" s="1">
        <v>45818</v>
      </c>
      <c r="E15">
        <v>569166</v>
      </c>
      <c r="F15">
        <v>569171</v>
      </c>
      <c r="G15">
        <v>-5</v>
      </c>
      <c r="H15">
        <v>569171</v>
      </c>
      <c r="I15">
        <v>-2</v>
      </c>
      <c r="J15" t="s">
        <v>53</v>
      </c>
      <c r="K15" t="str">
        <f t="shared" si="0"/>
        <v>OK</v>
      </c>
    </row>
    <row r="16" spans="1:11" x14ac:dyDescent="0.3">
      <c r="A16">
        <v>3</v>
      </c>
      <c r="B16">
        <v>2</v>
      </c>
      <c r="C16" s="1">
        <v>45849</v>
      </c>
      <c r="D16" s="1">
        <v>45851</v>
      </c>
      <c r="E16">
        <v>837458</v>
      </c>
      <c r="F16">
        <v>837458</v>
      </c>
      <c r="G16">
        <v>0</v>
      </c>
      <c r="H16">
        <v>837458</v>
      </c>
      <c r="I16">
        <v>2</v>
      </c>
      <c r="J16" t="s">
        <v>53</v>
      </c>
      <c r="K16" t="str">
        <f t="shared" si="0"/>
        <v>OK</v>
      </c>
    </row>
    <row r="17" spans="1:11" x14ac:dyDescent="0.3">
      <c r="A17">
        <v>4</v>
      </c>
      <c r="B17">
        <v>2</v>
      </c>
      <c r="C17" s="1">
        <v>45869</v>
      </c>
      <c r="D17" s="1">
        <v>45872</v>
      </c>
      <c r="E17">
        <v>987619</v>
      </c>
      <c r="F17">
        <v>987618</v>
      </c>
      <c r="G17">
        <v>1</v>
      </c>
      <c r="H17">
        <v>987618</v>
      </c>
      <c r="I17">
        <v>3</v>
      </c>
      <c r="J17" t="s">
        <v>53</v>
      </c>
      <c r="K17" t="str">
        <f t="shared" si="0"/>
        <v>OK</v>
      </c>
    </row>
    <row r="18" spans="1:11" x14ac:dyDescent="0.3">
      <c r="A18">
        <v>5</v>
      </c>
      <c r="B18">
        <v>2</v>
      </c>
      <c r="C18" s="1">
        <v>45902</v>
      </c>
      <c r="D18" s="1">
        <v>46219</v>
      </c>
      <c r="E18">
        <v>683148</v>
      </c>
      <c r="G18">
        <v>683148</v>
      </c>
      <c r="H18">
        <v>0</v>
      </c>
      <c r="I18">
        <v>317</v>
      </c>
      <c r="J18" t="s">
        <v>55</v>
      </c>
      <c r="K18" t="str">
        <f t="shared" si="0"/>
        <v>Review: Unpaid with payment date</v>
      </c>
    </row>
    <row r="19" spans="1:11" x14ac:dyDescent="0.3">
      <c r="A19">
        <v>6</v>
      </c>
      <c r="B19">
        <v>2</v>
      </c>
      <c r="C19" s="1">
        <v>45927</v>
      </c>
      <c r="D19" s="1">
        <v>45927</v>
      </c>
      <c r="E19">
        <v>606449</v>
      </c>
      <c r="F19">
        <v>606450</v>
      </c>
      <c r="G19">
        <v>-1</v>
      </c>
      <c r="H19">
        <v>606450</v>
      </c>
      <c r="I19">
        <v>0</v>
      </c>
      <c r="J19" t="s">
        <v>53</v>
      </c>
      <c r="K19" t="str">
        <f t="shared" si="0"/>
        <v>OK</v>
      </c>
    </row>
    <row r="20" spans="1:11" x14ac:dyDescent="0.3">
      <c r="A20">
        <v>7</v>
      </c>
      <c r="B20">
        <v>2</v>
      </c>
      <c r="C20" s="1">
        <v>45961</v>
      </c>
      <c r="D20" s="1">
        <v>45959</v>
      </c>
      <c r="E20">
        <v>257478</v>
      </c>
      <c r="F20">
        <v>257483</v>
      </c>
      <c r="G20">
        <v>-5</v>
      </c>
      <c r="H20">
        <v>257483</v>
      </c>
      <c r="I20">
        <v>-2</v>
      </c>
      <c r="J20" t="s">
        <v>53</v>
      </c>
      <c r="K20" t="str">
        <f t="shared" si="0"/>
        <v>OK</v>
      </c>
    </row>
    <row r="21" spans="1:11" x14ac:dyDescent="0.3">
      <c r="A21">
        <v>8</v>
      </c>
      <c r="B21">
        <v>2</v>
      </c>
      <c r="C21" s="1">
        <v>46007</v>
      </c>
      <c r="D21" s="1">
        <v>46219</v>
      </c>
      <c r="E21">
        <v>145175</v>
      </c>
      <c r="G21">
        <v>145175</v>
      </c>
      <c r="H21">
        <v>0</v>
      </c>
      <c r="I21">
        <v>212</v>
      </c>
      <c r="J21" t="s">
        <v>55</v>
      </c>
      <c r="K21" t="str">
        <f t="shared" si="0"/>
        <v>Review: Unpaid with payment date</v>
      </c>
    </row>
    <row r="22" spans="1:11" x14ac:dyDescent="0.3">
      <c r="A22">
        <v>9</v>
      </c>
      <c r="B22">
        <v>2</v>
      </c>
      <c r="C22" s="1">
        <v>46018</v>
      </c>
      <c r="D22" s="1">
        <v>46219</v>
      </c>
      <c r="E22">
        <v>105063</v>
      </c>
      <c r="G22">
        <v>105063</v>
      </c>
      <c r="H22">
        <v>0</v>
      </c>
      <c r="I22">
        <v>201</v>
      </c>
      <c r="J22" t="s">
        <v>55</v>
      </c>
      <c r="K22" t="str">
        <f t="shared" si="0"/>
        <v>Review: Unpaid with payment date</v>
      </c>
    </row>
    <row r="23" spans="1:11" x14ac:dyDescent="0.3">
      <c r="A23">
        <v>10</v>
      </c>
      <c r="B23">
        <v>2</v>
      </c>
      <c r="C23" s="1">
        <v>46044</v>
      </c>
      <c r="D23" s="1">
        <v>46047</v>
      </c>
      <c r="E23">
        <v>112711</v>
      </c>
      <c r="F23">
        <v>112714</v>
      </c>
      <c r="G23">
        <v>-3</v>
      </c>
      <c r="H23">
        <v>112714</v>
      </c>
      <c r="I23">
        <v>3</v>
      </c>
      <c r="J23" t="s">
        <v>53</v>
      </c>
      <c r="K23" t="str">
        <f t="shared" si="0"/>
        <v>OK</v>
      </c>
    </row>
    <row r="24" spans="1:11" x14ac:dyDescent="0.3">
      <c r="A24">
        <v>11</v>
      </c>
      <c r="B24">
        <v>2</v>
      </c>
      <c r="C24" s="1">
        <v>46089</v>
      </c>
      <c r="D24" s="1">
        <v>46089</v>
      </c>
      <c r="E24">
        <v>96959</v>
      </c>
      <c r="F24">
        <v>96963</v>
      </c>
      <c r="G24">
        <v>-4</v>
      </c>
      <c r="H24">
        <v>96963</v>
      </c>
      <c r="I24">
        <v>0</v>
      </c>
      <c r="J24" t="s">
        <v>53</v>
      </c>
      <c r="K24" t="str">
        <f t="shared" si="0"/>
        <v>OK</v>
      </c>
    </row>
    <row r="25" spans="1:11" x14ac:dyDescent="0.3">
      <c r="A25">
        <v>12</v>
      </c>
      <c r="B25">
        <v>2</v>
      </c>
      <c r="C25" s="1">
        <v>46127</v>
      </c>
      <c r="D25" s="1">
        <v>46128</v>
      </c>
      <c r="E25">
        <v>144144</v>
      </c>
      <c r="F25">
        <v>144142</v>
      </c>
      <c r="G25">
        <v>2</v>
      </c>
      <c r="H25">
        <v>144142</v>
      </c>
      <c r="I25">
        <v>1</v>
      </c>
      <c r="J25" t="s">
        <v>53</v>
      </c>
      <c r="K25" t="str">
        <f t="shared" si="0"/>
        <v>OK</v>
      </c>
    </row>
    <row r="26" spans="1:11" x14ac:dyDescent="0.3">
      <c r="A26">
        <v>1</v>
      </c>
      <c r="B26">
        <v>3</v>
      </c>
      <c r="C26" s="1">
        <v>45797</v>
      </c>
      <c r="D26" s="1">
        <v>45794</v>
      </c>
      <c r="E26">
        <v>1020155</v>
      </c>
      <c r="F26">
        <v>1020157</v>
      </c>
      <c r="G26">
        <v>-2</v>
      </c>
      <c r="H26">
        <v>1020157</v>
      </c>
      <c r="I26">
        <v>-3</v>
      </c>
      <c r="J26" t="s">
        <v>53</v>
      </c>
      <c r="K26" t="str">
        <f t="shared" si="0"/>
        <v>OK</v>
      </c>
    </row>
    <row r="27" spans="1:11" x14ac:dyDescent="0.3">
      <c r="A27">
        <v>2</v>
      </c>
      <c r="B27">
        <v>3</v>
      </c>
      <c r="C27" s="1">
        <v>45820</v>
      </c>
      <c r="D27" s="1">
        <v>45819</v>
      </c>
      <c r="E27">
        <v>2258180</v>
      </c>
      <c r="F27">
        <v>2258178</v>
      </c>
      <c r="G27">
        <v>2</v>
      </c>
      <c r="H27">
        <v>2258178</v>
      </c>
      <c r="I27">
        <v>-1</v>
      </c>
      <c r="J27" t="s">
        <v>53</v>
      </c>
      <c r="K27" t="str">
        <f t="shared" si="0"/>
        <v>OK</v>
      </c>
    </row>
    <row r="28" spans="1:11" x14ac:dyDescent="0.3">
      <c r="A28">
        <v>3</v>
      </c>
      <c r="B28">
        <v>3</v>
      </c>
      <c r="C28" s="1">
        <v>45849</v>
      </c>
      <c r="D28" s="1">
        <v>45849</v>
      </c>
      <c r="E28">
        <v>3459503</v>
      </c>
      <c r="F28">
        <v>3459504</v>
      </c>
      <c r="G28">
        <v>-1</v>
      </c>
      <c r="H28">
        <v>3459504</v>
      </c>
      <c r="I28">
        <v>0</v>
      </c>
      <c r="J28" t="s">
        <v>53</v>
      </c>
      <c r="K28" t="str">
        <f t="shared" si="0"/>
        <v>OK</v>
      </c>
    </row>
    <row r="29" spans="1:11" x14ac:dyDescent="0.3">
      <c r="A29">
        <v>4</v>
      </c>
      <c r="B29">
        <v>3</v>
      </c>
      <c r="C29" s="1">
        <v>45869</v>
      </c>
      <c r="D29" s="1">
        <v>45871</v>
      </c>
      <c r="E29">
        <v>4709917</v>
      </c>
      <c r="F29">
        <v>4709914</v>
      </c>
      <c r="G29">
        <v>3</v>
      </c>
      <c r="H29">
        <v>4709914</v>
      </c>
      <c r="I29">
        <v>2</v>
      </c>
      <c r="J29" t="s">
        <v>53</v>
      </c>
      <c r="K29" t="str">
        <f t="shared" si="0"/>
        <v>OK</v>
      </c>
    </row>
    <row r="30" spans="1:11" x14ac:dyDescent="0.3">
      <c r="A30">
        <v>5</v>
      </c>
      <c r="B30">
        <v>3</v>
      </c>
      <c r="C30" s="1">
        <v>45902</v>
      </c>
      <c r="D30" s="1">
        <v>46219</v>
      </c>
      <c r="E30">
        <v>3250399</v>
      </c>
      <c r="G30">
        <v>3250399</v>
      </c>
      <c r="H30">
        <v>0</v>
      </c>
      <c r="I30">
        <v>317</v>
      </c>
      <c r="J30" t="s">
        <v>55</v>
      </c>
      <c r="K30" t="str">
        <f t="shared" si="0"/>
        <v>Review: Unpaid with payment date</v>
      </c>
    </row>
    <row r="31" spans="1:11" x14ac:dyDescent="0.3">
      <c r="A31">
        <v>6</v>
      </c>
      <c r="B31">
        <v>3</v>
      </c>
      <c r="C31" s="1">
        <v>45927</v>
      </c>
      <c r="D31" s="1">
        <v>45926</v>
      </c>
      <c r="E31">
        <v>2327374</v>
      </c>
      <c r="F31">
        <v>2327373</v>
      </c>
      <c r="G31">
        <v>1</v>
      </c>
      <c r="H31">
        <v>2327373</v>
      </c>
      <c r="I31">
        <v>-1</v>
      </c>
      <c r="J31" t="s">
        <v>53</v>
      </c>
      <c r="K31" t="str">
        <f t="shared" si="0"/>
        <v>OK</v>
      </c>
    </row>
    <row r="32" spans="1:11" x14ac:dyDescent="0.3">
      <c r="A32">
        <v>7</v>
      </c>
      <c r="B32">
        <v>3</v>
      </c>
      <c r="C32" s="1">
        <v>45961</v>
      </c>
      <c r="D32" s="1">
        <v>45963</v>
      </c>
      <c r="E32">
        <v>924895</v>
      </c>
      <c r="F32">
        <v>924899</v>
      </c>
      <c r="G32">
        <v>-4</v>
      </c>
      <c r="H32">
        <v>924899</v>
      </c>
      <c r="I32">
        <v>2</v>
      </c>
      <c r="J32" t="s">
        <v>53</v>
      </c>
      <c r="K32" t="str">
        <f t="shared" si="0"/>
        <v>OK</v>
      </c>
    </row>
    <row r="33" spans="1:11" x14ac:dyDescent="0.3">
      <c r="A33">
        <v>8</v>
      </c>
      <c r="B33">
        <v>3</v>
      </c>
      <c r="C33" s="1">
        <v>46007</v>
      </c>
      <c r="D33" s="1">
        <v>46219</v>
      </c>
      <c r="E33">
        <v>587571</v>
      </c>
      <c r="G33">
        <v>587571</v>
      </c>
      <c r="H33">
        <v>0</v>
      </c>
      <c r="I33">
        <v>212</v>
      </c>
      <c r="J33" t="s">
        <v>55</v>
      </c>
      <c r="K33" t="str">
        <f t="shared" si="0"/>
        <v>Review: Unpaid with payment date</v>
      </c>
    </row>
    <row r="34" spans="1:11" x14ac:dyDescent="0.3">
      <c r="A34">
        <v>9</v>
      </c>
      <c r="B34">
        <v>3</v>
      </c>
      <c r="C34" s="1">
        <v>46018</v>
      </c>
      <c r="D34" s="1">
        <v>46219</v>
      </c>
      <c r="E34">
        <v>682129</v>
      </c>
      <c r="G34">
        <v>682129</v>
      </c>
      <c r="H34">
        <v>0</v>
      </c>
      <c r="I34">
        <v>201</v>
      </c>
      <c r="J34" t="s">
        <v>55</v>
      </c>
      <c r="K34" t="str">
        <f t="shared" si="0"/>
        <v>Review: Unpaid with payment date</v>
      </c>
    </row>
    <row r="35" spans="1:11" x14ac:dyDescent="0.3">
      <c r="A35">
        <v>10</v>
      </c>
      <c r="B35">
        <v>3</v>
      </c>
      <c r="C35" s="1">
        <v>46044</v>
      </c>
      <c r="D35" s="1">
        <v>46219</v>
      </c>
      <c r="E35">
        <v>779376</v>
      </c>
      <c r="G35">
        <v>779376</v>
      </c>
      <c r="H35">
        <v>0</v>
      </c>
      <c r="I35">
        <v>175</v>
      </c>
      <c r="J35" t="s">
        <v>55</v>
      </c>
      <c r="K35" t="str">
        <f t="shared" si="0"/>
        <v>Review: Unpaid with payment date</v>
      </c>
    </row>
    <row r="36" spans="1:11" x14ac:dyDescent="0.3">
      <c r="A36">
        <v>11</v>
      </c>
      <c r="B36">
        <v>3</v>
      </c>
      <c r="C36" s="1">
        <v>46089</v>
      </c>
      <c r="D36" s="1">
        <v>46219</v>
      </c>
      <c r="E36">
        <v>606155</v>
      </c>
      <c r="G36">
        <v>606155</v>
      </c>
      <c r="H36">
        <v>0</v>
      </c>
      <c r="I36">
        <v>130</v>
      </c>
      <c r="J36" t="s">
        <v>55</v>
      </c>
      <c r="K36" t="str">
        <f t="shared" si="0"/>
        <v>Review: Unpaid with payment date</v>
      </c>
    </row>
    <row r="37" spans="1:11" x14ac:dyDescent="0.3">
      <c r="A37">
        <v>12</v>
      </c>
      <c r="B37">
        <v>3</v>
      </c>
      <c r="C37" s="1">
        <v>46127</v>
      </c>
      <c r="D37" s="1">
        <v>46128</v>
      </c>
      <c r="E37">
        <v>625675</v>
      </c>
      <c r="F37">
        <v>625678</v>
      </c>
      <c r="G37">
        <v>-3</v>
      </c>
      <c r="H37">
        <v>625678</v>
      </c>
      <c r="I37">
        <v>1</v>
      </c>
      <c r="J37" t="s">
        <v>53</v>
      </c>
      <c r="K37" t="str">
        <f t="shared" si="0"/>
        <v>OK</v>
      </c>
    </row>
    <row r="38" spans="1:11" x14ac:dyDescent="0.3">
      <c r="A38">
        <v>1</v>
      </c>
      <c r="B38">
        <v>4</v>
      </c>
      <c r="C38" s="1">
        <v>45814</v>
      </c>
      <c r="D38" s="1">
        <v>45814</v>
      </c>
      <c r="E38">
        <v>706261</v>
      </c>
      <c r="F38">
        <v>706260</v>
      </c>
      <c r="G38">
        <v>1</v>
      </c>
      <c r="H38">
        <v>706260</v>
      </c>
      <c r="I38">
        <v>0</v>
      </c>
      <c r="J38" t="s">
        <v>53</v>
      </c>
      <c r="K38" t="str">
        <f t="shared" si="0"/>
        <v>OK</v>
      </c>
    </row>
    <row r="39" spans="1:11" x14ac:dyDescent="0.3">
      <c r="A39">
        <v>2</v>
      </c>
      <c r="B39">
        <v>4</v>
      </c>
      <c r="C39" s="1">
        <v>45877</v>
      </c>
      <c r="D39" s="1">
        <v>45877</v>
      </c>
      <c r="E39">
        <v>1563355</v>
      </c>
      <c r="F39">
        <v>1563357</v>
      </c>
      <c r="G39">
        <v>-2</v>
      </c>
      <c r="H39">
        <v>1563357</v>
      </c>
      <c r="I39">
        <v>0</v>
      </c>
      <c r="J39" t="s">
        <v>53</v>
      </c>
      <c r="K39" t="str">
        <f t="shared" si="0"/>
        <v>OK</v>
      </c>
    </row>
    <row r="40" spans="1:11" x14ac:dyDescent="0.3">
      <c r="A40">
        <v>3</v>
      </c>
      <c r="B40">
        <v>4</v>
      </c>
      <c r="C40" s="1">
        <v>45877</v>
      </c>
      <c r="D40" s="1">
        <v>45874</v>
      </c>
      <c r="E40">
        <v>2395041</v>
      </c>
      <c r="F40">
        <v>2395037</v>
      </c>
      <c r="G40">
        <v>4</v>
      </c>
      <c r="H40">
        <v>2395037</v>
      </c>
      <c r="I40">
        <v>-3</v>
      </c>
      <c r="J40" t="s">
        <v>53</v>
      </c>
      <c r="K40" t="str">
        <f t="shared" si="0"/>
        <v>OK</v>
      </c>
    </row>
    <row r="41" spans="1:11" x14ac:dyDescent="0.3">
      <c r="A41">
        <v>4</v>
      </c>
      <c r="B41">
        <v>4</v>
      </c>
      <c r="C41" s="1">
        <v>45912</v>
      </c>
      <c r="D41" s="1">
        <v>45915</v>
      </c>
      <c r="E41">
        <v>3260712</v>
      </c>
      <c r="F41">
        <v>3260714</v>
      </c>
      <c r="G41">
        <v>-2</v>
      </c>
      <c r="H41">
        <v>3260714</v>
      </c>
      <c r="I41">
        <v>3</v>
      </c>
      <c r="J41" t="s">
        <v>53</v>
      </c>
      <c r="K41" t="str">
        <f t="shared" si="0"/>
        <v>OK</v>
      </c>
    </row>
    <row r="42" spans="1:11" x14ac:dyDescent="0.3">
      <c r="A42">
        <v>5</v>
      </c>
      <c r="B42">
        <v>4</v>
      </c>
      <c r="C42" s="1">
        <v>45943</v>
      </c>
      <c r="D42" s="1">
        <v>45943</v>
      </c>
      <c r="E42">
        <v>2250276</v>
      </c>
      <c r="F42">
        <v>2250273</v>
      </c>
      <c r="G42">
        <v>3</v>
      </c>
      <c r="H42">
        <v>2250273</v>
      </c>
      <c r="I42">
        <v>0</v>
      </c>
      <c r="J42" t="s">
        <v>53</v>
      </c>
      <c r="K42" t="str">
        <f t="shared" si="0"/>
        <v>OK</v>
      </c>
    </row>
    <row r="43" spans="1:11" x14ac:dyDescent="0.3">
      <c r="A43">
        <v>6</v>
      </c>
      <c r="B43">
        <v>4</v>
      </c>
      <c r="C43" s="1">
        <v>45968</v>
      </c>
      <c r="D43" s="1">
        <v>45966</v>
      </c>
      <c r="E43">
        <v>1611259</v>
      </c>
      <c r="F43">
        <v>1611256</v>
      </c>
      <c r="G43">
        <v>3</v>
      </c>
      <c r="H43">
        <v>1611256</v>
      </c>
      <c r="I43">
        <v>-2</v>
      </c>
      <c r="J43" t="s">
        <v>53</v>
      </c>
      <c r="K43" t="str">
        <f t="shared" si="0"/>
        <v>OK</v>
      </c>
    </row>
    <row r="44" spans="1:11" x14ac:dyDescent="0.3">
      <c r="A44">
        <v>7</v>
      </c>
      <c r="B44">
        <v>4</v>
      </c>
      <c r="C44" s="1">
        <v>45998</v>
      </c>
      <c r="D44" s="1">
        <v>46001</v>
      </c>
      <c r="E44">
        <v>640312</v>
      </c>
      <c r="F44">
        <v>640307</v>
      </c>
      <c r="G44">
        <v>5</v>
      </c>
      <c r="H44">
        <v>640307</v>
      </c>
      <c r="I44">
        <v>3</v>
      </c>
      <c r="J44" t="s">
        <v>53</v>
      </c>
      <c r="K44" t="str">
        <f t="shared" si="0"/>
        <v>OK</v>
      </c>
    </row>
    <row r="45" spans="1:11" x14ac:dyDescent="0.3">
      <c r="A45">
        <v>8</v>
      </c>
      <c r="B45">
        <v>4</v>
      </c>
      <c r="C45" s="1">
        <v>46033</v>
      </c>
      <c r="D45" s="1">
        <v>46034</v>
      </c>
      <c r="E45">
        <v>406780</v>
      </c>
      <c r="F45">
        <v>406780</v>
      </c>
      <c r="G45">
        <v>0</v>
      </c>
      <c r="H45">
        <v>406780</v>
      </c>
      <c r="I45">
        <v>1</v>
      </c>
      <c r="J45" t="s">
        <v>53</v>
      </c>
      <c r="K45" t="str">
        <f t="shared" si="0"/>
        <v>OK</v>
      </c>
    </row>
    <row r="46" spans="1:11" x14ac:dyDescent="0.3">
      <c r="A46">
        <v>9</v>
      </c>
      <c r="B46">
        <v>4</v>
      </c>
      <c r="C46" s="1">
        <v>46063</v>
      </c>
      <c r="D46" s="1">
        <v>46065</v>
      </c>
      <c r="E46">
        <v>472243</v>
      </c>
      <c r="F46">
        <v>472240</v>
      </c>
      <c r="G46">
        <v>3</v>
      </c>
      <c r="H46">
        <v>472240</v>
      </c>
      <c r="I46">
        <v>2</v>
      </c>
      <c r="J46" t="s">
        <v>53</v>
      </c>
      <c r="K46" t="str">
        <f t="shared" si="0"/>
        <v>OK</v>
      </c>
    </row>
    <row r="47" spans="1:11" x14ac:dyDescent="0.3">
      <c r="A47">
        <v>10</v>
      </c>
      <c r="B47">
        <v>4</v>
      </c>
      <c r="C47" s="1">
        <v>46089</v>
      </c>
      <c r="D47" s="1">
        <v>46087</v>
      </c>
      <c r="E47">
        <v>539568</v>
      </c>
      <c r="F47">
        <v>539569</v>
      </c>
      <c r="G47">
        <v>-1</v>
      </c>
      <c r="H47">
        <v>539569</v>
      </c>
      <c r="I47">
        <v>-2</v>
      </c>
      <c r="J47" t="s">
        <v>53</v>
      </c>
      <c r="K47" t="str">
        <f t="shared" si="0"/>
        <v>OK</v>
      </c>
    </row>
    <row r="48" spans="1:11" x14ac:dyDescent="0.3">
      <c r="A48">
        <v>11</v>
      </c>
      <c r="B48">
        <v>4</v>
      </c>
      <c r="C48" s="1">
        <v>46132</v>
      </c>
      <c r="D48" s="1">
        <v>46130</v>
      </c>
      <c r="E48">
        <v>419646</v>
      </c>
      <c r="F48">
        <v>419646</v>
      </c>
      <c r="G48">
        <v>0</v>
      </c>
      <c r="H48">
        <v>419646</v>
      </c>
      <c r="I48">
        <v>-2</v>
      </c>
      <c r="J48" t="s">
        <v>53</v>
      </c>
      <c r="K48" t="str">
        <f t="shared" si="0"/>
        <v>OK</v>
      </c>
    </row>
    <row r="49" spans="1:11" x14ac:dyDescent="0.3">
      <c r="A49">
        <v>12</v>
      </c>
      <c r="B49">
        <v>4</v>
      </c>
      <c r="C49" s="1">
        <v>46148</v>
      </c>
      <c r="D49" s="1">
        <v>46150</v>
      </c>
      <c r="E49">
        <v>433159</v>
      </c>
      <c r="F49">
        <v>433155</v>
      </c>
      <c r="G49">
        <v>4</v>
      </c>
      <c r="H49">
        <v>433155</v>
      </c>
      <c r="I49">
        <v>2</v>
      </c>
      <c r="J49" t="s">
        <v>53</v>
      </c>
      <c r="K49" t="str">
        <f t="shared" si="0"/>
        <v>OK</v>
      </c>
    </row>
    <row r="50" spans="1:11" x14ac:dyDescent="0.3">
      <c r="A50">
        <v>1</v>
      </c>
      <c r="B50">
        <v>5</v>
      </c>
      <c r="C50" s="1">
        <v>45769</v>
      </c>
      <c r="D50" s="1">
        <v>45769</v>
      </c>
      <c r="E50">
        <v>317732</v>
      </c>
      <c r="F50">
        <v>317729</v>
      </c>
      <c r="G50">
        <v>3</v>
      </c>
      <c r="H50">
        <v>317729</v>
      </c>
      <c r="I50">
        <v>0</v>
      </c>
      <c r="J50" t="s">
        <v>53</v>
      </c>
      <c r="K50" t="str">
        <f t="shared" si="0"/>
        <v>OK</v>
      </c>
    </row>
    <row r="51" spans="1:11" x14ac:dyDescent="0.3">
      <c r="A51">
        <v>2</v>
      </c>
      <c r="B51">
        <v>5</v>
      </c>
      <c r="C51" s="1">
        <v>45800</v>
      </c>
      <c r="D51" s="1">
        <v>45797</v>
      </c>
      <c r="E51">
        <v>647348</v>
      </c>
      <c r="F51">
        <v>647352</v>
      </c>
      <c r="G51">
        <v>-4</v>
      </c>
      <c r="H51">
        <v>647352</v>
      </c>
      <c r="I51">
        <v>-3</v>
      </c>
      <c r="J51" t="s">
        <v>53</v>
      </c>
      <c r="K51" t="str">
        <f t="shared" si="0"/>
        <v>OK</v>
      </c>
    </row>
    <row r="52" spans="1:11" x14ac:dyDescent="0.3">
      <c r="A52">
        <v>3</v>
      </c>
      <c r="B52">
        <v>5</v>
      </c>
      <c r="C52" s="1">
        <v>45832</v>
      </c>
      <c r="D52" s="1">
        <v>45831</v>
      </c>
      <c r="E52">
        <v>893849</v>
      </c>
      <c r="F52">
        <v>893854</v>
      </c>
      <c r="G52">
        <v>-5</v>
      </c>
      <c r="H52">
        <v>893854</v>
      </c>
      <c r="I52">
        <v>-1</v>
      </c>
      <c r="J52" t="s">
        <v>53</v>
      </c>
      <c r="K52" t="str">
        <f t="shared" si="0"/>
        <v>OK</v>
      </c>
    </row>
    <row r="53" spans="1:11" x14ac:dyDescent="0.3">
      <c r="A53">
        <v>4</v>
      </c>
      <c r="B53">
        <v>5</v>
      </c>
      <c r="C53" s="1">
        <v>46100</v>
      </c>
      <c r="D53" s="1">
        <v>46102</v>
      </c>
      <c r="E53">
        <v>1397765</v>
      </c>
      <c r="F53">
        <v>1397766</v>
      </c>
      <c r="G53">
        <v>-1</v>
      </c>
      <c r="H53">
        <v>1397766</v>
      </c>
      <c r="I53">
        <v>2</v>
      </c>
      <c r="J53" t="s">
        <v>53</v>
      </c>
      <c r="K53" t="str">
        <f t="shared" si="0"/>
        <v>OK</v>
      </c>
    </row>
    <row r="54" spans="1:11" x14ac:dyDescent="0.3">
      <c r="A54">
        <v>5</v>
      </c>
      <c r="B54">
        <v>5</v>
      </c>
      <c r="C54" s="1">
        <v>46100</v>
      </c>
      <c r="D54" s="1">
        <v>46219</v>
      </c>
      <c r="E54">
        <v>1034925</v>
      </c>
      <c r="G54">
        <v>1034925</v>
      </c>
      <c r="H54">
        <v>0</v>
      </c>
      <c r="I54">
        <v>119</v>
      </c>
      <c r="J54" t="s">
        <v>55</v>
      </c>
      <c r="K54" t="str">
        <f t="shared" si="0"/>
        <v>Review: Unpaid with payment date</v>
      </c>
    </row>
    <row r="55" spans="1:11" x14ac:dyDescent="0.3">
      <c r="A55">
        <v>6</v>
      </c>
      <c r="B55">
        <v>5</v>
      </c>
      <c r="C55" s="1">
        <v>46085</v>
      </c>
      <c r="D55" s="1">
        <v>46087</v>
      </c>
      <c r="E55">
        <v>878986</v>
      </c>
      <c r="F55">
        <v>878987</v>
      </c>
      <c r="G55">
        <v>-1</v>
      </c>
      <c r="H55">
        <v>878987</v>
      </c>
      <c r="I55">
        <v>2</v>
      </c>
      <c r="J55" t="s">
        <v>53</v>
      </c>
      <c r="K55" t="str">
        <f t="shared" si="0"/>
        <v>OK</v>
      </c>
    </row>
    <row r="56" spans="1:11" x14ac:dyDescent="0.3">
      <c r="A56">
        <v>7</v>
      </c>
      <c r="B56">
        <v>5</v>
      </c>
      <c r="C56" s="1">
        <v>46085</v>
      </c>
      <c r="D56" s="1">
        <v>46085</v>
      </c>
      <c r="E56">
        <v>375555</v>
      </c>
      <c r="F56">
        <v>375558</v>
      </c>
      <c r="G56">
        <v>-3</v>
      </c>
      <c r="H56">
        <v>375558</v>
      </c>
      <c r="I56">
        <v>0</v>
      </c>
      <c r="J56" t="s">
        <v>53</v>
      </c>
      <c r="K56" t="str">
        <f t="shared" si="0"/>
        <v>OK</v>
      </c>
    </row>
    <row r="57" spans="1:11" x14ac:dyDescent="0.3">
      <c r="A57">
        <v>8</v>
      </c>
      <c r="B57">
        <v>5</v>
      </c>
      <c r="C57" s="1">
        <v>46085</v>
      </c>
      <c r="D57" s="1">
        <v>46219</v>
      </c>
      <c r="E57">
        <v>316866</v>
      </c>
      <c r="G57">
        <v>316866</v>
      </c>
      <c r="H57">
        <v>0</v>
      </c>
      <c r="I57">
        <v>134</v>
      </c>
      <c r="J57" t="s">
        <v>55</v>
      </c>
      <c r="K57" t="str">
        <f t="shared" si="0"/>
        <v>Review: Unpaid with payment date</v>
      </c>
    </row>
    <row r="58" spans="1:11" x14ac:dyDescent="0.3">
      <c r="A58">
        <v>9</v>
      </c>
      <c r="B58">
        <v>5</v>
      </c>
      <c r="C58" s="1">
        <v>46085</v>
      </c>
      <c r="D58" s="1">
        <v>46219</v>
      </c>
      <c r="E58">
        <v>344756</v>
      </c>
      <c r="G58">
        <v>344756</v>
      </c>
      <c r="H58">
        <v>0</v>
      </c>
      <c r="I58">
        <v>134</v>
      </c>
      <c r="J58" t="s">
        <v>55</v>
      </c>
      <c r="K58" t="str">
        <f t="shared" si="0"/>
        <v>Review: Unpaid with payment date</v>
      </c>
    </row>
    <row r="59" spans="1:11" x14ac:dyDescent="0.3">
      <c r="A59">
        <v>10</v>
      </c>
      <c r="B59">
        <v>5</v>
      </c>
      <c r="C59" s="1">
        <v>46085</v>
      </c>
      <c r="D59" s="1">
        <v>46086</v>
      </c>
      <c r="E59">
        <v>397555</v>
      </c>
      <c r="F59">
        <v>397555</v>
      </c>
      <c r="G59">
        <v>0</v>
      </c>
      <c r="H59">
        <v>397555</v>
      </c>
      <c r="I59">
        <v>1</v>
      </c>
      <c r="J59" t="s">
        <v>53</v>
      </c>
      <c r="K59" t="str">
        <f t="shared" si="0"/>
        <v>OK</v>
      </c>
    </row>
    <row r="60" spans="1:11" x14ac:dyDescent="0.3">
      <c r="A60">
        <v>11</v>
      </c>
      <c r="B60">
        <v>5</v>
      </c>
      <c r="C60" s="1">
        <v>46085</v>
      </c>
      <c r="D60" s="1">
        <v>46087</v>
      </c>
      <c r="E60">
        <v>257519</v>
      </c>
      <c r="F60">
        <v>257521</v>
      </c>
      <c r="G60">
        <v>-2</v>
      </c>
      <c r="H60">
        <v>257521</v>
      </c>
      <c r="I60">
        <v>2</v>
      </c>
      <c r="J60" t="s">
        <v>53</v>
      </c>
      <c r="K60" t="str">
        <f t="shared" si="0"/>
        <v>OK</v>
      </c>
    </row>
    <row r="61" spans="1:11" x14ac:dyDescent="0.3">
      <c r="A61">
        <v>12</v>
      </c>
      <c r="B61">
        <v>5</v>
      </c>
      <c r="C61" s="1">
        <v>46085</v>
      </c>
      <c r="D61" s="1">
        <v>46086</v>
      </c>
      <c r="E61">
        <v>228521</v>
      </c>
      <c r="F61">
        <v>228516</v>
      </c>
      <c r="G61">
        <v>5</v>
      </c>
      <c r="H61">
        <v>228516</v>
      </c>
      <c r="I61">
        <v>1</v>
      </c>
      <c r="J61" t="s">
        <v>53</v>
      </c>
      <c r="K61" t="str">
        <f t="shared" si="0"/>
        <v>OK</v>
      </c>
    </row>
    <row r="62" spans="1:11" x14ac:dyDescent="0.3">
      <c r="A62">
        <v>1</v>
      </c>
      <c r="B62">
        <v>6</v>
      </c>
      <c r="C62" s="1">
        <v>46126</v>
      </c>
      <c r="D62" s="1">
        <v>46123</v>
      </c>
      <c r="E62">
        <v>937740</v>
      </c>
      <c r="F62">
        <v>937740</v>
      </c>
      <c r="G62">
        <v>0</v>
      </c>
      <c r="H62">
        <v>937740</v>
      </c>
      <c r="I62">
        <v>-3</v>
      </c>
      <c r="J62" t="s">
        <v>53</v>
      </c>
      <c r="K62" t="str">
        <f t="shared" si="0"/>
        <v>OK</v>
      </c>
    </row>
    <row r="63" spans="1:11" x14ac:dyDescent="0.3">
      <c r="A63">
        <v>2</v>
      </c>
      <c r="B63">
        <v>6</v>
      </c>
      <c r="C63" s="1">
        <v>45801</v>
      </c>
      <c r="D63" s="1">
        <v>45799</v>
      </c>
      <c r="E63">
        <v>740887</v>
      </c>
      <c r="F63">
        <v>740888</v>
      </c>
      <c r="G63">
        <v>-1</v>
      </c>
      <c r="H63">
        <v>740888</v>
      </c>
      <c r="I63">
        <v>-2</v>
      </c>
      <c r="J63" t="s">
        <v>53</v>
      </c>
      <c r="K63" t="str">
        <f t="shared" si="0"/>
        <v>OK</v>
      </c>
    </row>
    <row r="64" spans="1:11" x14ac:dyDescent="0.3">
      <c r="A64">
        <v>3</v>
      </c>
      <c r="B64">
        <v>6</v>
      </c>
      <c r="C64" s="1">
        <v>45828</v>
      </c>
      <c r="D64" s="1">
        <v>45827</v>
      </c>
      <c r="E64">
        <v>1498981</v>
      </c>
      <c r="F64">
        <v>1498978</v>
      </c>
      <c r="G64">
        <v>3</v>
      </c>
      <c r="H64">
        <v>1498978</v>
      </c>
      <c r="I64">
        <v>-1</v>
      </c>
      <c r="J64" t="s">
        <v>53</v>
      </c>
      <c r="K64" t="str">
        <f t="shared" si="0"/>
        <v>OK</v>
      </c>
    </row>
    <row r="65" spans="1:11" x14ac:dyDescent="0.3">
      <c r="A65">
        <v>4</v>
      </c>
      <c r="B65">
        <v>6</v>
      </c>
      <c r="C65" s="1">
        <v>45852</v>
      </c>
      <c r="D65" s="1">
        <v>45849</v>
      </c>
      <c r="E65">
        <v>1390688</v>
      </c>
      <c r="F65">
        <v>1390688</v>
      </c>
      <c r="G65">
        <v>0</v>
      </c>
      <c r="H65">
        <v>1390688</v>
      </c>
      <c r="I65">
        <v>-3</v>
      </c>
      <c r="J65" t="s">
        <v>53</v>
      </c>
      <c r="K65" t="str">
        <f t="shared" si="0"/>
        <v>OK</v>
      </c>
    </row>
    <row r="66" spans="1:11" x14ac:dyDescent="0.3">
      <c r="A66">
        <v>5</v>
      </c>
      <c r="B66">
        <v>6</v>
      </c>
      <c r="C66" s="1">
        <v>45897</v>
      </c>
      <c r="D66" s="1">
        <v>46219</v>
      </c>
      <c r="E66">
        <v>1082808</v>
      </c>
      <c r="G66">
        <v>1082808</v>
      </c>
      <c r="H66">
        <v>0</v>
      </c>
      <c r="I66">
        <v>322</v>
      </c>
      <c r="J66" t="s">
        <v>55</v>
      </c>
      <c r="K66" t="str">
        <f t="shared" ref="K66:K129" si="1">IF(AND(J66="Unpaid",D66&lt;&gt;""),"Review: Unpaid with payment date",IF(AND(J66="Paid",D66=""),"Review: Paid without payment date","OK"))</f>
        <v>Review: Unpaid with payment date</v>
      </c>
    </row>
    <row r="67" spans="1:11" x14ac:dyDescent="0.3">
      <c r="A67">
        <v>6</v>
      </c>
      <c r="B67">
        <v>6</v>
      </c>
      <c r="C67" s="1">
        <v>45927</v>
      </c>
      <c r="D67" s="1">
        <v>46219</v>
      </c>
      <c r="E67">
        <v>800868</v>
      </c>
      <c r="G67">
        <v>800868</v>
      </c>
      <c r="H67">
        <v>0</v>
      </c>
      <c r="I67">
        <v>292</v>
      </c>
      <c r="J67" t="s">
        <v>55</v>
      </c>
      <c r="K67" t="str">
        <f t="shared" si="1"/>
        <v>Review: Unpaid with payment date</v>
      </c>
    </row>
    <row r="68" spans="1:11" x14ac:dyDescent="0.3">
      <c r="A68">
        <v>7</v>
      </c>
      <c r="B68">
        <v>6</v>
      </c>
      <c r="C68" s="1">
        <v>45949</v>
      </c>
      <c r="D68" s="1">
        <v>46219</v>
      </c>
      <c r="E68">
        <v>256769</v>
      </c>
      <c r="G68">
        <v>256769</v>
      </c>
      <c r="H68">
        <v>0</v>
      </c>
      <c r="I68">
        <v>270</v>
      </c>
      <c r="J68" t="s">
        <v>55</v>
      </c>
      <c r="K68" t="str">
        <f t="shared" si="1"/>
        <v>Review: Unpaid with payment date</v>
      </c>
    </row>
    <row r="69" spans="1:11" x14ac:dyDescent="0.3">
      <c r="A69">
        <v>8</v>
      </c>
      <c r="B69">
        <v>6</v>
      </c>
      <c r="C69" s="1">
        <v>46002</v>
      </c>
      <c r="D69" s="1">
        <v>46219</v>
      </c>
      <c r="E69">
        <v>213646</v>
      </c>
      <c r="G69">
        <v>213646</v>
      </c>
      <c r="H69">
        <v>0</v>
      </c>
      <c r="I69">
        <v>217</v>
      </c>
      <c r="J69" t="s">
        <v>55</v>
      </c>
      <c r="K69" t="str">
        <f t="shared" si="1"/>
        <v>Review: Unpaid with payment date</v>
      </c>
    </row>
    <row r="70" spans="1:11" x14ac:dyDescent="0.3">
      <c r="A70">
        <v>9</v>
      </c>
      <c r="B70">
        <v>6</v>
      </c>
      <c r="C70" s="1">
        <v>46013</v>
      </c>
      <c r="D70" s="1">
        <v>46219</v>
      </c>
      <c r="E70">
        <v>239819</v>
      </c>
      <c r="G70">
        <v>239819</v>
      </c>
      <c r="H70">
        <v>0</v>
      </c>
      <c r="I70">
        <v>206</v>
      </c>
      <c r="J70" t="s">
        <v>55</v>
      </c>
      <c r="K70" t="str">
        <f t="shared" si="1"/>
        <v>Review: Unpaid with payment date</v>
      </c>
    </row>
    <row r="71" spans="1:11" x14ac:dyDescent="0.3">
      <c r="A71">
        <v>10</v>
      </c>
      <c r="B71">
        <v>6</v>
      </c>
      <c r="C71" s="1">
        <v>46060</v>
      </c>
      <c r="D71" s="1">
        <v>46219</v>
      </c>
      <c r="E71">
        <v>197122</v>
      </c>
      <c r="G71">
        <v>197122</v>
      </c>
      <c r="H71">
        <v>0</v>
      </c>
      <c r="I71">
        <v>159</v>
      </c>
      <c r="J71" t="s">
        <v>55</v>
      </c>
      <c r="K71" t="str">
        <f t="shared" si="1"/>
        <v>Review: Unpaid with payment date</v>
      </c>
    </row>
    <row r="72" spans="1:11" x14ac:dyDescent="0.3">
      <c r="A72">
        <v>11</v>
      </c>
      <c r="B72">
        <v>6</v>
      </c>
      <c r="C72" s="1">
        <v>46084</v>
      </c>
      <c r="D72" s="1">
        <v>46219</v>
      </c>
      <c r="E72">
        <v>170893</v>
      </c>
      <c r="G72">
        <v>170893</v>
      </c>
      <c r="H72">
        <v>0</v>
      </c>
      <c r="I72">
        <v>135</v>
      </c>
      <c r="J72" t="s">
        <v>55</v>
      </c>
      <c r="K72" t="str">
        <f t="shared" si="1"/>
        <v>Review: Unpaid with payment date</v>
      </c>
    </row>
    <row r="73" spans="1:11" x14ac:dyDescent="0.3">
      <c r="A73">
        <v>12</v>
      </c>
      <c r="B73">
        <v>6</v>
      </c>
      <c r="C73" s="1">
        <v>46115</v>
      </c>
      <c r="D73" s="1">
        <v>46114</v>
      </c>
      <c r="E73">
        <v>421574</v>
      </c>
      <c r="F73">
        <v>421570</v>
      </c>
      <c r="G73">
        <v>4</v>
      </c>
      <c r="H73">
        <v>421570</v>
      </c>
      <c r="I73">
        <v>-1</v>
      </c>
      <c r="J73" t="s">
        <v>53</v>
      </c>
      <c r="K73" t="str">
        <f t="shared" si="1"/>
        <v>OK</v>
      </c>
    </row>
    <row r="74" spans="1:11" x14ac:dyDescent="0.3">
      <c r="A74">
        <v>1</v>
      </c>
      <c r="B74">
        <v>7</v>
      </c>
      <c r="C74" s="1">
        <v>46123</v>
      </c>
      <c r="D74" s="1">
        <v>46122</v>
      </c>
      <c r="E74">
        <v>602300</v>
      </c>
      <c r="F74">
        <v>602299</v>
      </c>
      <c r="G74">
        <v>1</v>
      </c>
      <c r="H74">
        <v>602299</v>
      </c>
      <c r="I74">
        <v>-1</v>
      </c>
      <c r="J74" t="s">
        <v>53</v>
      </c>
      <c r="K74" t="str">
        <f t="shared" si="1"/>
        <v>OK</v>
      </c>
    </row>
    <row r="75" spans="1:11" x14ac:dyDescent="0.3">
      <c r="A75">
        <v>2</v>
      </c>
      <c r="B75">
        <v>7</v>
      </c>
      <c r="C75" s="1">
        <v>45798</v>
      </c>
      <c r="D75" s="1">
        <v>45798</v>
      </c>
      <c r="E75">
        <v>828988</v>
      </c>
      <c r="F75">
        <v>828988</v>
      </c>
      <c r="G75">
        <v>0</v>
      </c>
      <c r="H75">
        <v>828988</v>
      </c>
      <c r="I75">
        <v>0</v>
      </c>
      <c r="J75" t="s">
        <v>53</v>
      </c>
      <c r="K75" t="str">
        <f t="shared" si="1"/>
        <v>OK</v>
      </c>
    </row>
    <row r="76" spans="1:11" x14ac:dyDescent="0.3">
      <c r="A76">
        <v>3</v>
      </c>
      <c r="B76">
        <v>7</v>
      </c>
      <c r="C76" s="1">
        <v>45825</v>
      </c>
      <c r="D76" s="1">
        <v>45828</v>
      </c>
      <c r="E76">
        <v>2011204</v>
      </c>
      <c r="F76">
        <v>2011200</v>
      </c>
      <c r="G76">
        <v>4</v>
      </c>
      <c r="H76">
        <v>2011200</v>
      </c>
      <c r="I76">
        <v>3</v>
      </c>
      <c r="J76" t="s">
        <v>53</v>
      </c>
      <c r="K76" t="str">
        <f t="shared" si="1"/>
        <v>OK</v>
      </c>
    </row>
    <row r="77" spans="1:11" x14ac:dyDescent="0.3">
      <c r="A77">
        <v>4</v>
      </c>
      <c r="B77">
        <v>7</v>
      </c>
      <c r="C77" s="1">
        <v>45849</v>
      </c>
      <c r="D77" s="1">
        <v>45846</v>
      </c>
      <c r="E77">
        <v>2505259</v>
      </c>
      <c r="F77">
        <v>2505264</v>
      </c>
      <c r="G77">
        <v>-5</v>
      </c>
      <c r="H77">
        <v>2505264</v>
      </c>
      <c r="I77">
        <v>-3</v>
      </c>
      <c r="J77" t="s">
        <v>53</v>
      </c>
      <c r="K77" t="str">
        <f t="shared" si="1"/>
        <v>OK</v>
      </c>
    </row>
    <row r="78" spans="1:11" x14ac:dyDescent="0.3">
      <c r="A78">
        <v>5</v>
      </c>
      <c r="B78">
        <v>7</v>
      </c>
      <c r="C78" s="1">
        <v>45894</v>
      </c>
      <c r="D78" s="1">
        <v>45894</v>
      </c>
      <c r="E78">
        <v>1558371</v>
      </c>
      <c r="F78">
        <v>1558367</v>
      </c>
      <c r="G78">
        <v>4</v>
      </c>
      <c r="H78">
        <v>1558367</v>
      </c>
      <c r="I78">
        <v>0</v>
      </c>
      <c r="J78" t="s">
        <v>53</v>
      </c>
      <c r="K78" t="str">
        <f t="shared" si="1"/>
        <v>OK</v>
      </c>
    </row>
    <row r="79" spans="1:11" x14ac:dyDescent="0.3">
      <c r="A79">
        <v>6</v>
      </c>
      <c r="B79">
        <v>7</v>
      </c>
      <c r="C79" s="1">
        <v>45924</v>
      </c>
      <c r="D79" s="1">
        <v>45922</v>
      </c>
      <c r="E79">
        <v>976351</v>
      </c>
      <c r="F79">
        <v>976346</v>
      </c>
      <c r="G79">
        <v>5</v>
      </c>
      <c r="H79">
        <v>976346</v>
      </c>
      <c r="I79">
        <v>-2</v>
      </c>
      <c r="J79" t="s">
        <v>53</v>
      </c>
      <c r="K79" t="str">
        <f t="shared" si="1"/>
        <v>OK</v>
      </c>
    </row>
    <row r="80" spans="1:11" x14ac:dyDescent="0.3">
      <c r="A80">
        <v>7</v>
      </c>
      <c r="B80">
        <v>7</v>
      </c>
      <c r="C80" s="1">
        <v>45946</v>
      </c>
      <c r="D80" s="1">
        <v>45943</v>
      </c>
      <c r="E80">
        <v>692513</v>
      </c>
      <c r="F80">
        <v>692513</v>
      </c>
      <c r="G80">
        <v>0</v>
      </c>
      <c r="H80">
        <v>692513</v>
      </c>
      <c r="I80">
        <v>-3</v>
      </c>
      <c r="J80" t="s">
        <v>53</v>
      </c>
      <c r="K80" t="str">
        <f t="shared" si="1"/>
        <v>OK</v>
      </c>
    </row>
    <row r="81" spans="1:11" x14ac:dyDescent="0.3">
      <c r="A81">
        <v>8</v>
      </c>
      <c r="B81">
        <v>7</v>
      </c>
      <c r="C81" s="1">
        <v>45999</v>
      </c>
      <c r="D81" s="1">
        <v>45999</v>
      </c>
      <c r="E81">
        <v>666650</v>
      </c>
      <c r="F81">
        <v>666655</v>
      </c>
      <c r="G81">
        <v>-5</v>
      </c>
      <c r="H81">
        <v>666655</v>
      </c>
      <c r="I81">
        <v>0</v>
      </c>
      <c r="J81" t="s">
        <v>53</v>
      </c>
      <c r="K81" t="str">
        <f t="shared" si="1"/>
        <v>OK</v>
      </c>
    </row>
    <row r="82" spans="1:11" x14ac:dyDescent="0.3">
      <c r="A82">
        <v>9</v>
      </c>
      <c r="B82">
        <v>7</v>
      </c>
      <c r="C82" s="1">
        <v>46010</v>
      </c>
      <c r="D82" s="1">
        <v>46007</v>
      </c>
      <c r="E82">
        <v>728344</v>
      </c>
      <c r="F82">
        <v>728345</v>
      </c>
      <c r="G82">
        <v>-1</v>
      </c>
      <c r="H82">
        <v>728345</v>
      </c>
      <c r="I82">
        <v>-3</v>
      </c>
      <c r="J82" t="s">
        <v>53</v>
      </c>
      <c r="K82" t="str">
        <f t="shared" si="1"/>
        <v>OK</v>
      </c>
    </row>
    <row r="83" spans="1:11" x14ac:dyDescent="0.3">
      <c r="A83">
        <v>10</v>
      </c>
      <c r="B83">
        <v>7</v>
      </c>
      <c r="C83" s="1">
        <v>46057</v>
      </c>
      <c r="D83" s="1">
        <v>46054</v>
      </c>
      <c r="E83">
        <v>451293</v>
      </c>
      <c r="F83">
        <v>451295</v>
      </c>
      <c r="G83">
        <v>-2</v>
      </c>
      <c r="H83">
        <v>451295</v>
      </c>
      <c r="I83">
        <v>-3</v>
      </c>
      <c r="J83" t="s">
        <v>53</v>
      </c>
      <c r="K83" t="str">
        <f t="shared" si="1"/>
        <v>OK</v>
      </c>
    </row>
    <row r="84" spans="1:11" x14ac:dyDescent="0.3">
      <c r="A84">
        <v>11</v>
      </c>
      <c r="B84">
        <v>7</v>
      </c>
      <c r="C84" s="1">
        <v>46081</v>
      </c>
      <c r="D84" s="1">
        <v>46080</v>
      </c>
      <c r="E84">
        <v>293294</v>
      </c>
      <c r="F84">
        <v>293298</v>
      </c>
      <c r="G84">
        <v>-4</v>
      </c>
      <c r="H84">
        <v>293298</v>
      </c>
      <c r="I84">
        <v>-1</v>
      </c>
      <c r="J84" t="s">
        <v>53</v>
      </c>
      <c r="K84" t="str">
        <f t="shared" si="1"/>
        <v>OK</v>
      </c>
    </row>
    <row r="85" spans="1:11" x14ac:dyDescent="0.3">
      <c r="A85">
        <v>12</v>
      </c>
      <c r="B85">
        <v>7</v>
      </c>
      <c r="C85" s="1">
        <v>46112</v>
      </c>
      <c r="D85" s="1">
        <v>46114</v>
      </c>
      <c r="E85">
        <v>435327</v>
      </c>
      <c r="F85">
        <v>435328</v>
      </c>
      <c r="G85">
        <v>-1</v>
      </c>
      <c r="H85">
        <v>435328</v>
      </c>
      <c r="I85">
        <v>2</v>
      </c>
      <c r="J85" t="s">
        <v>53</v>
      </c>
      <c r="K85" t="str">
        <f t="shared" si="1"/>
        <v>OK</v>
      </c>
    </row>
    <row r="86" spans="1:11" x14ac:dyDescent="0.3">
      <c r="A86">
        <v>1</v>
      </c>
      <c r="B86">
        <v>8</v>
      </c>
      <c r="C86" s="1">
        <v>46131</v>
      </c>
      <c r="D86" s="1">
        <v>46130</v>
      </c>
      <c r="E86">
        <v>1178498</v>
      </c>
      <c r="F86">
        <v>1178493</v>
      </c>
      <c r="G86">
        <v>5</v>
      </c>
      <c r="H86">
        <v>1178493</v>
      </c>
      <c r="I86">
        <v>-1</v>
      </c>
      <c r="J86" t="s">
        <v>53</v>
      </c>
      <c r="K86" t="str">
        <f t="shared" si="1"/>
        <v>OK</v>
      </c>
    </row>
    <row r="87" spans="1:11" x14ac:dyDescent="0.3">
      <c r="A87">
        <v>2</v>
      </c>
      <c r="B87">
        <v>8</v>
      </c>
      <c r="C87" s="1">
        <v>45806</v>
      </c>
      <c r="D87" s="1">
        <v>45803</v>
      </c>
      <c r="E87">
        <v>1671924</v>
      </c>
      <c r="F87">
        <v>1671927</v>
      </c>
      <c r="G87">
        <v>-3</v>
      </c>
      <c r="H87">
        <v>1671927</v>
      </c>
      <c r="I87">
        <v>-3</v>
      </c>
      <c r="J87" t="s">
        <v>53</v>
      </c>
      <c r="K87" t="str">
        <f t="shared" si="1"/>
        <v>OK</v>
      </c>
    </row>
    <row r="88" spans="1:11" x14ac:dyDescent="0.3">
      <c r="A88">
        <v>3</v>
      </c>
      <c r="B88">
        <v>8</v>
      </c>
      <c r="C88" s="1">
        <v>45833</v>
      </c>
      <c r="D88" s="1">
        <v>45836</v>
      </c>
      <c r="E88">
        <v>4414497</v>
      </c>
      <c r="F88">
        <v>4414496</v>
      </c>
      <c r="G88">
        <v>1</v>
      </c>
      <c r="H88">
        <v>4414496</v>
      </c>
      <c r="I88">
        <v>3</v>
      </c>
      <c r="J88" t="s">
        <v>53</v>
      </c>
      <c r="K88" t="str">
        <f t="shared" si="1"/>
        <v>OK</v>
      </c>
    </row>
    <row r="89" spans="1:11" x14ac:dyDescent="0.3">
      <c r="A89">
        <v>4</v>
      </c>
      <c r="B89">
        <v>8</v>
      </c>
      <c r="C89" s="1">
        <v>45857</v>
      </c>
      <c r="D89" s="1">
        <v>45855</v>
      </c>
      <c r="E89">
        <v>4405765</v>
      </c>
      <c r="F89">
        <v>4405760</v>
      </c>
      <c r="G89">
        <v>5</v>
      </c>
      <c r="H89">
        <v>4405760</v>
      </c>
      <c r="I89">
        <v>-2</v>
      </c>
      <c r="J89" t="s">
        <v>53</v>
      </c>
      <c r="K89" t="str">
        <f t="shared" si="1"/>
        <v>OK</v>
      </c>
    </row>
    <row r="90" spans="1:11" x14ac:dyDescent="0.3">
      <c r="A90">
        <v>5</v>
      </c>
      <c r="B90">
        <v>8</v>
      </c>
      <c r="C90" s="1">
        <v>45902</v>
      </c>
      <c r="D90" s="1">
        <v>46219</v>
      </c>
      <c r="E90">
        <v>2651196</v>
      </c>
      <c r="G90">
        <v>2651196</v>
      </c>
      <c r="H90">
        <v>0</v>
      </c>
      <c r="I90">
        <v>317</v>
      </c>
      <c r="J90" t="s">
        <v>55</v>
      </c>
      <c r="K90" t="str">
        <f t="shared" si="1"/>
        <v>Review: Unpaid with payment date</v>
      </c>
    </row>
    <row r="91" spans="1:11" x14ac:dyDescent="0.3">
      <c r="A91">
        <v>6</v>
      </c>
      <c r="B91">
        <v>8</v>
      </c>
      <c r="C91" s="1">
        <v>45932</v>
      </c>
      <c r="D91" s="1">
        <v>45931</v>
      </c>
      <c r="E91">
        <v>1843517</v>
      </c>
      <c r="F91">
        <v>1843516</v>
      </c>
      <c r="G91">
        <v>1</v>
      </c>
      <c r="H91">
        <v>1843516</v>
      </c>
      <c r="I91">
        <v>-1</v>
      </c>
      <c r="J91" t="s">
        <v>53</v>
      </c>
      <c r="K91" t="str">
        <f t="shared" si="1"/>
        <v>OK</v>
      </c>
    </row>
    <row r="92" spans="1:11" x14ac:dyDescent="0.3">
      <c r="A92">
        <v>7</v>
      </c>
      <c r="B92">
        <v>8</v>
      </c>
      <c r="C92" s="1">
        <v>45954</v>
      </c>
      <c r="D92" s="1">
        <v>45957</v>
      </c>
      <c r="E92">
        <v>1014381</v>
      </c>
      <c r="F92">
        <v>1014380</v>
      </c>
      <c r="G92">
        <v>1</v>
      </c>
      <c r="H92">
        <v>1014380</v>
      </c>
      <c r="I92">
        <v>3</v>
      </c>
      <c r="J92" t="s">
        <v>53</v>
      </c>
      <c r="K92" t="str">
        <f t="shared" si="1"/>
        <v>OK</v>
      </c>
    </row>
    <row r="93" spans="1:11" x14ac:dyDescent="0.3">
      <c r="A93">
        <v>8</v>
      </c>
      <c r="B93">
        <v>8</v>
      </c>
      <c r="C93" s="1">
        <v>46007</v>
      </c>
      <c r="D93" s="1">
        <v>46219</v>
      </c>
      <c r="E93">
        <v>1574935</v>
      </c>
      <c r="G93">
        <v>1574935</v>
      </c>
      <c r="H93">
        <v>0</v>
      </c>
      <c r="I93">
        <v>212</v>
      </c>
      <c r="J93" t="s">
        <v>55</v>
      </c>
      <c r="K93" t="str">
        <f t="shared" si="1"/>
        <v>Review: Unpaid with payment date</v>
      </c>
    </row>
    <row r="94" spans="1:11" x14ac:dyDescent="0.3">
      <c r="A94">
        <v>9</v>
      </c>
      <c r="B94">
        <v>8</v>
      </c>
      <c r="C94" s="1">
        <v>46018</v>
      </c>
      <c r="D94" s="1">
        <v>46219</v>
      </c>
      <c r="E94">
        <v>2010332</v>
      </c>
      <c r="G94">
        <v>2010332</v>
      </c>
      <c r="H94">
        <v>0</v>
      </c>
      <c r="I94">
        <v>201</v>
      </c>
      <c r="J94" t="s">
        <v>55</v>
      </c>
      <c r="K94" t="str">
        <f t="shared" si="1"/>
        <v>Review: Unpaid with payment date</v>
      </c>
    </row>
    <row r="95" spans="1:11" x14ac:dyDescent="0.3">
      <c r="A95">
        <v>10</v>
      </c>
      <c r="B95">
        <v>8</v>
      </c>
      <c r="C95" s="1">
        <v>46065</v>
      </c>
      <c r="D95" s="1">
        <v>46062</v>
      </c>
      <c r="E95">
        <v>754335</v>
      </c>
      <c r="F95">
        <v>754340</v>
      </c>
      <c r="G95">
        <v>-5</v>
      </c>
      <c r="H95">
        <v>754340</v>
      </c>
      <c r="I95">
        <v>-3</v>
      </c>
      <c r="J95" t="s">
        <v>53</v>
      </c>
      <c r="K95" t="str">
        <f t="shared" si="1"/>
        <v>OK</v>
      </c>
    </row>
    <row r="96" spans="1:11" x14ac:dyDescent="0.3">
      <c r="A96">
        <v>11</v>
      </c>
      <c r="B96">
        <v>8</v>
      </c>
      <c r="C96" s="1">
        <v>46089</v>
      </c>
      <c r="D96" s="1">
        <v>46091</v>
      </c>
      <c r="E96">
        <v>620160</v>
      </c>
      <c r="F96">
        <v>620157</v>
      </c>
      <c r="G96">
        <v>3</v>
      </c>
      <c r="H96">
        <v>620157</v>
      </c>
      <c r="I96">
        <v>2</v>
      </c>
      <c r="J96" t="s">
        <v>53</v>
      </c>
      <c r="K96" t="str">
        <f t="shared" si="1"/>
        <v>OK</v>
      </c>
    </row>
    <row r="97" spans="1:11" x14ac:dyDescent="0.3">
      <c r="A97">
        <v>12</v>
      </c>
      <c r="B97">
        <v>8</v>
      </c>
      <c r="C97" s="1">
        <v>46120</v>
      </c>
      <c r="D97" s="1">
        <v>46122</v>
      </c>
      <c r="E97">
        <v>961065</v>
      </c>
      <c r="F97">
        <v>961066</v>
      </c>
      <c r="G97">
        <v>-1</v>
      </c>
      <c r="H97">
        <v>961066</v>
      </c>
      <c r="I97">
        <v>2</v>
      </c>
      <c r="J97" t="s">
        <v>53</v>
      </c>
      <c r="K97" t="str">
        <f t="shared" si="1"/>
        <v>OK</v>
      </c>
    </row>
    <row r="98" spans="1:11" x14ac:dyDescent="0.3">
      <c r="A98">
        <v>1</v>
      </c>
      <c r="B98">
        <v>9</v>
      </c>
      <c r="C98" s="1">
        <v>45770</v>
      </c>
      <c r="D98" s="1">
        <v>45768</v>
      </c>
      <c r="E98">
        <v>465408</v>
      </c>
      <c r="F98">
        <v>465407</v>
      </c>
      <c r="G98">
        <v>1</v>
      </c>
      <c r="H98">
        <v>465407</v>
      </c>
      <c r="I98">
        <v>-2</v>
      </c>
      <c r="J98" t="s">
        <v>53</v>
      </c>
      <c r="K98" t="str">
        <f t="shared" si="1"/>
        <v>OK</v>
      </c>
    </row>
    <row r="99" spans="1:11" x14ac:dyDescent="0.3">
      <c r="A99">
        <v>2</v>
      </c>
      <c r="B99">
        <v>9</v>
      </c>
      <c r="C99" s="1">
        <v>45804</v>
      </c>
      <c r="D99" s="1">
        <v>45806</v>
      </c>
      <c r="E99">
        <v>897368</v>
      </c>
      <c r="F99">
        <v>897366</v>
      </c>
      <c r="G99">
        <v>2</v>
      </c>
      <c r="H99">
        <v>897366</v>
      </c>
      <c r="I99">
        <v>2</v>
      </c>
      <c r="J99" t="s">
        <v>53</v>
      </c>
      <c r="K99" t="str">
        <f t="shared" si="1"/>
        <v>OK</v>
      </c>
    </row>
    <row r="100" spans="1:11" x14ac:dyDescent="0.3">
      <c r="A100">
        <v>3</v>
      </c>
      <c r="B100">
        <v>9</v>
      </c>
      <c r="C100" s="1">
        <v>45832</v>
      </c>
      <c r="D100" s="1">
        <v>45832</v>
      </c>
      <c r="E100">
        <v>1439441</v>
      </c>
      <c r="F100">
        <v>1439437</v>
      </c>
      <c r="G100">
        <v>4</v>
      </c>
      <c r="H100">
        <v>1439437</v>
      </c>
      <c r="I100">
        <v>0</v>
      </c>
      <c r="J100" t="s">
        <v>53</v>
      </c>
      <c r="K100" t="str">
        <f t="shared" si="1"/>
        <v>OK</v>
      </c>
    </row>
    <row r="101" spans="1:11" x14ac:dyDescent="0.3">
      <c r="A101">
        <v>4</v>
      </c>
      <c r="B101">
        <v>9</v>
      </c>
      <c r="C101" s="1">
        <v>45867</v>
      </c>
      <c r="D101" s="1">
        <v>45869</v>
      </c>
      <c r="E101">
        <v>2091905</v>
      </c>
      <c r="F101">
        <v>2091904</v>
      </c>
      <c r="G101">
        <v>1</v>
      </c>
      <c r="H101">
        <v>2091904</v>
      </c>
      <c r="I101">
        <v>2</v>
      </c>
      <c r="J101" t="s">
        <v>53</v>
      </c>
      <c r="K101" t="str">
        <f t="shared" si="1"/>
        <v>OK</v>
      </c>
    </row>
    <row r="102" spans="1:11" x14ac:dyDescent="0.3">
      <c r="A102">
        <v>5</v>
      </c>
      <c r="B102">
        <v>9</v>
      </c>
      <c r="C102" s="1">
        <v>45898</v>
      </c>
      <c r="D102" s="1">
        <v>46219</v>
      </c>
      <c r="E102">
        <v>1726223</v>
      </c>
      <c r="G102">
        <v>1726223</v>
      </c>
      <c r="H102">
        <v>0</v>
      </c>
      <c r="I102">
        <v>321</v>
      </c>
      <c r="J102" t="s">
        <v>55</v>
      </c>
      <c r="K102" t="str">
        <f t="shared" si="1"/>
        <v>Review: Unpaid with payment date</v>
      </c>
    </row>
    <row r="103" spans="1:11" x14ac:dyDescent="0.3">
      <c r="A103">
        <v>6</v>
      </c>
      <c r="B103">
        <v>9</v>
      </c>
      <c r="C103" s="1">
        <v>45923</v>
      </c>
      <c r="D103" s="1">
        <v>45922</v>
      </c>
      <c r="E103">
        <v>1070298</v>
      </c>
      <c r="F103">
        <v>1070293</v>
      </c>
      <c r="G103">
        <v>5</v>
      </c>
      <c r="H103">
        <v>1070293</v>
      </c>
      <c r="I103">
        <v>-1</v>
      </c>
      <c r="J103" t="s">
        <v>53</v>
      </c>
      <c r="K103" t="str">
        <f t="shared" si="1"/>
        <v>OK</v>
      </c>
    </row>
    <row r="104" spans="1:11" x14ac:dyDescent="0.3">
      <c r="A104">
        <v>7</v>
      </c>
      <c r="B104">
        <v>9</v>
      </c>
      <c r="C104" s="1">
        <v>45972</v>
      </c>
      <c r="D104" s="1">
        <v>45972</v>
      </c>
      <c r="E104">
        <v>773434</v>
      </c>
      <c r="F104">
        <v>773431</v>
      </c>
      <c r="G104">
        <v>3</v>
      </c>
      <c r="H104">
        <v>773431</v>
      </c>
      <c r="I104">
        <v>0</v>
      </c>
      <c r="J104" t="s">
        <v>53</v>
      </c>
      <c r="K104" t="str">
        <f t="shared" si="1"/>
        <v>OK</v>
      </c>
    </row>
    <row r="105" spans="1:11" x14ac:dyDescent="0.3">
      <c r="A105">
        <v>8</v>
      </c>
      <c r="B105">
        <v>9</v>
      </c>
      <c r="C105" s="1">
        <v>45988</v>
      </c>
      <c r="D105" s="1">
        <v>46219</v>
      </c>
      <c r="E105">
        <v>651777</v>
      </c>
      <c r="G105">
        <v>651777</v>
      </c>
      <c r="H105">
        <v>0</v>
      </c>
      <c r="I105">
        <v>231</v>
      </c>
      <c r="J105" t="s">
        <v>55</v>
      </c>
      <c r="K105" t="str">
        <f t="shared" si="1"/>
        <v>Review: Unpaid with payment date</v>
      </c>
    </row>
    <row r="106" spans="1:11" x14ac:dyDescent="0.3">
      <c r="A106">
        <v>9</v>
      </c>
      <c r="B106">
        <v>9</v>
      </c>
      <c r="C106" s="1">
        <v>46018</v>
      </c>
      <c r="D106" s="1">
        <v>46219</v>
      </c>
      <c r="E106">
        <v>850259</v>
      </c>
      <c r="G106">
        <v>850259</v>
      </c>
      <c r="H106">
        <v>0</v>
      </c>
      <c r="I106">
        <v>201</v>
      </c>
      <c r="J106" t="s">
        <v>55</v>
      </c>
      <c r="K106" t="str">
        <f t="shared" si="1"/>
        <v>Review: Unpaid with payment date</v>
      </c>
    </row>
    <row r="107" spans="1:11" x14ac:dyDescent="0.3">
      <c r="A107">
        <v>10</v>
      </c>
      <c r="B107">
        <v>9</v>
      </c>
      <c r="C107" s="1">
        <v>46045</v>
      </c>
      <c r="D107" s="1">
        <v>46219</v>
      </c>
      <c r="E107">
        <v>390494</v>
      </c>
      <c r="G107">
        <v>390494</v>
      </c>
      <c r="H107">
        <v>0</v>
      </c>
      <c r="I107">
        <v>174</v>
      </c>
      <c r="J107" t="s">
        <v>55</v>
      </c>
      <c r="K107" t="str">
        <f t="shared" si="1"/>
        <v>Review: Unpaid with payment date</v>
      </c>
    </row>
    <row r="108" spans="1:11" x14ac:dyDescent="0.3">
      <c r="A108">
        <v>11</v>
      </c>
      <c r="B108">
        <v>9</v>
      </c>
      <c r="C108" s="1">
        <v>46088</v>
      </c>
      <c r="D108" s="1">
        <v>46219</v>
      </c>
      <c r="E108">
        <v>345243</v>
      </c>
      <c r="G108">
        <v>345243</v>
      </c>
      <c r="H108">
        <v>0</v>
      </c>
      <c r="I108">
        <v>131</v>
      </c>
      <c r="J108" t="s">
        <v>55</v>
      </c>
      <c r="K108" t="str">
        <f t="shared" si="1"/>
        <v>Review: Unpaid with payment date</v>
      </c>
    </row>
    <row r="109" spans="1:11" x14ac:dyDescent="0.3">
      <c r="A109">
        <v>12</v>
      </c>
      <c r="B109">
        <v>9</v>
      </c>
      <c r="C109" s="1">
        <v>46103</v>
      </c>
      <c r="D109" s="1">
        <v>46100</v>
      </c>
      <c r="E109">
        <v>319297</v>
      </c>
      <c r="F109">
        <v>319302</v>
      </c>
      <c r="G109">
        <v>-5</v>
      </c>
      <c r="H109">
        <v>319302</v>
      </c>
      <c r="I109">
        <v>-3</v>
      </c>
      <c r="J109" t="s">
        <v>53</v>
      </c>
      <c r="K109" t="str">
        <f t="shared" si="1"/>
        <v>OK</v>
      </c>
    </row>
    <row r="110" spans="1:11" x14ac:dyDescent="0.3">
      <c r="A110">
        <v>1</v>
      </c>
      <c r="B110">
        <v>10</v>
      </c>
      <c r="C110" s="1">
        <v>45804</v>
      </c>
      <c r="D110" s="1">
        <v>45801</v>
      </c>
      <c r="E110">
        <v>668966</v>
      </c>
      <c r="F110">
        <v>668962</v>
      </c>
      <c r="G110">
        <v>4</v>
      </c>
      <c r="H110">
        <v>668962</v>
      </c>
      <c r="I110">
        <v>-3</v>
      </c>
      <c r="J110" t="s">
        <v>53</v>
      </c>
      <c r="K110" t="str">
        <f t="shared" si="1"/>
        <v>OK</v>
      </c>
    </row>
    <row r="111" spans="1:11" x14ac:dyDescent="0.3">
      <c r="A111">
        <v>2</v>
      </c>
      <c r="B111">
        <v>10</v>
      </c>
      <c r="C111" s="1">
        <v>45833</v>
      </c>
      <c r="D111" s="1">
        <v>45830</v>
      </c>
      <c r="E111">
        <v>1854861</v>
      </c>
      <c r="F111">
        <v>1854857</v>
      </c>
      <c r="G111">
        <v>4</v>
      </c>
      <c r="H111">
        <v>1854857</v>
      </c>
      <c r="I111">
        <v>-3</v>
      </c>
      <c r="J111" t="s">
        <v>53</v>
      </c>
      <c r="K111" t="str">
        <f t="shared" si="1"/>
        <v>OK</v>
      </c>
    </row>
    <row r="112" spans="1:11" x14ac:dyDescent="0.3">
      <c r="A112">
        <v>3</v>
      </c>
      <c r="B112">
        <v>10</v>
      </c>
      <c r="C112" s="1">
        <v>45860</v>
      </c>
      <c r="D112" s="1">
        <v>45863</v>
      </c>
      <c r="E112">
        <v>2878316</v>
      </c>
      <c r="F112">
        <v>2878318</v>
      </c>
      <c r="G112">
        <v>-2</v>
      </c>
      <c r="H112">
        <v>2878318</v>
      </c>
      <c r="I112">
        <v>3</v>
      </c>
      <c r="J112" t="s">
        <v>53</v>
      </c>
      <c r="K112" t="str">
        <f t="shared" si="1"/>
        <v>OK</v>
      </c>
    </row>
    <row r="113" spans="1:11" x14ac:dyDescent="0.3">
      <c r="A113">
        <v>4</v>
      </c>
      <c r="B113">
        <v>10</v>
      </c>
      <c r="C113" s="1">
        <v>45895</v>
      </c>
      <c r="D113" s="1">
        <v>45893</v>
      </c>
      <c r="E113">
        <v>3336030</v>
      </c>
      <c r="F113">
        <v>3336030</v>
      </c>
      <c r="G113">
        <v>0</v>
      </c>
      <c r="H113">
        <v>3336030</v>
      </c>
      <c r="I113">
        <v>-2</v>
      </c>
      <c r="J113" t="s">
        <v>53</v>
      </c>
      <c r="K113" t="str">
        <f t="shared" si="1"/>
        <v>OK</v>
      </c>
    </row>
    <row r="114" spans="1:11" x14ac:dyDescent="0.3">
      <c r="A114">
        <v>5</v>
      </c>
      <c r="B114">
        <v>10</v>
      </c>
      <c r="C114" s="1">
        <v>45930</v>
      </c>
      <c r="D114" s="1">
        <v>45928</v>
      </c>
      <c r="E114">
        <v>2068514</v>
      </c>
      <c r="F114">
        <v>2068517</v>
      </c>
      <c r="G114">
        <v>-3</v>
      </c>
      <c r="H114">
        <v>2068517</v>
      </c>
      <c r="I114">
        <v>-2</v>
      </c>
      <c r="J114" t="s">
        <v>53</v>
      </c>
      <c r="K114" t="str">
        <f t="shared" si="1"/>
        <v>OK</v>
      </c>
    </row>
    <row r="115" spans="1:11" x14ac:dyDescent="0.3">
      <c r="A115">
        <v>6</v>
      </c>
      <c r="B115">
        <v>10</v>
      </c>
      <c r="C115" s="1">
        <v>45953</v>
      </c>
      <c r="D115" s="1">
        <v>45955</v>
      </c>
      <c r="E115">
        <v>1525979</v>
      </c>
      <c r="F115">
        <v>1525980</v>
      </c>
      <c r="G115">
        <v>-1</v>
      </c>
      <c r="H115">
        <v>1525980</v>
      </c>
      <c r="I115">
        <v>2</v>
      </c>
      <c r="J115" t="s">
        <v>53</v>
      </c>
      <c r="K115" t="str">
        <f t="shared" si="1"/>
        <v>OK</v>
      </c>
    </row>
    <row r="116" spans="1:11" x14ac:dyDescent="0.3">
      <c r="A116">
        <v>7</v>
      </c>
      <c r="B116">
        <v>10</v>
      </c>
      <c r="C116" s="1">
        <v>45985</v>
      </c>
      <c r="D116" s="1">
        <v>46219</v>
      </c>
      <c r="E116">
        <v>946635</v>
      </c>
      <c r="G116">
        <v>946635</v>
      </c>
      <c r="H116">
        <v>0</v>
      </c>
      <c r="I116">
        <v>234</v>
      </c>
      <c r="J116" t="s">
        <v>55</v>
      </c>
      <c r="K116" t="str">
        <f t="shared" si="1"/>
        <v>Review: Unpaid with payment date</v>
      </c>
    </row>
    <row r="117" spans="1:11" x14ac:dyDescent="0.3">
      <c r="A117">
        <v>8</v>
      </c>
      <c r="B117">
        <v>10</v>
      </c>
      <c r="C117" s="1">
        <v>46012</v>
      </c>
      <c r="D117" s="1">
        <v>46219</v>
      </c>
      <c r="E117">
        <v>871417</v>
      </c>
      <c r="G117">
        <v>871417</v>
      </c>
      <c r="H117">
        <v>0</v>
      </c>
      <c r="I117">
        <v>207</v>
      </c>
      <c r="J117" t="s">
        <v>55</v>
      </c>
      <c r="K117" t="str">
        <f t="shared" si="1"/>
        <v>Review: Unpaid with payment date</v>
      </c>
    </row>
    <row r="118" spans="1:11" x14ac:dyDescent="0.3">
      <c r="A118">
        <v>9</v>
      </c>
      <c r="B118">
        <v>10</v>
      </c>
      <c r="C118" s="1">
        <v>46064</v>
      </c>
      <c r="D118" s="1">
        <v>46219</v>
      </c>
      <c r="E118">
        <v>1232306</v>
      </c>
      <c r="G118">
        <v>1232306</v>
      </c>
      <c r="H118">
        <v>0</v>
      </c>
      <c r="I118">
        <v>155</v>
      </c>
      <c r="J118" t="s">
        <v>55</v>
      </c>
      <c r="K118" t="str">
        <f t="shared" si="1"/>
        <v>Review: Unpaid with payment date</v>
      </c>
    </row>
    <row r="119" spans="1:11" x14ac:dyDescent="0.3">
      <c r="A119">
        <v>10</v>
      </c>
      <c r="B119">
        <v>10</v>
      </c>
      <c r="C119" s="1">
        <v>46089</v>
      </c>
      <c r="D119" s="1">
        <v>46219</v>
      </c>
      <c r="E119">
        <v>1151486</v>
      </c>
      <c r="G119">
        <v>1151486</v>
      </c>
      <c r="H119">
        <v>0</v>
      </c>
      <c r="I119">
        <v>130</v>
      </c>
      <c r="J119" t="s">
        <v>55</v>
      </c>
      <c r="K119" t="str">
        <f t="shared" si="1"/>
        <v>Review: Unpaid with payment date</v>
      </c>
    </row>
    <row r="120" spans="1:11" x14ac:dyDescent="0.3">
      <c r="A120">
        <v>11</v>
      </c>
      <c r="B120">
        <v>10</v>
      </c>
      <c r="C120" s="1">
        <v>46120</v>
      </c>
      <c r="D120" s="1">
        <v>46121</v>
      </c>
      <c r="E120">
        <v>861814</v>
      </c>
      <c r="F120">
        <v>861810</v>
      </c>
      <c r="G120">
        <v>4</v>
      </c>
      <c r="H120">
        <v>861810</v>
      </c>
      <c r="I120">
        <v>1</v>
      </c>
      <c r="J120" t="s">
        <v>53</v>
      </c>
      <c r="K120" t="str">
        <f t="shared" si="1"/>
        <v>OK</v>
      </c>
    </row>
    <row r="121" spans="1:11" x14ac:dyDescent="0.3">
      <c r="A121">
        <v>12</v>
      </c>
      <c r="B121">
        <v>10</v>
      </c>
      <c r="C121" s="1">
        <v>46120</v>
      </c>
      <c r="D121" s="1">
        <v>46117</v>
      </c>
      <c r="E121">
        <v>666566</v>
      </c>
      <c r="F121">
        <v>666565</v>
      </c>
      <c r="G121">
        <v>1</v>
      </c>
      <c r="H121">
        <v>666565</v>
      </c>
      <c r="I121">
        <v>-3</v>
      </c>
      <c r="J121" t="s">
        <v>53</v>
      </c>
      <c r="K121" t="str">
        <f t="shared" si="1"/>
        <v>OK</v>
      </c>
    </row>
    <row r="122" spans="1:11" x14ac:dyDescent="0.3">
      <c r="A122">
        <v>1</v>
      </c>
      <c r="B122">
        <v>11</v>
      </c>
      <c r="C122" s="1">
        <v>45804</v>
      </c>
      <c r="D122" s="1">
        <v>45802</v>
      </c>
      <c r="E122">
        <v>449330</v>
      </c>
      <c r="F122">
        <v>449331</v>
      </c>
      <c r="G122">
        <v>-1</v>
      </c>
      <c r="H122">
        <v>449331</v>
      </c>
      <c r="I122">
        <v>-2</v>
      </c>
      <c r="J122" t="s">
        <v>53</v>
      </c>
      <c r="K122" t="str">
        <f t="shared" si="1"/>
        <v>OK</v>
      </c>
    </row>
    <row r="123" spans="1:11" x14ac:dyDescent="0.3">
      <c r="A123">
        <v>2</v>
      </c>
      <c r="B123">
        <v>11</v>
      </c>
      <c r="C123" s="1">
        <v>45833</v>
      </c>
      <c r="D123" s="1">
        <v>45834</v>
      </c>
      <c r="E123">
        <v>509843</v>
      </c>
      <c r="F123">
        <v>509841</v>
      </c>
      <c r="G123">
        <v>2</v>
      </c>
      <c r="H123">
        <v>509841</v>
      </c>
      <c r="I123">
        <v>1</v>
      </c>
      <c r="J123" t="s">
        <v>53</v>
      </c>
      <c r="K123" t="str">
        <f t="shared" si="1"/>
        <v>OK</v>
      </c>
    </row>
    <row r="124" spans="1:11" x14ac:dyDescent="0.3">
      <c r="A124">
        <v>3</v>
      </c>
      <c r="B124">
        <v>11</v>
      </c>
      <c r="C124" s="1">
        <v>45860</v>
      </c>
      <c r="D124" s="1">
        <v>45860</v>
      </c>
      <c r="E124">
        <v>989337</v>
      </c>
      <c r="F124">
        <v>989333</v>
      </c>
      <c r="G124">
        <v>4</v>
      </c>
      <c r="H124">
        <v>989333</v>
      </c>
      <c r="I124">
        <v>0</v>
      </c>
      <c r="J124" t="s">
        <v>53</v>
      </c>
      <c r="K124" t="str">
        <f t="shared" si="1"/>
        <v>OK</v>
      </c>
    </row>
    <row r="125" spans="1:11" x14ac:dyDescent="0.3">
      <c r="A125">
        <v>4</v>
      </c>
      <c r="B125">
        <v>11</v>
      </c>
      <c r="C125" s="1">
        <v>45895</v>
      </c>
      <c r="D125" s="1">
        <v>45894</v>
      </c>
      <c r="E125">
        <v>1084283</v>
      </c>
      <c r="F125">
        <v>1084279</v>
      </c>
      <c r="G125">
        <v>4</v>
      </c>
      <c r="H125">
        <v>1084279</v>
      </c>
      <c r="I125">
        <v>-1</v>
      </c>
      <c r="J125" t="s">
        <v>53</v>
      </c>
      <c r="K125" t="str">
        <f t="shared" si="1"/>
        <v>OK</v>
      </c>
    </row>
    <row r="126" spans="1:11" x14ac:dyDescent="0.3">
      <c r="A126">
        <v>5</v>
      </c>
      <c r="B126">
        <v>11</v>
      </c>
      <c r="C126" s="1">
        <v>45930</v>
      </c>
      <c r="D126" s="1">
        <v>46219</v>
      </c>
      <c r="E126">
        <v>637567</v>
      </c>
      <c r="G126">
        <v>637567</v>
      </c>
      <c r="H126">
        <v>0</v>
      </c>
      <c r="I126">
        <v>289</v>
      </c>
      <c r="J126" t="s">
        <v>55</v>
      </c>
      <c r="K126" t="str">
        <f t="shared" si="1"/>
        <v>Review: Unpaid with payment date</v>
      </c>
    </row>
    <row r="127" spans="1:11" x14ac:dyDescent="0.3">
      <c r="A127">
        <v>6</v>
      </c>
      <c r="B127">
        <v>11</v>
      </c>
      <c r="C127" s="1">
        <v>45953</v>
      </c>
      <c r="D127" s="1">
        <v>45954</v>
      </c>
      <c r="E127">
        <v>542700</v>
      </c>
      <c r="F127">
        <v>542696</v>
      </c>
      <c r="G127">
        <v>4</v>
      </c>
      <c r="H127">
        <v>542696</v>
      </c>
      <c r="I127">
        <v>1</v>
      </c>
      <c r="J127" t="s">
        <v>53</v>
      </c>
      <c r="K127" t="str">
        <f t="shared" si="1"/>
        <v>OK</v>
      </c>
    </row>
    <row r="128" spans="1:11" x14ac:dyDescent="0.3">
      <c r="A128">
        <v>7</v>
      </c>
      <c r="B128">
        <v>11</v>
      </c>
      <c r="C128" s="1">
        <v>45985</v>
      </c>
      <c r="D128" s="1">
        <v>45982</v>
      </c>
      <c r="E128">
        <v>407349</v>
      </c>
      <c r="F128">
        <v>407351</v>
      </c>
      <c r="G128">
        <v>-2</v>
      </c>
      <c r="H128">
        <v>407351</v>
      </c>
      <c r="I128">
        <v>-3</v>
      </c>
      <c r="J128" t="s">
        <v>53</v>
      </c>
      <c r="K128" t="str">
        <f t="shared" si="1"/>
        <v>OK</v>
      </c>
    </row>
    <row r="129" spans="1:11" x14ac:dyDescent="0.3">
      <c r="A129">
        <v>8</v>
      </c>
      <c r="B129">
        <v>11</v>
      </c>
      <c r="C129" s="1">
        <v>46012</v>
      </c>
      <c r="D129" s="1">
        <v>46219</v>
      </c>
      <c r="E129">
        <v>384352</v>
      </c>
      <c r="G129">
        <v>384352</v>
      </c>
      <c r="H129">
        <v>0</v>
      </c>
      <c r="I129">
        <v>207</v>
      </c>
      <c r="J129" t="s">
        <v>55</v>
      </c>
      <c r="K129" t="str">
        <f t="shared" si="1"/>
        <v>Review: Unpaid with payment date</v>
      </c>
    </row>
    <row r="130" spans="1:11" x14ac:dyDescent="0.3">
      <c r="A130">
        <v>9</v>
      </c>
      <c r="B130">
        <v>11</v>
      </c>
      <c r="C130" s="1">
        <v>46064</v>
      </c>
      <c r="D130" s="1">
        <v>46219</v>
      </c>
      <c r="E130">
        <v>527914</v>
      </c>
      <c r="G130">
        <v>527914</v>
      </c>
      <c r="H130">
        <v>0</v>
      </c>
      <c r="I130">
        <v>155</v>
      </c>
      <c r="J130" t="s">
        <v>55</v>
      </c>
      <c r="K130" t="str">
        <f t="shared" ref="K130:K193" si="2">IF(AND(J130="Unpaid",D130&lt;&gt;""),"Review: Unpaid with payment date",IF(AND(J130="Paid",D130=""),"Review: Paid without payment date","OK"))</f>
        <v>Review: Unpaid with payment date</v>
      </c>
    </row>
    <row r="131" spans="1:11" x14ac:dyDescent="0.3">
      <c r="A131">
        <v>10</v>
      </c>
      <c r="B131">
        <v>11</v>
      </c>
      <c r="C131" s="1">
        <v>46089</v>
      </c>
      <c r="D131" s="1">
        <v>46090</v>
      </c>
      <c r="E131">
        <v>232425</v>
      </c>
      <c r="F131">
        <v>232421</v>
      </c>
      <c r="G131">
        <v>4</v>
      </c>
      <c r="H131">
        <v>232421</v>
      </c>
      <c r="I131">
        <v>1</v>
      </c>
      <c r="J131" t="s">
        <v>53</v>
      </c>
      <c r="K131" t="str">
        <f t="shared" si="2"/>
        <v>OK</v>
      </c>
    </row>
    <row r="132" spans="1:11" x14ac:dyDescent="0.3">
      <c r="A132">
        <v>11</v>
      </c>
      <c r="B132">
        <v>11</v>
      </c>
      <c r="C132" s="1">
        <v>46120</v>
      </c>
      <c r="D132" s="1">
        <v>46121</v>
      </c>
      <c r="E132">
        <v>167894</v>
      </c>
      <c r="F132">
        <v>167890</v>
      </c>
      <c r="G132">
        <v>4</v>
      </c>
      <c r="H132">
        <v>167890</v>
      </c>
      <c r="I132">
        <v>1</v>
      </c>
      <c r="J132" t="s">
        <v>53</v>
      </c>
      <c r="K132" t="str">
        <f t="shared" si="2"/>
        <v>OK</v>
      </c>
    </row>
    <row r="133" spans="1:11" x14ac:dyDescent="0.3">
      <c r="A133">
        <v>12</v>
      </c>
      <c r="B133">
        <v>11</v>
      </c>
      <c r="C133" s="1">
        <v>46120</v>
      </c>
      <c r="D133" s="1">
        <v>46120</v>
      </c>
      <c r="E133">
        <v>203156</v>
      </c>
      <c r="F133">
        <v>203158</v>
      </c>
      <c r="G133">
        <v>-2</v>
      </c>
      <c r="H133">
        <v>203158</v>
      </c>
      <c r="I133">
        <v>0</v>
      </c>
      <c r="J133" t="s">
        <v>53</v>
      </c>
      <c r="K133" t="str">
        <f t="shared" si="2"/>
        <v>OK</v>
      </c>
    </row>
    <row r="134" spans="1:11" x14ac:dyDescent="0.3">
      <c r="A134">
        <v>1</v>
      </c>
      <c r="B134">
        <v>12</v>
      </c>
      <c r="C134" s="1">
        <v>45765</v>
      </c>
      <c r="D134" s="1">
        <v>45765</v>
      </c>
      <c r="E134">
        <v>325258</v>
      </c>
      <c r="F134">
        <v>325261</v>
      </c>
      <c r="G134">
        <v>-3</v>
      </c>
      <c r="H134">
        <v>325261</v>
      </c>
      <c r="I134">
        <v>0</v>
      </c>
      <c r="J134" t="s">
        <v>53</v>
      </c>
      <c r="K134" t="str">
        <f t="shared" si="2"/>
        <v>OK</v>
      </c>
    </row>
    <row r="135" spans="1:11" x14ac:dyDescent="0.3">
      <c r="A135">
        <v>2</v>
      </c>
      <c r="B135">
        <v>12</v>
      </c>
      <c r="C135" s="1">
        <v>45799</v>
      </c>
      <c r="D135" s="1">
        <v>45797</v>
      </c>
      <c r="E135">
        <v>1119655</v>
      </c>
      <c r="F135">
        <v>1119656</v>
      </c>
      <c r="G135">
        <v>-1</v>
      </c>
      <c r="H135">
        <v>1119656</v>
      </c>
      <c r="I135">
        <v>-2</v>
      </c>
      <c r="J135" t="s">
        <v>53</v>
      </c>
      <c r="K135" t="str">
        <f t="shared" si="2"/>
        <v>OK</v>
      </c>
    </row>
    <row r="136" spans="1:11" x14ac:dyDescent="0.3">
      <c r="A136">
        <v>3</v>
      </c>
      <c r="B136">
        <v>12</v>
      </c>
      <c r="C136" s="1">
        <v>45827</v>
      </c>
      <c r="D136" s="1">
        <v>45827</v>
      </c>
      <c r="E136">
        <v>1722484</v>
      </c>
      <c r="F136">
        <v>1722484</v>
      </c>
      <c r="G136">
        <v>0</v>
      </c>
      <c r="H136">
        <v>1722484</v>
      </c>
      <c r="I136">
        <v>0</v>
      </c>
      <c r="J136" t="s">
        <v>53</v>
      </c>
      <c r="K136" t="str">
        <f t="shared" si="2"/>
        <v>OK</v>
      </c>
    </row>
    <row r="137" spans="1:11" x14ac:dyDescent="0.3">
      <c r="A137">
        <v>4</v>
      </c>
      <c r="B137">
        <v>12</v>
      </c>
      <c r="C137" s="1">
        <v>45862</v>
      </c>
      <c r="D137" s="1">
        <v>45865</v>
      </c>
      <c r="E137">
        <v>1894080</v>
      </c>
      <c r="F137">
        <v>1894075</v>
      </c>
      <c r="G137">
        <v>5</v>
      </c>
      <c r="H137">
        <v>1894075</v>
      </c>
      <c r="I137">
        <v>3</v>
      </c>
      <c r="J137" t="s">
        <v>53</v>
      </c>
      <c r="K137" t="str">
        <f t="shared" si="2"/>
        <v>OK</v>
      </c>
    </row>
    <row r="138" spans="1:11" x14ac:dyDescent="0.3">
      <c r="A138">
        <v>5</v>
      </c>
      <c r="B138">
        <v>12</v>
      </c>
      <c r="C138" s="1">
        <v>45893</v>
      </c>
      <c r="D138" s="1">
        <v>46219</v>
      </c>
      <c r="E138">
        <v>1243563</v>
      </c>
      <c r="G138">
        <v>1243563</v>
      </c>
      <c r="H138">
        <v>0</v>
      </c>
      <c r="I138">
        <v>326</v>
      </c>
      <c r="J138" t="s">
        <v>55</v>
      </c>
      <c r="K138" t="str">
        <f t="shared" si="2"/>
        <v>Review: Unpaid with payment date</v>
      </c>
    </row>
    <row r="139" spans="1:11" x14ac:dyDescent="0.3">
      <c r="A139">
        <v>6</v>
      </c>
      <c r="B139">
        <v>12</v>
      </c>
      <c r="C139" s="1">
        <v>45918</v>
      </c>
      <c r="D139" s="1">
        <v>46219</v>
      </c>
      <c r="E139">
        <v>1102129</v>
      </c>
      <c r="G139">
        <v>1102129</v>
      </c>
      <c r="H139">
        <v>0</v>
      </c>
      <c r="I139">
        <v>301</v>
      </c>
      <c r="J139" t="s">
        <v>55</v>
      </c>
      <c r="K139" t="str">
        <f t="shared" si="2"/>
        <v>Review: Unpaid with payment date</v>
      </c>
    </row>
    <row r="140" spans="1:11" x14ac:dyDescent="0.3">
      <c r="A140">
        <v>7</v>
      </c>
      <c r="B140">
        <v>12</v>
      </c>
      <c r="C140" s="1">
        <v>45967</v>
      </c>
      <c r="D140" s="1">
        <v>46219</v>
      </c>
      <c r="E140">
        <v>718585</v>
      </c>
      <c r="G140">
        <v>718585</v>
      </c>
      <c r="H140">
        <v>0</v>
      </c>
      <c r="I140">
        <v>252</v>
      </c>
      <c r="J140" t="s">
        <v>55</v>
      </c>
      <c r="K140" t="str">
        <f t="shared" si="2"/>
        <v>Review: Unpaid with payment date</v>
      </c>
    </row>
    <row r="141" spans="1:11" x14ac:dyDescent="0.3">
      <c r="A141">
        <v>8</v>
      </c>
      <c r="B141">
        <v>12</v>
      </c>
      <c r="C141" s="1">
        <v>45983</v>
      </c>
      <c r="D141" s="1">
        <v>46219</v>
      </c>
      <c r="E141">
        <v>383544</v>
      </c>
      <c r="G141">
        <v>383544</v>
      </c>
      <c r="H141">
        <v>0</v>
      </c>
      <c r="I141">
        <v>236</v>
      </c>
      <c r="J141" t="s">
        <v>55</v>
      </c>
      <c r="K141" t="str">
        <f t="shared" si="2"/>
        <v>Review: Unpaid with payment date</v>
      </c>
    </row>
    <row r="142" spans="1:11" x14ac:dyDescent="0.3">
      <c r="A142">
        <v>9</v>
      </c>
      <c r="B142">
        <v>12</v>
      </c>
      <c r="C142" s="1">
        <v>46013</v>
      </c>
      <c r="D142" s="1">
        <v>46219</v>
      </c>
      <c r="E142">
        <v>505414</v>
      </c>
      <c r="G142">
        <v>505414</v>
      </c>
      <c r="H142">
        <v>0</v>
      </c>
      <c r="I142">
        <v>206</v>
      </c>
      <c r="J142" t="s">
        <v>55</v>
      </c>
      <c r="K142" t="str">
        <f t="shared" si="2"/>
        <v>Review: Unpaid with payment date</v>
      </c>
    </row>
    <row r="143" spans="1:11" x14ac:dyDescent="0.3">
      <c r="A143">
        <v>10</v>
      </c>
      <c r="B143">
        <v>12</v>
      </c>
      <c r="C143" s="1">
        <v>46040</v>
      </c>
      <c r="D143" s="1">
        <v>46219</v>
      </c>
      <c r="E143">
        <v>560031</v>
      </c>
      <c r="G143">
        <v>560031</v>
      </c>
      <c r="H143">
        <v>0</v>
      </c>
      <c r="I143">
        <v>179</v>
      </c>
      <c r="J143" t="s">
        <v>55</v>
      </c>
      <c r="K143" t="str">
        <f t="shared" si="2"/>
        <v>Review: Unpaid with payment date</v>
      </c>
    </row>
    <row r="144" spans="1:11" x14ac:dyDescent="0.3">
      <c r="A144">
        <v>11</v>
      </c>
      <c r="B144">
        <v>12</v>
      </c>
      <c r="C144" s="1">
        <v>46083</v>
      </c>
      <c r="D144" s="1">
        <v>46219</v>
      </c>
      <c r="E144">
        <v>410445</v>
      </c>
      <c r="G144">
        <v>410445</v>
      </c>
      <c r="H144">
        <v>0</v>
      </c>
      <c r="I144">
        <v>136</v>
      </c>
      <c r="J144" t="s">
        <v>55</v>
      </c>
      <c r="K144" t="str">
        <f t="shared" si="2"/>
        <v>Review: Unpaid with payment date</v>
      </c>
    </row>
    <row r="145" spans="1:11" x14ac:dyDescent="0.3">
      <c r="A145">
        <v>12</v>
      </c>
      <c r="B145">
        <v>12</v>
      </c>
      <c r="C145" s="1">
        <v>46098</v>
      </c>
      <c r="D145" s="1">
        <v>46095</v>
      </c>
      <c r="E145">
        <v>359089</v>
      </c>
      <c r="F145">
        <v>359088</v>
      </c>
      <c r="G145">
        <v>1</v>
      </c>
      <c r="H145">
        <v>359088</v>
      </c>
      <c r="I145">
        <v>-3</v>
      </c>
      <c r="J145" t="s">
        <v>53</v>
      </c>
      <c r="K145" t="str">
        <f t="shared" si="2"/>
        <v>OK</v>
      </c>
    </row>
    <row r="146" spans="1:11" x14ac:dyDescent="0.3">
      <c r="A146">
        <v>1</v>
      </c>
      <c r="B146">
        <v>13</v>
      </c>
      <c r="C146" s="1">
        <v>45770</v>
      </c>
      <c r="D146" s="1">
        <v>45768</v>
      </c>
      <c r="E146">
        <v>267380</v>
      </c>
      <c r="F146">
        <v>267376</v>
      </c>
      <c r="G146">
        <v>4</v>
      </c>
      <c r="H146">
        <v>267376</v>
      </c>
      <c r="I146">
        <v>-2</v>
      </c>
      <c r="J146" t="s">
        <v>53</v>
      </c>
      <c r="K146" t="str">
        <f t="shared" si="2"/>
        <v>OK</v>
      </c>
    </row>
    <row r="147" spans="1:11" x14ac:dyDescent="0.3">
      <c r="A147">
        <v>2</v>
      </c>
      <c r="B147">
        <v>13</v>
      </c>
      <c r="C147" s="1">
        <v>45804</v>
      </c>
      <c r="D147" s="1">
        <v>45802</v>
      </c>
      <c r="E147">
        <v>1020610</v>
      </c>
      <c r="F147">
        <v>1020606</v>
      </c>
      <c r="G147">
        <v>4</v>
      </c>
      <c r="H147">
        <v>1020606</v>
      </c>
      <c r="I147">
        <v>-2</v>
      </c>
      <c r="J147" t="s">
        <v>53</v>
      </c>
      <c r="K147" t="str">
        <f t="shared" si="2"/>
        <v>OK</v>
      </c>
    </row>
    <row r="148" spans="1:11" x14ac:dyDescent="0.3">
      <c r="A148">
        <v>3</v>
      </c>
      <c r="B148">
        <v>13</v>
      </c>
      <c r="C148" s="1">
        <v>45832</v>
      </c>
      <c r="D148" s="1">
        <v>45831</v>
      </c>
      <c r="E148">
        <v>1520318</v>
      </c>
      <c r="F148">
        <v>1520321</v>
      </c>
      <c r="G148">
        <v>-3</v>
      </c>
      <c r="H148">
        <v>1520321</v>
      </c>
      <c r="I148">
        <v>-1</v>
      </c>
      <c r="J148" t="s">
        <v>53</v>
      </c>
      <c r="K148" t="str">
        <f t="shared" si="2"/>
        <v>OK</v>
      </c>
    </row>
    <row r="149" spans="1:11" x14ac:dyDescent="0.3">
      <c r="A149">
        <v>4</v>
      </c>
      <c r="B149">
        <v>13</v>
      </c>
      <c r="C149" s="1">
        <v>45867</v>
      </c>
      <c r="D149" s="1">
        <v>45870</v>
      </c>
      <c r="E149">
        <v>1939323</v>
      </c>
      <c r="F149">
        <v>1939325</v>
      </c>
      <c r="G149">
        <v>-2</v>
      </c>
      <c r="H149">
        <v>1939325</v>
      </c>
      <c r="I149">
        <v>3</v>
      </c>
      <c r="J149" t="s">
        <v>53</v>
      </c>
      <c r="K149" t="str">
        <f t="shared" si="2"/>
        <v>OK</v>
      </c>
    </row>
    <row r="150" spans="1:11" x14ac:dyDescent="0.3">
      <c r="A150">
        <v>5</v>
      </c>
      <c r="B150">
        <v>13</v>
      </c>
      <c r="C150" s="1">
        <v>45898</v>
      </c>
      <c r="D150" s="1">
        <v>45900</v>
      </c>
      <c r="E150">
        <v>1125362</v>
      </c>
      <c r="F150">
        <v>1125363</v>
      </c>
      <c r="G150">
        <v>-1</v>
      </c>
      <c r="H150">
        <v>1125363</v>
      </c>
      <c r="I150">
        <v>2</v>
      </c>
      <c r="J150" t="s">
        <v>53</v>
      </c>
      <c r="K150" t="str">
        <f t="shared" si="2"/>
        <v>OK</v>
      </c>
    </row>
    <row r="151" spans="1:11" x14ac:dyDescent="0.3">
      <c r="A151">
        <v>6</v>
      </c>
      <c r="B151">
        <v>13</v>
      </c>
      <c r="C151" s="1">
        <v>45923</v>
      </c>
      <c r="D151" s="1">
        <v>45926</v>
      </c>
      <c r="E151">
        <v>961102</v>
      </c>
      <c r="F151">
        <v>961106</v>
      </c>
      <c r="G151">
        <v>-4</v>
      </c>
      <c r="H151">
        <v>961106</v>
      </c>
      <c r="I151">
        <v>3</v>
      </c>
      <c r="J151" t="s">
        <v>53</v>
      </c>
      <c r="K151" t="str">
        <f t="shared" si="2"/>
        <v>OK</v>
      </c>
    </row>
    <row r="152" spans="1:11" x14ac:dyDescent="0.3">
      <c r="A152">
        <v>7</v>
      </c>
      <c r="B152">
        <v>13</v>
      </c>
      <c r="C152" s="1">
        <v>45972</v>
      </c>
      <c r="D152" s="1">
        <v>45973</v>
      </c>
      <c r="E152">
        <v>648479</v>
      </c>
      <c r="F152">
        <v>648478</v>
      </c>
      <c r="G152">
        <v>1</v>
      </c>
      <c r="H152">
        <v>648478</v>
      </c>
      <c r="I152">
        <v>1</v>
      </c>
      <c r="J152" t="s">
        <v>53</v>
      </c>
      <c r="K152" t="str">
        <f t="shared" si="2"/>
        <v>OK</v>
      </c>
    </row>
    <row r="153" spans="1:11" x14ac:dyDescent="0.3">
      <c r="A153">
        <v>8</v>
      </c>
      <c r="B153">
        <v>13</v>
      </c>
      <c r="C153" s="1">
        <v>45988</v>
      </c>
      <c r="D153" s="1">
        <v>45989</v>
      </c>
      <c r="E153">
        <v>414113</v>
      </c>
      <c r="F153">
        <v>414116</v>
      </c>
      <c r="G153">
        <v>-3</v>
      </c>
      <c r="H153">
        <v>414116</v>
      </c>
      <c r="I153">
        <v>1</v>
      </c>
      <c r="J153" t="s">
        <v>53</v>
      </c>
      <c r="K153" t="str">
        <f t="shared" si="2"/>
        <v>OK</v>
      </c>
    </row>
    <row r="154" spans="1:11" x14ac:dyDescent="0.3">
      <c r="A154">
        <v>9</v>
      </c>
      <c r="B154">
        <v>13</v>
      </c>
      <c r="C154" s="1">
        <v>46018</v>
      </c>
      <c r="D154" s="1">
        <v>46017</v>
      </c>
      <c r="E154">
        <v>640327</v>
      </c>
      <c r="F154">
        <v>640328</v>
      </c>
      <c r="G154">
        <v>-1</v>
      </c>
      <c r="H154">
        <v>640328</v>
      </c>
      <c r="I154">
        <v>-1</v>
      </c>
      <c r="J154" t="s">
        <v>53</v>
      </c>
      <c r="K154" t="str">
        <f t="shared" si="2"/>
        <v>OK</v>
      </c>
    </row>
    <row r="155" spans="1:11" x14ac:dyDescent="0.3">
      <c r="A155">
        <v>10</v>
      </c>
      <c r="B155">
        <v>13</v>
      </c>
      <c r="C155" s="1">
        <v>46045</v>
      </c>
      <c r="D155" s="1">
        <v>46043</v>
      </c>
      <c r="E155">
        <v>591008</v>
      </c>
      <c r="F155">
        <v>591012</v>
      </c>
      <c r="G155">
        <v>-4</v>
      </c>
      <c r="H155">
        <v>591012</v>
      </c>
      <c r="I155">
        <v>-2</v>
      </c>
      <c r="J155" t="s">
        <v>53</v>
      </c>
      <c r="K155" t="str">
        <f t="shared" si="2"/>
        <v>OK</v>
      </c>
    </row>
    <row r="156" spans="1:11" x14ac:dyDescent="0.3">
      <c r="A156">
        <v>11</v>
      </c>
      <c r="B156">
        <v>13</v>
      </c>
      <c r="C156" s="1">
        <v>46088</v>
      </c>
      <c r="D156" s="1">
        <v>46085</v>
      </c>
      <c r="E156">
        <v>449166</v>
      </c>
      <c r="F156">
        <v>449165</v>
      </c>
      <c r="G156">
        <v>1</v>
      </c>
      <c r="H156">
        <v>449165</v>
      </c>
      <c r="I156">
        <v>-3</v>
      </c>
      <c r="J156" t="s">
        <v>53</v>
      </c>
      <c r="K156" t="str">
        <f t="shared" si="2"/>
        <v>OK</v>
      </c>
    </row>
    <row r="157" spans="1:11" x14ac:dyDescent="0.3">
      <c r="A157">
        <v>12</v>
      </c>
      <c r="B157">
        <v>13</v>
      </c>
      <c r="C157" s="1">
        <v>46103</v>
      </c>
      <c r="D157" s="1">
        <v>46106</v>
      </c>
      <c r="E157">
        <v>315476</v>
      </c>
      <c r="F157">
        <v>315472</v>
      </c>
      <c r="G157">
        <v>4</v>
      </c>
      <c r="H157">
        <v>315472</v>
      </c>
      <c r="I157">
        <v>3</v>
      </c>
      <c r="J157" t="s">
        <v>53</v>
      </c>
      <c r="K157" t="str">
        <f t="shared" si="2"/>
        <v>OK</v>
      </c>
    </row>
    <row r="158" spans="1:11" x14ac:dyDescent="0.3">
      <c r="A158">
        <v>1</v>
      </c>
      <c r="B158">
        <v>14</v>
      </c>
      <c r="C158" s="1">
        <v>45797</v>
      </c>
      <c r="D158" s="1">
        <v>45799</v>
      </c>
      <c r="E158">
        <v>247816</v>
      </c>
      <c r="F158">
        <v>247818</v>
      </c>
      <c r="G158">
        <v>-2</v>
      </c>
      <c r="H158">
        <v>247818</v>
      </c>
      <c r="I158">
        <v>2</v>
      </c>
      <c r="J158" t="s">
        <v>53</v>
      </c>
      <c r="K158" t="str">
        <f t="shared" si="2"/>
        <v>OK</v>
      </c>
    </row>
    <row r="159" spans="1:11" x14ac:dyDescent="0.3">
      <c r="A159">
        <v>2</v>
      </c>
      <c r="B159">
        <v>14</v>
      </c>
      <c r="C159" s="1">
        <v>45820</v>
      </c>
      <c r="D159" s="1">
        <v>45817</v>
      </c>
      <c r="E159">
        <v>902816</v>
      </c>
      <c r="F159">
        <v>902811</v>
      </c>
      <c r="G159">
        <v>5</v>
      </c>
      <c r="H159">
        <v>902811</v>
      </c>
      <c r="I159">
        <v>-3</v>
      </c>
      <c r="J159" t="s">
        <v>53</v>
      </c>
      <c r="K159" t="str">
        <f t="shared" si="2"/>
        <v>OK</v>
      </c>
    </row>
    <row r="160" spans="1:11" x14ac:dyDescent="0.3">
      <c r="A160">
        <v>3</v>
      </c>
      <c r="B160">
        <v>14</v>
      </c>
      <c r="C160" s="1">
        <v>45849</v>
      </c>
      <c r="D160" s="1">
        <v>45849</v>
      </c>
      <c r="E160">
        <v>1483227</v>
      </c>
      <c r="F160">
        <v>1483232</v>
      </c>
      <c r="G160">
        <v>-5</v>
      </c>
      <c r="H160">
        <v>1483232</v>
      </c>
      <c r="I160">
        <v>0</v>
      </c>
      <c r="J160" t="s">
        <v>53</v>
      </c>
      <c r="K160" t="str">
        <f t="shared" si="2"/>
        <v>OK</v>
      </c>
    </row>
    <row r="161" spans="1:11" x14ac:dyDescent="0.3">
      <c r="A161">
        <v>4</v>
      </c>
      <c r="B161">
        <v>14</v>
      </c>
      <c r="C161" s="1">
        <v>45869</v>
      </c>
      <c r="D161" s="1">
        <v>45868</v>
      </c>
      <c r="E161">
        <v>1847615</v>
      </c>
      <c r="F161">
        <v>1847615</v>
      </c>
      <c r="G161">
        <v>0</v>
      </c>
      <c r="H161">
        <v>1847615</v>
      </c>
      <c r="I161">
        <v>-1</v>
      </c>
      <c r="J161" t="s">
        <v>53</v>
      </c>
      <c r="K161" t="str">
        <f t="shared" si="2"/>
        <v>OK</v>
      </c>
    </row>
    <row r="162" spans="1:11" x14ac:dyDescent="0.3">
      <c r="A162">
        <v>5</v>
      </c>
      <c r="B162">
        <v>14</v>
      </c>
      <c r="C162" s="1">
        <v>45902</v>
      </c>
      <c r="D162" s="1">
        <v>46219</v>
      </c>
      <c r="E162">
        <v>1069114</v>
      </c>
      <c r="G162">
        <v>1069114</v>
      </c>
      <c r="H162">
        <v>0</v>
      </c>
      <c r="I162">
        <v>317</v>
      </c>
      <c r="J162" t="s">
        <v>55</v>
      </c>
      <c r="K162" t="str">
        <f t="shared" si="2"/>
        <v>Review: Unpaid with payment date</v>
      </c>
    </row>
    <row r="163" spans="1:11" x14ac:dyDescent="0.3">
      <c r="A163">
        <v>6</v>
      </c>
      <c r="B163">
        <v>14</v>
      </c>
      <c r="C163" s="1">
        <v>45927</v>
      </c>
      <c r="D163" s="1">
        <v>45926</v>
      </c>
      <c r="E163">
        <v>998193</v>
      </c>
      <c r="F163">
        <v>998194</v>
      </c>
      <c r="G163">
        <v>-1</v>
      </c>
      <c r="H163">
        <v>998194</v>
      </c>
      <c r="I163">
        <v>-1</v>
      </c>
      <c r="J163" t="s">
        <v>53</v>
      </c>
      <c r="K163" t="str">
        <f t="shared" si="2"/>
        <v>OK</v>
      </c>
    </row>
    <row r="164" spans="1:11" x14ac:dyDescent="0.3">
      <c r="A164">
        <v>7</v>
      </c>
      <c r="B164">
        <v>14</v>
      </c>
      <c r="C164" s="1">
        <v>45961</v>
      </c>
      <c r="D164" s="1">
        <v>45962</v>
      </c>
      <c r="E164">
        <v>544543</v>
      </c>
      <c r="F164">
        <v>544542</v>
      </c>
      <c r="G164">
        <v>1</v>
      </c>
      <c r="H164">
        <v>544542</v>
      </c>
      <c r="I164">
        <v>1</v>
      </c>
      <c r="J164" t="s">
        <v>53</v>
      </c>
      <c r="K164" t="str">
        <f t="shared" si="2"/>
        <v>OK</v>
      </c>
    </row>
    <row r="165" spans="1:11" x14ac:dyDescent="0.3">
      <c r="A165">
        <v>8</v>
      </c>
      <c r="B165">
        <v>14</v>
      </c>
      <c r="C165" s="1">
        <v>46007</v>
      </c>
      <c r="D165" s="1">
        <v>46219</v>
      </c>
      <c r="E165">
        <v>277163</v>
      </c>
      <c r="G165">
        <v>277163</v>
      </c>
      <c r="H165">
        <v>0</v>
      </c>
      <c r="I165">
        <v>212</v>
      </c>
      <c r="J165" t="s">
        <v>55</v>
      </c>
      <c r="K165" t="str">
        <f t="shared" si="2"/>
        <v>Review: Unpaid with payment date</v>
      </c>
    </row>
    <row r="166" spans="1:11" x14ac:dyDescent="0.3">
      <c r="A166">
        <v>9</v>
      </c>
      <c r="B166">
        <v>14</v>
      </c>
      <c r="C166" s="1">
        <v>46018</v>
      </c>
      <c r="D166" s="1">
        <v>46219</v>
      </c>
      <c r="E166">
        <v>410853</v>
      </c>
      <c r="G166">
        <v>410853</v>
      </c>
      <c r="H166">
        <v>0</v>
      </c>
      <c r="I166">
        <v>201</v>
      </c>
      <c r="J166" t="s">
        <v>55</v>
      </c>
      <c r="K166" t="str">
        <f t="shared" si="2"/>
        <v>Review: Unpaid with payment date</v>
      </c>
    </row>
    <row r="167" spans="1:11" x14ac:dyDescent="0.3">
      <c r="A167">
        <v>10</v>
      </c>
      <c r="B167">
        <v>14</v>
      </c>
      <c r="C167" s="1">
        <v>46044</v>
      </c>
      <c r="D167" s="1">
        <v>46045</v>
      </c>
      <c r="E167">
        <v>442645</v>
      </c>
      <c r="F167">
        <v>442642</v>
      </c>
      <c r="G167">
        <v>3</v>
      </c>
      <c r="H167">
        <v>442642</v>
      </c>
      <c r="I167">
        <v>1</v>
      </c>
      <c r="J167" t="s">
        <v>53</v>
      </c>
      <c r="K167" t="str">
        <f t="shared" si="2"/>
        <v>OK</v>
      </c>
    </row>
    <row r="168" spans="1:11" x14ac:dyDescent="0.3">
      <c r="A168">
        <v>11</v>
      </c>
      <c r="B168">
        <v>14</v>
      </c>
      <c r="C168" s="1">
        <v>46089</v>
      </c>
      <c r="D168" s="1">
        <v>46092</v>
      </c>
      <c r="E168">
        <v>316699</v>
      </c>
      <c r="F168">
        <v>316702</v>
      </c>
      <c r="G168">
        <v>-3</v>
      </c>
      <c r="H168">
        <v>316702</v>
      </c>
      <c r="I168">
        <v>3</v>
      </c>
      <c r="J168" t="s">
        <v>53</v>
      </c>
      <c r="K168" t="str">
        <f t="shared" si="2"/>
        <v>OK</v>
      </c>
    </row>
    <row r="169" spans="1:11" x14ac:dyDescent="0.3">
      <c r="A169">
        <v>12</v>
      </c>
      <c r="B169">
        <v>14</v>
      </c>
      <c r="C169" s="1">
        <v>46127</v>
      </c>
      <c r="D169" s="1">
        <v>46125</v>
      </c>
      <c r="E169">
        <v>265342</v>
      </c>
      <c r="F169">
        <v>265346</v>
      </c>
      <c r="G169">
        <v>-4</v>
      </c>
      <c r="H169">
        <v>265346</v>
      </c>
      <c r="I169">
        <v>-2</v>
      </c>
      <c r="J169" t="s">
        <v>53</v>
      </c>
      <c r="K169" t="str">
        <f t="shared" si="2"/>
        <v>OK</v>
      </c>
    </row>
    <row r="170" spans="1:11" x14ac:dyDescent="0.3">
      <c r="A170">
        <v>1</v>
      </c>
      <c r="B170">
        <v>15</v>
      </c>
      <c r="C170" s="1">
        <v>45804</v>
      </c>
      <c r="D170" s="1">
        <v>45802</v>
      </c>
      <c r="E170">
        <v>172786</v>
      </c>
      <c r="F170">
        <v>172785</v>
      </c>
      <c r="G170">
        <v>1</v>
      </c>
      <c r="H170">
        <v>172785</v>
      </c>
      <c r="I170">
        <v>-2</v>
      </c>
      <c r="J170" t="s">
        <v>53</v>
      </c>
      <c r="K170" t="str">
        <f t="shared" si="2"/>
        <v>OK</v>
      </c>
    </row>
    <row r="171" spans="1:11" x14ac:dyDescent="0.3">
      <c r="A171">
        <v>2</v>
      </c>
      <c r="B171">
        <v>15</v>
      </c>
      <c r="C171" s="1">
        <v>45833</v>
      </c>
      <c r="D171" s="1">
        <v>45831</v>
      </c>
      <c r="E171">
        <v>1098975</v>
      </c>
      <c r="F171">
        <v>1098972</v>
      </c>
      <c r="G171">
        <v>3</v>
      </c>
      <c r="H171">
        <v>1098972</v>
      </c>
      <c r="I171">
        <v>-2</v>
      </c>
      <c r="J171" t="s">
        <v>53</v>
      </c>
      <c r="K171" t="str">
        <f t="shared" si="2"/>
        <v>OK</v>
      </c>
    </row>
    <row r="172" spans="1:11" x14ac:dyDescent="0.3">
      <c r="A172">
        <v>3</v>
      </c>
      <c r="B172">
        <v>15</v>
      </c>
      <c r="C172" s="1">
        <v>45860</v>
      </c>
      <c r="D172" s="1">
        <v>45862</v>
      </c>
      <c r="E172">
        <v>1857396</v>
      </c>
      <c r="F172">
        <v>1857392</v>
      </c>
      <c r="G172">
        <v>4</v>
      </c>
      <c r="H172">
        <v>1857392</v>
      </c>
      <c r="I172">
        <v>2</v>
      </c>
      <c r="J172" t="s">
        <v>53</v>
      </c>
      <c r="K172" t="str">
        <f t="shared" si="2"/>
        <v>OK</v>
      </c>
    </row>
    <row r="173" spans="1:11" x14ac:dyDescent="0.3">
      <c r="A173">
        <v>4</v>
      </c>
      <c r="B173">
        <v>15</v>
      </c>
      <c r="C173" s="1">
        <v>45895</v>
      </c>
      <c r="D173" s="1">
        <v>45898</v>
      </c>
      <c r="E173">
        <v>2059136</v>
      </c>
      <c r="F173">
        <v>2059135</v>
      </c>
      <c r="G173">
        <v>1</v>
      </c>
      <c r="H173">
        <v>2059135</v>
      </c>
      <c r="I173">
        <v>3</v>
      </c>
      <c r="J173" t="s">
        <v>53</v>
      </c>
      <c r="K173" t="str">
        <f t="shared" si="2"/>
        <v>OK</v>
      </c>
    </row>
    <row r="174" spans="1:11" x14ac:dyDescent="0.3">
      <c r="A174">
        <v>5</v>
      </c>
      <c r="B174">
        <v>15</v>
      </c>
      <c r="C174" s="1">
        <v>45930</v>
      </c>
      <c r="D174" s="1">
        <v>46219</v>
      </c>
      <c r="E174">
        <v>1470280</v>
      </c>
      <c r="G174">
        <v>1470280</v>
      </c>
      <c r="H174">
        <v>0</v>
      </c>
      <c r="I174">
        <v>289</v>
      </c>
      <c r="J174" t="s">
        <v>55</v>
      </c>
      <c r="K174" t="str">
        <f t="shared" si="2"/>
        <v>Review: Unpaid with payment date</v>
      </c>
    </row>
    <row r="175" spans="1:11" x14ac:dyDescent="0.3">
      <c r="A175">
        <v>6</v>
      </c>
      <c r="B175">
        <v>15</v>
      </c>
      <c r="C175" s="1">
        <v>45953</v>
      </c>
      <c r="D175" s="1">
        <v>45953</v>
      </c>
      <c r="E175">
        <v>1421767</v>
      </c>
      <c r="F175">
        <v>1421765</v>
      </c>
      <c r="G175">
        <v>2</v>
      </c>
      <c r="H175">
        <v>1421765</v>
      </c>
      <c r="I175">
        <v>0</v>
      </c>
      <c r="J175" t="s">
        <v>53</v>
      </c>
      <c r="K175" t="str">
        <f t="shared" si="2"/>
        <v>OK</v>
      </c>
    </row>
    <row r="176" spans="1:11" x14ac:dyDescent="0.3">
      <c r="A176">
        <v>7</v>
      </c>
      <c r="B176">
        <v>15</v>
      </c>
      <c r="C176" s="1">
        <v>45985</v>
      </c>
      <c r="D176" s="1">
        <v>45983</v>
      </c>
      <c r="E176">
        <v>478890</v>
      </c>
      <c r="F176">
        <v>478887</v>
      </c>
      <c r="G176">
        <v>3</v>
      </c>
      <c r="H176">
        <v>478887</v>
      </c>
      <c r="I176">
        <v>-2</v>
      </c>
      <c r="J176" t="s">
        <v>53</v>
      </c>
      <c r="K176" t="str">
        <f t="shared" si="2"/>
        <v>OK</v>
      </c>
    </row>
    <row r="177" spans="1:11" x14ac:dyDescent="0.3">
      <c r="A177">
        <v>8</v>
      </c>
      <c r="B177">
        <v>15</v>
      </c>
      <c r="C177" s="1">
        <v>46012</v>
      </c>
      <c r="D177" s="1">
        <v>46219</v>
      </c>
      <c r="E177">
        <v>166371</v>
      </c>
      <c r="G177">
        <v>166371</v>
      </c>
      <c r="H177">
        <v>0</v>
      </c>
      <c r="I177">
        <v>207</v>
      </c>
      <c r="J177" t="s">
        <v>55</v>
      </c>
      <c r="K177" t="str">
        <f t="shared" si="2"/>
        <v>Review: Unpaid with payment date</v>
      </c>
    </row>
    <row r="178" spans="1:11" x14ac:dyDescent="0.3">
      <c r="A178">
        <v>9</v>
      </c>
      <c r="B178">
        <v>15</v>
      </c>
      <c r="C178" s="1">
        <v>46064</v>
      </c>
      <c r="D178" s="1">
        <v>46219</v>
      </c>
      <c r="E178">
        <v>117114</v>
      </c>
      <c r="G178">
        <v>117114</v>
      </c>
      <c r="H178">
        <v>0</v>
      </c>
      <c r="I178">
        <v>155</v>
      </c>
      <c r="J178" t="s">
        <v>55</v>
      </c>
      <c r="K178" t="str">
        <f t="shared" si="2"/>
        <v>Review: Unpaid with payment date</v>
      </c>
    </row>
    <row r="179" spans="1:11" x14ac:dyDescent="0.3">
      <c r="A179">
        <v>10</v>
      </c>
      <c r="B179">
        <v>15</v>
      </c>
      <c r="C179" s="1">
        <v>46089</v>
      </c>
      <c r="D179" s="1">
        <v>46219</v>
      </c>
      <c r="E179">
        <v>136539</v>
      </c>
      <c r="G179">
        <v>136539</v>
      </c>
      <c r="H179">
        <v>0</v>
      </c>
      <c r="I179">
        <v>130</v>
      </c>
      <c r="J179" t="s">
        <v>55</v>
      </c>
      <c r="K179" t="str">
        <f t="shared" si="2"/>
        <v>Review: Unpaid with payment date</v>
      </c>
    </row>
    <row r="180" spans="1:11" x14ac:dyDescent="0.3">
      <c r="A180">
        <v>11</v>
      </c>
      <c r="B180">
        <v>15</v>
      </c>
      <c r="C180" s="1">
        <v>46120</v>
      </c>
      <c r="D180" s="1">
        <v>46219</v>
      </c>
      <c r="E180">
        <v>117338</v>
      </c>
      <c r="G180">
        <v>117338</v>
      </c>
      <c r="H180">
        <v>0</v>
      </c>
      <c r="I180">
        <v>99</v>
      </c>
      <c r="J180" t="s">
        <v>55</v>
      </c>
      <c r="K180" t="str">
        <f t="shared" si="2"/>
        <v>Review: Unpaid with payment date</v>
      </c>
    </row>
    <row r="181" spans="1:11" x14ac:dyDescent="0.3">
      <c r="A181">
        <v>12</v>
      </c>
      <c r="B181">
        <v>15</v>
      </c>
      <c r="C181" s="1">
        <v>46120</v>
      </c>
      <c r="D181" s="1">
        <v>46117</v>
      </c>
      <c r="E181">
        <v>95468</v>
      </c>
      <c r="F181">
        <v>95463</v>
      </c>
      <c r="G181">
        <v>5</v>
      </c>
      <c r="H181">
        <v>95463</v>
      </c>
      <c r="I181">
        <v>-3</v>
      </c>
      <c r="J181" t="s">
        <v>53</v>
      </c>
      <c r="K181" t="str">
        <f t="shared" si="2"/>
        <v>OK</v>
      </c>
    </row>
    <row r="182" spans="1:11" x14ac:dyDescent="0.3">
      <c r="A182">
        <v>1</v>
      </c>
      <c r="B182">
        <v>16</v>
      </c>
      <c r="C182" s="1">
        <v>45849</v>
      </c>
      <c r="D182" s="1">
        <v>45847</v>
      </c>
      <c r="E182">
        <v>192344</v>
      </c>
      <c r="F182">
        <v>192342</v>
      </c>
      <c r="G182">
        <v>2</v>
      </c>
      <c r="H182">
        <v>192342</v>
      </c>
      <c r="I182">
        <v>-2</v>
      </c>
      <c r="J182" t="s">
        <v>53</v>
      </c>
      <c r="K182" t="str">
        <f t="shared" si="2"/>
        <v>OK</v>
      </c>
    </row>
    <row r="183" spans="1:11" x14ac:dyDescent="0.3">
      <c r="A183">
        <v>2</v>
      </c>
      <c r="B183">
        <v>16</v>
      </c>
      <c r="C183" s="1">
        <v>45878</v>
      </c>
      <c r="D183" s="1">
        <v>45876</v>
      </c>
      <c r="E183">
        <v>1149789</v>
      </c>
      <c r="F183">
        <v>1149790</v>
      </c>
      <c r="G183">
        <v>-1</v>
      </c>
      <c r="H183">
        <v>1149790</v>
      </c>
      <c r="I183">
        <v>-2</v>
      </c>
      <c r="J183" t="s">
        <v>53</v>
      </c>
      <c r="K183" t="str">
        <f t="shared" si="2"/>
        <v>OK</v>
      </c>
    </row>
    <row r="184" spans="1:11" x14ac:dyDescent="0.3">
      <c r="A184">
        <v>3</v>
      </c>
      <c r="B184">
        <v>16</v>
      </c>
      <c r="C184" s="1">
        <v>45905</v>
      </c>
      <c r="D184" s="1">
        <v>45908</v>
      </c>
      <c r="E184">
        <v>1956535</v>
      </c>
      <c r="F184">
        <v>1956533</v>
      </c>
      <c r="G184">
        <v>2</v>
      </c>
      <c r="H184">
        <v>1956533</v>
      </c>
      <c r="I184">
        <v>3</v>
      </c>
      <c r="J184" t="s">
        <v>53</v>
      </c>
      <c r="K184" t="str">
        <f t="shared" si="2"/>
        <v>OK</v>
      </c>
    </row>
    <row r="185" spans="1:11" x14ac:dyDescent="0.3">
      <c r="A185">
        <v>4</v>
      </c>
      <c r="B185">
        <v>16</v>
      </c>
      <c r="C185" s="1">
        <v>45940</v>
      </c>
      <c r="D185" s="1">
        <v>45943</v>
      </c>
      <c r="E185">
        <v>2175313</v>
      </c>
      <c r="F185">
        <v>2175310</v>
      </c>
      <c r="G185">
        <v>3</v>
      </c>
      <c r="H185">
        <v>2175310</v>
      </c>
      <c r="I185">
        <v>3</v>
      </c>
      <c r="J185" t="s">
        <v>53</v>
      </c>
      <c r="K185" t="str">
        <f t="shared" si="2"/>
        <v>OK</v>
      </c>
    </row>
    <row r="186" spans="1:11" x14ac:dyDescent="0.3">
      <c r="A186">
        <v>5</v>
      </c>
      <c r="B186">
        <v>16</v>
      </c>
      <c r="C186" s="1">
        <v>45975</v>
      </c>
      <c r="D186" s="1">
        <v>45977</v>
      </c>
      <c r="E186">
        <v>1567493</v>
      </c>
      <c r="F186">
        <v>1567497</v>
      </c>
      <c r="G186">
        <v>-4</v>
      </c>
      <c r="H186">
        <v>1567497</v>
      </c>
      <c r="I186">
        <v>2</v>
      </c>
      <c r="J186" t="s">
        <v>53</v>
      </c>
      <c r="K186" t="str">
        <f t="shared" si="2"/>
        <v>OK</v>
      </c>
    </row>
    <row r="187" spans="1:11" x14ac:dyDescent="0.3">
      <c r="A187">
        <v>6</v>
      </c>
      <c r="B187">
        <v>16</v>
      </c>
      <c r="C187" s="1">
        <v>45998</v>
      </c>
      <c r="D187" s="1">
        <v>46000</v>
      </c>
      <c r="E187">
        <v>1530513</v>
      </c>
      <c r="F187">
        <v>1530515</v>
      </c>
      <c r="G187">
        <v>-2</v>
      </c>
      <c r="H187">
        <v>1530515</v>
      </c>
      <c r="I187">
        <v>2</v>
      </c>
      <c r="J187" t="s">
        <v>53</v>
      </c>
      <c r="K187" t="str">
        <f t="shared" si="2"/>
        <v>OK</v>
      </c>
    </row>
    <row r="188" spans="1:11" x14ac:dyDescent="0.3">
      <c r="A188">
        <v>7</v>
      </c>
      <c r="B188">
        <v>16</v>
      </c>
      <c r="C188" s="1">
        <v>46030</v>
      </c>
      <c r="D188" s="1">
        <v>46030</v>
      </c>
      <c r="E188">
        <v>514429</v>
      </c>
      <c r="F188">
        <v>514429</v>
      </c>
      <c r="G188">
        <v>0</v>
      </c>
      <c r="H188">
        <v>514429</v>
      </c>
      <c r="I188">
        <v>0</v>
      </c>
      <c r="J188" t="s">
        <v>53</v>
      </c>
      <c r="K188" t="str">
        <f t="shared" si="2"/>
        <v>OK</v>
      </c>
    </row>
    <row r="189" spans="1:11" x14ac:dyDescent="0.3">
      <c r="A189">
        <v>8</v>
      </c>
      <c r="B189">
        <v>16</v>
      </c>
      <c r="C189" s="1">
        <v>46057</v>
      </c>
      <c r="D189" s="1">
        <v>46057</v>
      </c>
      <c r="E189">
        <v>176258</v>
      </c>
      <c r="F189">
        <v>176259</v>
      </c>
      <c r="G189">
        <v>-1</v>
      </c>
      <c r="H189">
        <v>176259</v>
      </c>
      <c r="I189">
        <v>0</v>
      </c>
      <c r="J189" t="s">
        <v>53</v>
      </c>
      <c r="K189" t="str">
        <f t="shared" si="2"/>
        <v>OK</v>
      </c>
    </row>
    <row r="190" spans="1:11" x14ac:dyDescent="0.3">
      <c r="A190">
        <v>9</v>
      </c>
      <c r="B190">
        <v>16</v>
      </c>
      <c r="C190" s="1">
        <v>46109</v>
      </c>
      <c r="D190" s="1">
        <v>46106</v>
      </c>
      <c r="E190">
        <v>138889</v>
      </c>
      <c r="F190">
        <v>138891</v>
      </c>
      <c r="G190">
        <v>-2</v>
      </c>
      <c r="H190">
        <v>138891</v>
      </c>
      <c r="I190">
        <v>-3</v>
      </c>
      <c r="J190" t="s">
        <v>53</v>
      </c>
      <c r="K190" t="str">
        <f t="shared" si="2"/>
        <v>OK</v>
      </c>
    </row>
    <row r="191" spans="1:11" x14ac:dyDescent="0.3">
      <c r="A191">
        <v>10</v>
      </c>
      <c r="B191">
        <v>16</v>
      </c>
      <c r="C191" s="1">
        <v>46134</v>
      </c>
      <c r="D191" s="1">
        <v>46131</v>
      </c>
      <c r="E191">
        <v>142946</v>
      </c>
      <c r="F191">
        <v>142951</v>
      </c>
      <c r="G191">
        <v>-5</v>
      </c>
      <c r="H191">
        <v>142951</v>
      </c>
      <c r="I191">
        <v>-3</v>
      </c>
      <c r="J191" t="s">
        <v>53</v>
      </c>
      <c r="K191" t="str">
        <f t="shared" si="2"/>
        <v>OK</v>
      </c>
    </row>
    <row r="192" spans="1:11" x14ac:dyDescent="0.3">
      <c r="A192">
        <v>11</v>
      </c>
      <c r="B192">
        <v>16</v>
      </c>
      <c r="C192" s="1">
        <v>46165</v>
      </c>
      <c r="D192" s="1">
        <v>46164</v>
      </c>
      <c r="E192">
        <v>124588</v>
      </c>
      <c r="F192">
        <v>124586</v>
      </c>
      <c r="G192">
        <v>2</v>
      </c>
      <c r="H192">
        <v>124586</v>
      </c>
      <c r="I192">
        <v>-1</v>
      </c>
      <c r="J192" t="s">
        <v>53</v>
      </c>
      <c r="K192" t="str">
        <f t="shared" si="2"/>
        <v>OK</v>
      </c>
    </row>
    <row r="193" spans="1:11" x14ac:dyDescent="0.3">
      <c r="A193">
        <v>12</v>
      </c>
      <c r="B193">
        <v>16</v>
      </c>
      <c r="C193" s="1">
        <v>46165</v>
      </c>
      <c r="D193" s="1">
        <v>46168</v>
      </c>
      <c r="E193">
        <v>93246</v>
      </c>
      <c r="F193">
        <v>93246</v>
      </c>
      <c r="G193">
        <v>0</v>
      </c>
      <c r="H193">
        <v>93246</v>
      </c>
      <c r="I193">
        <v>3</v>
      </c>
      <c r="J193" t="s">
        <v>53</v>
      </c>
      <c r="K193" t="str">
        <f t="shared" si="2"/>
        <v>OK</v>
      </c>
    </row>
    <row r="194" spans="1:11" x14ac:dyDescent="0.3">
      <c r="A194">
        <v>1</v>
      </c>
      <c r="B194">
        <v>17</v>
      </c>
      <c r="C194" s="1">
        <v>45814</v>
      </c>
      <c r="D194" s="1">
        <v>45812</v>
      </c>
      <c r="E194">
        <v>220082</v>
      </c>
      <c r="F194">
        <v>220084</v>
      </c>
      <c r="G194">
        <v>-2</v>
      </c>
      <c r="H194">
        <v>220084</v>
      </c>
      <c r="I194">
        <v>-2</v>
      </c>
      <c r="J194" t="s">
        <v>53</v>
      </c>
      <c r="K194" t="str">
        <f t="shared" ref="K194:K257" si="3">IF(AND(J194="Unpaid",D194&lt;&gt;""),"Review: Unpaid with payment date",IF(AND(J194="Paid",D194=""),"Review: Paid without payment date","OK"))</f>
        <v>OK</v>
      </c>
    </row>
    <row r="195" spans="1:11" x14ac:dyDescent="0.3">
      <c r="A195">
        <v>2</v>
      </c>
      <c r="B195">
        <v>17</v>
      </c>
      <c r="C195" s="1">
        <v>45877</v>
      </c>
      <c r="D195" s="1">
        <v>45874</v>
      </c>
      <c r="E195">
        <v>1423230</v>
      </c>
      <c r="F195">
        <v>1423232</v>
      </c>
      <c r="G195">
        <v>-2</v>
      </c>
      <c r="H195">
        <v>1423232</v>
      </c>
      <c r="I195">
        <v>-3</v>
      </c>
      <c r="J195" t="s">
        <v>53</v>
      </c>
      <c r="K195" t="str">
        <f t="shared" si="3"/>
        <v>OK</v>
      </c>
    </row>
    <row r="196" spans="1:11" x14ac:dyDescent="0.3">
      <c r="A196">
        <v>3</v>
      </c>
      <c r="B196">
        <v>17</v>
      </c>
      <c r="C196" s="1">
        <v>45877</v>
      </c>
      <c r="D196" s="1">
        <v>45878</v>
      </c>
      <c r="E196">
        <v>2410027</v>
      </c>
      <c r="F196">
        <v>2410026</v>
      </c>
      <c r="G196">
        <v>1</v>
      </c>
      <c r="H196">
        <v>2410026</v>
      </c>
      <c r="I196">
        <v>1</v>
      </c>
      <c r="J196" t="s">
        <v>53</v>
      </c>
      <c r="K196" t="str">
        <f t="shared" si="3"/>
        <v>OK</v>
      </c>
    </row>
    <row r="197" spans="1:11" x14ac:dyDescent="0.3">
      <c r="A197">
        <v>4</v>
      </c>
      <c r="B197">
        <v>17</v>
      </c>
      <c r="C197" s="1">
        <v>45912</v>
      </c>
      <c r="D197" s="1">
        <v>45912</v>
      </c>
      <c r="E197">
        <v>2762884</v>
      </c>
      <c r="F197">
        <v>2762887</v>
      </c>
      <c r="G197">
        <v>-3</v>
      </c>
      <c r="H197">
        <v>2762887</v>
      </c>
      <c r="I197">
        <v>0</v>
      </c>
      <c r="J197" t="s">
        <v>53</v>
      </c>
      <c r="K197" t="str">
        <f t="shared" si="3"/>
        <v>OK</v>
      </c>
    </row>
    <row r="198" spans="1:11" x14ac:dyDescent="0.3">
      <c r="A198">
        <v>5</v>
      </c>
      <c r="B198">
        <v>17</v>
      </c>
      <c r="C198" s="1">
        <v>45945</v>
      </c>
      <c r="D198" s="1">
        <v>46219</v>
      </c>
      <c r="E198">
        <v>1923920</v>
      </c>
      <c r="G198">
        <v>1923920</v>
      </c>
      <c r="H198">
        <v>0</v>
      </c>
      <c r="I198">
        <v>274</v>
      </c>
      <c r="J198" t="s">
        <v>55</v>
      </c>
      <c r="K198" t="str">
        <f t="shared" si="3"/>
        <v>Review: Unpaid with payment date</v>
      </c>
    </row>
    <row r="199" spans="1:11" x14ac:dyDescent="0.3">
      <c r="A199">
        <v>6</v>
      </c>
      <c r="B199">
        <v>17</v>
      </c>
      <c r="C199" s="1">
        <v>45968</v>
      </c>
      <c r="D199" s="1">
        <v>45968</v>
      </c>
      <c r="E199">
        <v>1752645</v>
      </c>
      <c r="F199">
        <v>1752647</v>
      </c>
      <c r="G199">
        <v>-2</v>
      </c>
      <c r="H199">
        <v>1752647</v>
      </c>
      <c r="I199">
        <v>0</v>
      </c>
      <c r="J199" t="s">
        <v>53</v>
      </c>
      <c r="K199" t="str">
        <f t="shared" si="3"/>
        <v>OK</v>
      </c>
    </row>
    <row r="200" spans="1:11" x14ac:dyDescent="0.3">
      <c r="A200">
        <v>7</v>
      </c>
      <c r="B200">
        <v>17</v>
      </c>
      <c r="C200" s="1">
        <v>46004</v>
      </c>
      <c r="D200" s="1">
        <v>46006</v>
      </c>
      <c r="E200">
        <v>617013</v>
      </c>
      <c r="F200">
        <v>617017</v>
      </c>
      <c r="G200">
        <v>-4</v>
      </c>
      <c r="H200">
        <v>617017</v>
      </c>
      <c r="I200">
        <v>2</v>
      </c>
      <c r="J200" t="s">
        <v>53</v>
      </c>
      <c r="K200" t="str">
        <f t="shared" si="3"/>
        <v>OK</v>
      </c>
    </row>
    <row r="201" spans="1:11" x14ac:dyDescent="0.3">
      <c r="A201">
        <v>8</v>
      </c>
      <c r="B201">
        <v>17</v>
      </c>
      <c r="C201" s="1">
        <v>46033</v>
      </c>
      <c r="D201" s="1">
        <v>46219</v>
      </c>
      <c r="E201">
        <v>238458</v>
      </c>
      <c r="G201">
        <v>238458</v>
      </c>
      <c r="H201">
        <v>0</v>
      </c>
      <c r="I201">
        <v>186</v>
      </c>
      <c r="J201" t="s">
        <v>55</v>
      </c>
      <c r="K201" t="str">
        <f t="shared" si="3"/>
        <v>Review: Unpaid with payment date</v>
      </c>
    </row>
    <row r="202" spans="1:11" x14ac:dyDescent="0.3">
      <c r="A202">
        <v>9</v>
      </c>
      <c r="B202">
        <v>17</v>
      </c>
      <c r="C202" s="1">
        <v>46056</v>
      </c>
      <c r="D202" s="1">
        <v>46219</v>
      </c>
      <c r="E202">
        <v>173598</v>
      </c>
      <c r="G202">
        <v>173598</v>
      </c>
      <c r="H202">
        <v>0</v>
      </c>
      <c r="I202">
        <v>163</v>
      </c>
      <c r="J202" t="s">
        <v>55</v>
      </c>
      <c r="K202" t="str">
        <f t="shared" si="3"/>
        <v>Review: Unpaid with payment date</v>
      </c>
    </row>
    <row r="203" spans="1:11" x14ac:dyDescent="0.3">
      <c r="A203">
        <v>10</v>
      </c>
      <c r="B203">
        <v>17</v>
      </c>
      <c r="C203" s="1">
        <v>45724</v>
      </c>
      <c r="D203" s="1">
        <v>45727</v>
      </c>
      <c r="E203">
        <v>225900</v>
      </c>
      <c r="F203">
        <v>225897</v>
      </c>
      <c r="G203">
        <v>3</v>
      </c>
      <c r="H203">
        <v>225897</v>
      </c>
      <c r="I203">
        <v>3</v>
      </c>
      <c r="J203" t="s">
        <v>53</v>
      </c>
      <c r="K203" t="str">
        <f t="shared" si="3"/>
        <v>OK</v>
      </c>
    </row>
    <row r="204" spans="1:11" x14ac:dyDescent="0.3">
      <c r="A204">
        <v>11</v>
      </c>
      <c r="B204">
        <v>17</v>
      </c>
      <c r="C204" s="1">
        <v>45768</v>
      </c>
      <c r="D204" s="1">
        <v>45767</v>
      </c>
      <c r="E204">
        <v>167285</v>
      </c>
      <c r="F204">
        <v>167280</v>
      </c>
      <c r="G204">
        <v>5</v>
      </c>
      <c r="H204">
        <v>167280</v>
      </c>
      <c r="I204">
        <v>-1</v>
      </c>
      <c r="J204" t="s">
        <v>53</v>
      </c>
      <c r="K204" t="str">
        <f t="shared" si="3"/>
        <v>OK</v>
      </c>
    </row>
    <row r="205" spans="1:11" x14ac:dyDescent="0.3">
      <c r="A205">
        <v>12</v>
      </c>
      <c r="B205">
        <v>17</v>
      </c>
      <c r="C205" s="1">
        <v>46148</v>
      </c>
      <c r="D205" s="1">
        <v>46148</v>
      </c>
      <c r="E205">
        <v>129707</v>
      </c>
      <c r="F205">
        <v>129708</v>
      </c>
      <c r="G205">
        <v>-1</v>
      </c>
      <c r="H205">
        <v>129708</v>
      </c>
      <c r="I205">
        <v>0</v>
      </c>
      <c r="J205" t="s">
        <v>53</v>
      </c>
      <c r="K205" t="str">
        <f t="shared" si="3"/>
        <v>OK</v>
      </c>
    </row>
    <row r="206" spans="1:11" x14ac:dyDescent="0.3">
      <c r="A206">
        <v>1</v>
      </c>
      <c r="B206">
        <v>18</v>
      </c>
      <c r="C206" s="1">
        <v>45764</v>
      </c>
      <c r="D206" s="1">
        <v>45764</v>
      </c>
      <c r="E206">
        <v>155912</v>
      </c>
      <c r="F206">
        <v>155908</v>
      </c>
      <c r="G206">
        <v>4</v>
      </c>
      <c r="H206">
        <v>155908</v>
      </c>
      <c r="I206">
        <v>0</v>
      </c>
      <c r="J206" t="s">
        <v>53</v>
      </c>
      <c r="K206" t="str">
        <f t="shared" si="3"/>
        <v>OK</v>
      </c>
    </row>
    <row r="207" spans="1:11" x14ac:dyDescent="0.3">
      <c r="A207">
        <v>2</v>
      </c>
      <c r="B207">
        <v>18</v>
      </c>
      <c r="C207" s="1">
        <v>45827</v>
      </c>
      <c r="D207" s="1">
        <v>45825</v>
      </c>
      <c r="E207">
        <v>331761</v>
      </c>
      <c r="F207">
        <v>331763</v>
      </c>
      <c r="G207">
        <v>-2</v>
      </c>
      <c r="H207">
        <v>331763</v>
      </c>
      <c r="I207">
        <v>-2</v>
      </c>
      <c r="J207" t="s">
        <v>53</v>
      </c>
      <c r="K207" t="str">
        <f t="shared" si="3"/>
        <v>OK</v>
      </c>
    </row>
    <row r="208" spans="1:11" x14ac:dyDescent="0.3">
      <c r="A208">
        <v>3</v>
      </c>
      <c r="B208">
        <v>18</v>
      </c>
      <c r="C208" s="1">
        <v>45827</v>
      </c>
      <c r="D208" s="1">
        <v>45824</v>
      </c>
      <c r="E208">
        <v>659715</v>
      </c>
      <c r="F208">
        <v>659712</v>
      </c>
      <c r="G208">
        <v>3</v>
      </c>
      <c r="H208">
        <v>659712</v>
      </c>
      <c r="I208">
        <v>-3</v>
      </c>
      <c r="J208" t="s">
        <v>53</v>
      </c>
      <c r="K208" t="str">
        <f t="shared" si="3"/>
        <v>OK</v>
      </c>
    </row>
    <row r="209" spans="1:11" x14ac:dyDescent="0.3">
      <c r="A209">
        <v>4</v>
      </c>
      <c r="B209">
        <v>18</v>
      </c>
      <c r="C209" s="1">
        <v>45862</v>
      </c>
      <c r="D209" s="1">
        <v>45861</v>
      </c>
      <c r="E209">
        <v>945610</v>
      </c>
      <c r="F209">
        <v>945612</v>
      </c>
      <c r="G209">
        <v>-2</v>
      </c>
      <c r="H209">
        <v>945612</v>
      </c>
      <c r="I209">
        <v>-1</v>
      </c>
      <c r="J209" t="s">
        <v>53</v>
      </c>
      <c r="K209" t="str">
        <f t="shared" si="3"/>
        <v>OK</v>
      </c>
    </row>
    <row r="210" spans="1:11" x14ac:dyDescent="0.3">
      <c r="A210">
        <v>5</v>
      </c>
      <c r="B210">
        <v>18</v>
      </c>
      <c r="C210" s="1">
        <v>45895</v>
      </c>
      <c r="D210" s="1">
        <v>46219</v>
      </c>
      <c r="E210">
        <v>876106</v>
      </c>
      <c r="G210">
        <v>876106</v>
      </c>
      <c r="H210">
        <v>0</v>
      </c>
      <c r="I210">
        <v>324</v>
      </c>
      <c r="J210" t="s">
        <v>55</v>
      </c>
      <c r="K210" t="str">
        <f t="shared" si="3"/>
        <v>Review: Unpaid with payment date</v>
      </c>
    </row>
    <row r="211" spans="1:11" x14ac:dyDescent="0.3">
      <c r="A211">
        <v>6</v>
      </c>
      <c r="B211">
        <v>18</v>
      </c>
      <c r="C211" s="1">
        <v>45918</v>
      </c>
      <c r="D211" s="1">
        <v>46219</v>
      </c>
      <c r="E211">
        <v>534173</v>
      </c>
      <c r="G211">
        <v>534173</v>
      </c>
      <c r="H211">
        <v>0</v>
      </c>
      <c r="I211">
        <v>301</v>
      </c>
      <c r="J211" t="s">
        <v>55</v>
      </c>
      <c r="K211" t="str">
        <f t="shared" si="3"/>
        <v>Review: Unpaid with payment date</v>
      </c>
    </row>
    <row r="212" spans="1:11" x14ac:dyDescent="0.3">
      <c r="A212">
        <v>7</v>
      </c>
      <c r="B212">
        <v>18</v>
      </c>
      <c r="C212" s="1">
        <v>45954</v>
      </c>
      <c r="D212" s="1">
        <v>46219</v>
      </c>
      <c r="E212">
        <v>288411</v>
      </c>
      <c r="G212">
        <v>288411</v>
      </c>
      <c r="H212">
        <v>0</v>
      </c>
      <c r="I212">
        <v>265</v>
      </c>
      <c r="J212" t="s">
        <v>55</v>
      </c>
      <c r="K212" t="str">
        <f t="shared" si="3"/>
        <v>Review: Unpaid with payment date</v>
      </c>
    </row>
    <row r="213" spans="1:11" x14ac:dyDescent="0.3">
      <c r="A213">
        <v>8</v>
      </c>
      <c r="B213">
        <v>18</v>
      </c>
      <c r="C213" s="1">
        <v>45983</v>
      </c>
      <c r="D213" s="1">
        <v>46219</v>
      </c>
      <c r="E213">
        <v>254387</v>
      </c>
      <c r="G213">
        <v>254387</v>
      </c>
      <c r="H213">
        <v>0</v>
      </c>
      <c r="I213">
        <v>236</v>
      </c>
      <c r="J213" t="s">
        <v>55</v>
      </c>
      <c r="K213" t="str">
        <f t="shared" si="3"/>
        <v>Review: Unpaid with payment date</v>
      </c>
    </row>
    <row r="214" spans="1:11" x14ac:dyDescent="0.3">
      <c r="A214">
        <v>9</v>
      </c>
      <c r="B214">
        <v>18</v>
      </c>
      <c r="C214" s="1">
        <v>46006</v>
      </c>
      <c r="D214" s="1">
        <v>46219</v>
      </c>
      <c r="E214">
        <v>420289</v>
      </c>
      <c r="G214">
        <v>420289</v>
      </c>
      <c r="H214">
        <v>0</v>
      </c>
      <c r="I214">
        <v>213</v>
      </c>
      <c r="J214" t="s">
        <v>55</v>
      </c>
      <c r="K214" t="str">
        <f t="shared" si="3"/>
        <v>Review: Unpaid with payment date</v>
      </c>
    </row>
    <row r="215" spans="1:11" x14ac:dyDescent="0.3">
      <c r="A215">
        <v>10</v>
      </c>
      <c r="B215">
        <v>18</v>
      </c>
      <c r="C215" s="1">
        <v>45674</v>
      </c>
      <c r="D215" s="1">
        <v>46219</v>
      </c>
      <c r="E215">
        <v>135913</v>
      </c>
      <c r="G215">
        <v>135913</v>
      </c>
      <c r="H215">
        <v>0</v>
      </c>
      <c r="I215">
        <v>545</v>
      </c>
      <c r="J215" t="s">
        <v>55</v>
      </c>
      <c r="K215" t="str">
        <f t="shared" si="3"/>
        <v>Review: Unpaid with payment date</v>
      </c>
    </row>
    <row r="216" spans="1:11" x14ac:dyDescent="0.3">
      <c r="A216">
        <v>11</v>
      </c>
      <c r="B216">
        <v>18</v>
      </c>
      <c r="C216" s="1">
        <v>45718</v>
      </c>
      <c r="D216" s="1">
        <v>46219</v>
      </c>
      <c r="E216">
        <v>92377</v>
      </c>
      <c r="G216">
        <v>92377</v>
      </c>
      <c r="H216">
        <v>0</v>
      </c>
      <c r="I216">
        <v>501</v>
      </c>
      <c r="J216" t="s">
        <v>55</v>
      </c>
      <c r="K216" t="str">
        <f t="shared" si="3"/>
        <v>Review: Unpaid with payment date</v>
      </c>
    </row>
    <row r="217" spans="1:11" x14ac:dyDescent="0.3">
      <c r="A217">
        <v>12</v>
      </c>
      <c r="B217">
        <v>18</v>
      </c>
      <c r="C217" s="1">
        <v>46098</v>
      </c>
      <c r="D217" s="1">
        <v>46098</v>
      </c>
      <c r="E217">
        <v>129385</v>
      </c>
      <c r="F217">
        <v>129389</v>
      </c>
      <c r="G217">
        <v>-4</v>
      </c>
      <c r="H217">
        <v>129389</v>
      </c>
      <c r="I217">
        <v>0</v>
      </c>
      <c r="J217" t="s">
        <v>53</v>
      </c>
      <c r="K217" t="str">
        <f t="shared" si="3"/>
        <v>OK</v>
      </c>
    </row>
    <row r="218" spans="1:11" x14ac:dyDescent="0.3">
      <c r="A218">
        <v>1</v>
      </c>
      <c r="B218">
        <v>19</v>
      </c>
      <c r="C218" s="1">
        <v>45761</v>
      </c>
      <c r="D218" s="1">
        <v>45760</v>
      </c>
      <c r="E218">
        <v>331670</v>
      </c>
      <c r="F218">
        <v>331674</v>
      </c>
      <c r="G218">
        <v>-4</v>
      </c>
      <c r="H218">
        <v>331674</v>
      </c>
      <c r="I218">
        <v>-1</v>
      </c>
      <c r="J218" t="s">
        <v>53</v>
      </c>
      <c r="K218" t="str">
        <f t="shared" si="3"/>
        <v>OK</v>
      </c>
    </row>
    <row r="219" spans="1:11" x14ac:dyDescent="0.3">
      <c r="A219">
        <v>2</v>
      </c>
      <c r="B219">
        <v>19</v>
      </c>
      <c r="C219" s="1">
        <v>45824</v>
      </c>
      <c r="D219" s="1">
        <v>45826</v>
      </c>
      <c r="E219">
        <v>652753</v>
      </c>
      <c r="F219">
        <v>652749</v>
      </c>
      <c r="G219">
        <v>4</v>
      </c>
      <c r="H219">
        <v>652749</v>
      </c>
      <c r="I219">
        <v>2</v>
      </c>
      <c r="J219" t="s">
        <v>53</v>
      </c>
      <c r="K219" t="str">
        <f t="shared" si="3"/>
        <v>OK</v>
      </c>
    </row>
    <row r="220" spans="1:11" x14ac:dyDescent="0.3">
      <c r="A220">
        <v>3</v>
      </c>
      <c r="B220">
        <v>19</v>
      </c>
      <c r="C220" s="1">
        <v>45824</v>
      </c>
      <c r="D220" s="1">
        <v>45826</v>
      </c>
      <c r="E220">
        <v>2004679</v>
      </c>
      <c r="F220">
        <v>2004683</v>
      </c>
      <c r="G220">
        <v>-4</v>
      </c>
      <c r="H220">
        <v>2004683</v>
      </c>
      <c r="I220">
        <v>2</v>
      </c>
      <c r="J220" t="s">
        <v>53</v>
      </c>
      <c r="K220" t="str">
        <f t="shared" si="3"/>
        <v>OK</v>
      </c>
    </row>
    <row r="221" spans="1:11" x14ac:dyDescent="0.3">
      <c r="A221">
        <v>4</v>
      </c>
      <c r="B221">
        <v>19</v>
      </c>
      <c r="C221" s="1">
        <v>45859</v>
      </c>
      <c r="D221" s="1">
        <v>45858</v>
      </c>
      <c r="E221">
        <v>2554186</v>
      </c>
      <c r="F221">
        <v>2554185</v>
      </c>
      <c r="G221">
        <v>1</v>
      </c>
      <c r="H221">
        <v>2554185</v>
      </c>
      <c r="I221">
        <v>-1</v>
      </c>
      <c r="J221" t="s">
        <v>53</v>
      </c>
      <c r="K221" t="str">
        <f t="shared" si="3"/>
        <v>OK</v>
      </c>
    </row>
    <row r="222" spans="1:11" x14ac:dyDescent="0.3">
      <c r="A222">
        <v>5</v>
      </c>
      <c r="B222">
        <v>19</v>
      </c>
      <c r="C222" s="1">
        <v>45892</v>
      </c>
      <c r="D222" s="1">
        <v>45892</v>
      </c>
      <c r="E222">
        <v>1594359</v>
      </c>
      <c r="F222">
        <v>1594362</v>
      </c>
      <c r="G222">
        <v>-3</v>
      </c>
      <c r="H222">
        <v>1594362</v>
      </c>
      <c r="I222">
        <v>0</v>
      </c>
      <c r="J222" t="s">
        <v>53</v>
      </c>
      <c r="K222" t="str">
        <f t="shared" si="3"/>
        <v>OK</v>
      </c>
    </row>
    <row r="223" spans="1:11" x14ac:dyDescent="0.3">
      <c r="A223">
        <v>6</v>
      </c>
      <c r="B223">
        <v>19</v>
      </c>
      <c r="C223" s="1">
        <v>45915</v>
      </c>
      <c r="D223" s="1">
        <v>45914</v>
      </c>
      <c r="E223">
        <v>928727</v>
      </c>
      <c r="F223">
        <v>928722</v>
      </c>
      <c r="G223">
        <v>5</v>
      </c>
      <c r="H223">
        <v>928722</v>
      </c>
      <c r="I223">
        <v>-1</v>
      </c>
      <c r="J223" t="s">
        <v>53</v>
      </c>
      <c r="K223" t="str">
        <f t="shared" si="3"/>
        <v>OK</v>
      </c>
    </row>
    <row r="224" spans="1:11" x14ac:dyDescent="0.3">
      <c r="A224">
        <v>7</v>
      </c>
      <c r="B224">
        <v>19</v>
      </c>
      <c r="C224" s="1">
        <v>45951</v>
      </c>
      <c r="D224" s="1">
        <v>45953</v>
      </c>
      <c r="E224">
        <v>530048</v>
      </c>
      <c r="F224">
        <v>530045</v>
      </c>
      <c r="G224">
        <v>3</v>
      </c>
      <c r="H224">
        <v>530045</v>
      </c>
      <c r="I224">
        <v>2</v>
      </c>
      <c r="J224" t="s">
        <v>53</v>
      </c>
      <c r="K224" t="str">
        <f t="shared" si="3"/>
        <v>OK</v>
      </c>
    </row>
    <row r="225" spans="1:11" x14ac:dyDescent="0.3">
      <c r="A225">
        <v>8</v>
      </c>
      <c r="B225">
        <v>19</v>
      </c>
      <c r="C225" s="1">
        <v>45980</v>
      </c>
      <c r="D225" s="1">
        <v>45978</v>
      </c>
      <c r="E225">
        <v>518980</v>
      </c>
      <c r="F225">
        <v>518975</v>
      </c>
      <c r="G225">
        <v>5</v>
      </c>
      <c r="H225">
        <v>518975</v>
      </c>
      <c r="I225">
        <v>-2</v>
      </c>
      <c r="J225" t="s">
        <v>53</v>
      </c>
      <c r="K225" t="str">
        <f t="shared" si="3"/>
        <v>OK</v>
      </c>
    </row>
    <row r="226" spans="1:11" x14ac:dyDescent="0.3">
      <c r="A226">
        <v>9</v>
      </c>
      <c r="B226">
        <v>19</v>
      </c>
      <c r="C226" s="1">
        <v>46003</v>
      </c>
      <c r="D226" s="1">
        <v>46004</v>
      </c>
      <c r="E226">
        <v>814689</v>
      </c>
      <c r="F226">
        <v>814692</v>
      </c>
      <c r="G226">
        <v>-3</v>
      </c>
      <c r="H226">
        <v>814692</v>
      </c>
      <c r="I226">
        <v>1</v>
      </c>
      <c r="J226" t="s">
        <v>53</v>
      </c>
      <c r="K226" t="str">
        <f t="shared" si="3"/>
        <v>OK</v>
      </c>
    </row>
    <row r="227" spans="1:11" x14ac:dyDescent="0.3">
      <c r="A227">
        <v>10</v>
      </c>
      <c r="B227">
        <v>19</v>
      </c>
      <c r="C227" s="1">
        <v>45671</v>
      </c>
      <c r="D227" s="1">
        <v>45668</v>
      </c>
      <c r="E227">
        <v>317984</v>
      </c>
      <c r="F227">
        <v>317982</v>
      </c>
      <c r="G227">
        <v>2</v>
      </c>
      <c r="H227">
        <v>317982</v>
      </c>
      <c r="I227">
        <v>-3</v>
      </c>
      <c r="J227" t="s">
        <v>53</v>
      </c>
      <c r="K227" t="str">
        <f t="shared" si="3"/>
        <v>OK</v>
      </c>
    </row>
    <row r="228" spans="1:11" x14ac:dyDescent="0.3">
      <c r="A228">
        <v>11</v>
      </c>
      <c r="B228">
        <v>19</v>
      </c>
      <c r="C228" s="1">
        <v>45715</v>
      </c>
      <c r="D228" s="1">
        <v>45714</v>
      </c>
      <c r="E228">
        <v>220294</v>
      </c>
      <c r="F228">
        <v>220292</v>
      </c>
      <c r="G228">
        <v>2</v>
      </c>
      <c r="H228">
        <v>220292</v>
      </c>
      <c r="I228">
        <v>-1</v>
      </c>
      <c r="J228" t="s">
        <v>53</v>
      </c>
      <c r="K228" t="str">
        <f t="shared" si="3"/>
        <v>OK</v>
      </c>
    </row>
    <row r="229" spans="1:11" x14ac:dyDescent="0.3">
      <c r="A229">
        <v>12</v>
      </c>
      <c r="B229">
        <v>19</v>
      </c>
      <c r="C229" s="1">
        <v>46095</v>
      </c>
      <c r="D229" s="1">
        <v>46098</v>
      </c>
      <c r="E229">
        <v>278209</v>
      </c>
      <c r="F229">
        <v>278204</v>
      </c>
      <c r="G229">
        <v>5</v>
      </c>
      <c r="H229">
        <v>278204</v>
      </c>
      <c r="I229">
        <v>3</v>
      </c>
      <c r="J229" t="s">
        <v>53</v>
      </c>
      <c r="K229" t="str">
        <f t="shared" si="3"/>
        <v>OK</v>
      </c>
    </row>
    <row r="230" spans="1:11" x14ac:dyDescent="0.3">
      <c r="A230">
        <v>1</v>
      </c>
      <c r="B230">
        <v>20</v>
      </c>
      <c r="C230" s="1">
        <v>45774</v>
      </c>
      <c r="D230" s="1">
        <v>45772</v>
      </c>
      <c r="E230">
        <v>121345</v>
      </c>
      <c r="F230">
        <v>121340</v>
      </c>
      <c r="G230">
        <v>5</v>
      </c>
      <c r="H230">
        <v>121340</v>
      </c>
      <c r="I230">
        <v>-2</v>
      </c>
      <c r="J230" t="s">
        <v>53</v>
      </c>
      <c r="K230" t="str">
        <f t="shared" si="3"/>
        <v>OK</v>
      </c>
    </row>
    <row r="231" spans="1:11" x14ac:dyDescent="0.3">
      <c r="A231">
        <v>2</v>
      </c>
      <c r="B231">
        <v>20</v>
      </c>
      <c r="C231" s="1">
        <v>45837</v>
      </c>
      <c r="D231" s="1">
        <v>45837</v>
      </c>
      <c r="E231">
        <v>541393</v>
      </c>
      <c r="F231">
        <v>541388</v>
      </c>
      <c r="G231">
        <v>5</v>
      </c>
      <c r="H231">
        <v>541388</v>
      </c>
      <c r="I231">
        <v>0</v>
      </c>
      <c r="J231" t="s">
        <v>53</v>
      </c>
      <c r="K231" t="str">
        <f t="shared" si="3"/>
        <v>OK</v>
      </c>
    </row>
    <row r="232" spans="1:11" x14ac:dyDescent="0.3">
      <c r="A232">
        <v>3</v>
      </c>
      <c r="B232">
        <v>20</v>
      </c>
      <c r="C232" s="1">
        <v>45837</v>
      </c>
      <c r="D232" s="1">
        <v>45838</v>
      </c>
      <c r="E232">
        <v>892006</v>
      </c>
      <c r="F232">
        <v>892004</v>
      </c>
      <c r="G232">
        <v>2</v>
      </c>
      <c r="H232">
        <v>892004</v>
      </c>
      <c r="I232">
        <v>1</v>
      </c>
      <c r="J232" t="s">
        <v>53</v>
      </c>
      <c r="K232" t="str">
        <f t="shared" si="3"/>
        <v>OK</v>
      </c>
    </row>
    <row r="233" spans="1:11" x14ac:dyDescent="0.3">
      <c r="A233">
        <v>4</v>
      </c>
      <c r="B233">
        <v>20</v>
      </c>
      <c r="C233" s="1">
        <v>45872</v>
      </c>
      <c r="D233" s="1">
        <v>45871</v>
      </c>
      <c r="E233">
        <v>1121674</v>
      </c>
      <c r="F233">
        <v>1121671</v>
      </c>
      <c r="G233">
        <v>3</v>
      </c>
      <c r="H233">
        <v>1121671</v>
      </c>
      <c r="I233">
        <v>-1</v>
      </c>
      <c r="J233" t="s">
        <v>53</v>
      </c>
      <c r="K233" t="str">
        <f t="shared" si="3"/>
        <v>OK</v>
      </c>
    </row>
    <row r="234" spans="1:11" x14ac:dyDescent="0.3">
      <c r="A234">
        <v>5</v>
      </c>
      <c r="B234">
        <v>20</v>
      </c>
      <c r="C234" s="1">
        <v>45905</v>
      </c>
      <c r="D234" s="1">
        <v>46219</v>
      </c>
      <c r="E234">
        <v>746771</v>
      </c>
      <c r="G234">
        <v>746771</v>
      </c>
      <c r="H234">
        <v>0</v>
      </c>
      <c r="I234">
        <v>314</v>
      </c>
      <c r="J234" t="s">
        <v>55</v>
      </c>
      <c r="K234" t="str">
        <f t="shared" si="3"/>
        <v>Review: Unpaid with payment date</v>
      </c>
    </row>
    <row r="235" spans="1:11" x14ac:dyDescent="0.3">
      <c r="A235">
        <v>6</v>
      </c>
      <c r="B235">
        <v>20</v>
      </c>
      <c r="C235" s="1">
        <v>45928</v>
      </c>
      <c r="D235" s="1">
        <v>45925</v>
      </c>
      <c r="E235">
        <v>755129</v>
      </c>
      <c r="F235">
        <v>755127</v>
      </c>
      <c r="G235">
        <v>2</v>
      </c>
      <c r="H235">
        <v>755127</v>
      </c>
      <c r="I235">
        <v>-3</v>
      </c>
      <c r="J235" t="s">
        <v>53</v>
      </c>
      <c r="K235" t="str">
        <f t="shared" si="3"/>
        <v>OK</v>
      </c>
    </row>
    <row r="236" spans="1:11" x14ac:dyDescent="0.3">
      <c r="A236">
        <v>7</v>
      </c>
      <c r="B236">
        <v>20</v>
      </c>
      <c r="C236" s="1">
        <v>45964</v>
      </c>
      <c r="D236" s="1">
        <v>45961</v>
      </c>
      <c r="E236">
        <v>222457</v>
      </c>
      <c r="F236">
        <v>222459</v>
      </c>
      <c r="G236">
        <v>-2</v>
      </c>
      <c r="H236">
        <v>222459</v>
      </c>
      <c r="I236">
        <v>-3</v>
      </c>
      <c r="J236" t="s">
        <v>53</v>
      </c>
      <c r="K236" t="str">
        <f t="shared" si="3"/>
        <v>OK</v>
      </c>
    </row>
    <row r="237" spans="1:11" x14ac:dyDescent="0.3">
      <c r="A237">
        <v>8</v>
      </c>
      <c r="B237">
        <v>20</v>
      </c>
      <c r="C237" s="1">
        <v>45993</v>
      </c>
      <c r="D237" s="1">
        <v>46219</v>
      </c>
      <c r="E237">
        <v>45829</v>
      </c>
      <c r="G237">
        <v>45829</v>
      </c>
      <c r="H237">
        <v>0</v>
      </c>
      <c r="I237">
        <v>226</v>
      </c>
      <c r="J237" t="s">
        <v>55</v>
      </c>
      <c r="K237" t="str">
        <f t="shared" si="3"/>
        <v>Review: Unpaid with payment date</v>
      </c>
    </row>
    <row r="238" spans="1:11" x14ac:dyDescent="0.3">
      <c r="A238">
        <v>9</v>
      </c>
      <c r="B238">
        <v>20</v>
      </c>
      <c r="C238" s="1">
        <v>46016</v>
      </c>
      <c r="D238" s="1">
        <v>46219</v>
      </c>
      <c r="E238">
        <v>27791</v>
      </c>
      <c r="G238">
        <v>27791</v>
      </c>
      <c r="H238">
        <v>0</v>
      </c>
      <c r="I238">
        <v>203</v>
      </c>
      <c r="J238" t="s">
        <v>55</v>
      </c>
      <c r="K238" t="str">
        <f t="shared" si="3"/>
        <v>Review: Unpaid with payment date</v>
      </c>
    </row>
    <row r="239" spans="1:11" x14ac:dyDescent="0.3">
      <c r="A239">
        <v>10</v>
      </c>
      <c r="B239">
        <v>20</v>
      </c>
      <c r="C239" s="1">
        <v>45684</v>
      </c>
      <c r="D239" s="1">
        <v>45683</v>
      </c>
      <c r="E239">
        <v>43341</v>
      </c>
      <c r="F239">
        <v>43344</v>
      </c>
      <c r="G239">
        <v>-3</v>
      </c>
      <c r="H239">
        <v>43344</v>
      </c>
      <c r="I239">
        <v>-1</v>
      </c>
      <c r="J239" t="s">
        <v>53</v>
      </c>
      <c r="K239" t="str">
        <f t="shared" si="3"/>
        <v>OK</v>
      </c>
    </row>
    <row r="240" spans="1:11" x14ac:dyDescent="0.3">
      <c r="A240">
        <v>11</v>
      </c>
      <c r="B240">
        <v>20</v>
      </c>
      <c r="C240" s="1">
        <v>45728</v>
      </c>
      <c r="D240" s="1">
        <v>45731</v>
      </c>
      <c r="E240">
        <v>57655</v>
      </c>
      <c r="F240">
        <v>57654</v>
      </c>
      <c r="G240">
        <v>1</v>
      </c>
      <c r="H240">
        <v>57654</v>
      </c>
      <c r="I240">
        <v>3</v>
      </c>
      <c r="J240" t="s">
        <v>53</v>
      </c>
      <c r="K240" t="str">
        <f t="shared" si="3"/>
        <v>OK</v>
      </c>
    </row>
    <row r="241" spans="1:11" x14ac:dyDescent="0.3">
      <c r="A241">
        <v>12</v>
      </c>
      <c r="B241">
        <v>20</v>
      </c>
      <c r="C241" s="1">
        <v>46108</v>
      </c>
      <c r="D241" s="1">
        <v>46108</v>
      </c>
      <c r="E241">
        <v>51189</v>
      </c>
      <c r="F241">
        <v>51188</v>
      </c>
      <c r="G241">
        <v>1</v>
      </c>
      <c r="H241">
        <v>51188</v>
      </c>
      <c r="I241">
        <v>0</v>
      </c>
      <c r="J241" t="s">
        <v>53</v>
      </c>
      <c r="K241" t="str">
        <f t="shared" si="3"/>
        <v>OK</v>
      </c>
    </row>
    <row r="242" spans="1:11" x14ac:dyDescent="0.3">
      <c r="A242">
        <v>1</v>
      </c>
      <c r="B242">
        <v>21</v>
      </c>
      <c r="C242" s="1">
        <v>45774</v>
      </c>
      <c r="D242" s="1">
        <v>45777</v>
      </c>
      <c r="E242">
        <v>107763</v>
      </c>
      <c r="F242">
        <v>107762</v>
      </c>
      <c r="G242">
        <v>1</v>
      </c>
      <c r="H242">
        <v>107762</v>
      </c>
      <c r="I242">
        <v>3</v>
      </c>
      <c r="J242" t="s">
        <v>53</v>
      </c>
      <c r="K242" t="str">
        <f t="shared" si="3"/>
        <v>OK</v>
      </c>
    </row>
    <row r="243" spans="1:11" x14ac:dyDescent="0.3">
      <c r="A243">
        <v>2</v>
      </c>
      <c r="B243">
        <v>21</v>
      </c>
      <c r="C243" s="1">
        <v>45837</v>
      </c>
      <c r="D243" s="1">
        <v>45836</v>
      </c>
      <c r="E243">
        <v>478887</v>
      </c>
      <c r="F243">
        <v>478892</v>
      </c>
      <c r="G243">
        <v>-5</v>
      </c>
      <c r="H243">
        <v>478892</v>
      </c>
      <c r="I243">
        <v>-1</v>
      </c>
      <c r="J243" t="s">
        <v>53</v>
      </c>
      <c r="K243" t="str">
        <f t="shared" si="3"/>
        <v>OK</v>
      </c>
    </row>
    <row r="244" spans="1:11" x14ac:dyDescent="0.3">
      <c r="A244">
        <v>3</v>
      </c>
      <c r="B244">
        <v>21</v>
      </c>
      <c r="C244" s="1">
        <v>45837</v>
      </c>
      <c r="D244" s="1">
        <v>45836</v>
      </c>
      <c r="E244">
        <v>753929</v>
      </c>
      <c r="F244">
        <v>753932</v>
      </c>
      <c r="G244">
        <v>-3</v>
      </c>
      <c r="H244">
        <v>753932</v>
      </c>
      <c r="I244">
        <v>-1</v>
      </c>
      <c r="J244" t="s">
        <v>53</v>
      </c>
      <c r="K244" t="str">
        <f t="shared" si="3"/>
        <v>OK</v>
      </c>
    </row>
    <row r="245" spans="1:11" x14ac:dyDescent="0.3">
      <c r="A245">
        <v>4</v>
      </c>
      <c r="B245">
        <v>21</v>
      </c>
      <c r="C245" s="1">
        <v>45872</v>
      </c>
      <c r="D245" s="1">
        <v>45872</v>
      </c>
      <c r="E245">
        <v>995608</v>
      </c>
      <c r="F245">
        <v>995609</v>
      </c>
      <c r="G245">
        <v>-1</v>
      </c>
      <c r="H245">
        <v>995609</v>
      </c>
      <c r="I245">
        <v>0</v>
      </c>
      <c r="J245" t="s">
        <v>53</v>
      </c>
      <c r="K245" t="str">
        <f t="shared" si="3"/>
        <v>OK</v>
      </c>
    </row>
    <row r="246" spans="1:11" x14ac:dyDescent="0.3">
      <c r="A246">
        <v>5</v>
      </c>
      <c r="B246">
        <v>21</v>
      </c>
      <c r="C246" s="1">
        <v>45905</v>
      </c>
      <c r="D246" s="1">
        <v>46219</v>
      </c>
      <c r="E246">
        <v>706628</v>
      </c>
      <c r="G246">
        <v>706628</v>
      </c>
      <c r="H246">
        <v>0</v>
      </c>
      <c r="I246">
        <v>314</v>
      </c>
      <c r="J246" t="s">
        <v>55</v>
      </c>
      <c r="K246" t="str">
        <f t="shared" si="3"/>
        <v>Review: Unpaid with payment date</v>
      </c>
    </row>
    <row r="247" spans="1:11" x14ac:dyDescent="0.3">
      <c r="A247">
        <v>6</v>
      </c>
      <c r="B247">
        <v>21</v>
      </c>
      <c r="C247" s="1">
        <v>45928</v>
      </c>
      <c r="D247" s="1">
        <v>45931</v>
      </c>
      <c r="E247">
        <v>692663</v>
      </c>
      <c r="F247">
        <v>692658</v>
      </c>
      <c r="G247">
        <v>5</v>
      </c>
      <c r="H247">
        <v>692658</v>
      </c>
      <c r="I247">
        <v>3</v>
      </c>
      <c r="J247" t="s">
        <v>53</v>
      </c>
      <c r="K247" t="str">
        <f t="shared" si="3"/>
        <v>OK</v>
      </c>
    </row>
    <row r="248" spans="1:11" x14ac:dyDescent="0.3">
      <c r="A248">
        <v>7</v>
      </c>
      <c r="B248">
        <v>21</v>
      </c>
      <c r="C248" s="1">
        <v>45964</v>
      </c>
      <c r="D248" s="1">
        <v>45967</v>
      </c>
      <c r="E248">
        <v>168099</v>
      </c>
      <c r="F248">
        <v>168099</v>
      </c>
      <c r="G248">
        <v>0</v>
      </c>
      <c r="H248">
        <v>168099</v>
      </c>
      <c r="I248">
        <v>3</v>
      </c>
      <c r="J248" t="s">
        <v>53</v>
      </c>
      <c r="K248" t="str">
        <f t="shared" si="3"/>
        <v>OK</v>
      </c>
    </row>
    <row r="249" spans="1:11" x14ac:dyDescent="0.3">
      <c r="A249">
        <v>8</v>
      </c>
      <c r="B249">
        <v>21</v>
      </c>
      <c r="C249" s="1">
        <v>45993</v>
      </c>
      <c r="D249" s="1">
        <v>46219</v>
      </c>
      <c r="E249">
        <v>46651</v>
      </c>
      <c r="G249">
        <v>46651</v>
      </c>
      <c r="H249">
        <v>0</v>
      </c>
      <c r="I249">
        <v>226</v>
      </c>
      <c r="J249" t="s">
        <v>55</v>
      </c>
      <c r="K249" t="str">
        <f t="shared" si="3"/>
        <v>Review: Unpaid with payment date</v>
      </c>
    </row>
    <row r="250" spans="1:11" x14ac:dyDescent="0.3">
      <c r="A250">
        <v>9</v>
      </c>
      <c r="B250">
        <v>21</v>
      </c>
      <c r="C250" s="1">
        <v>46016</v>
      </c>
      <c r="D250" s="1">
        <v>46219</v>
      </c>
      <c r="E250">
        <v>25156</v>
      </c>
      <c r="G250">
        <v>25156</v>
      </c>
      <c r="H250">
        <v>0</v>
      </c>
      <c r="I250">
        <v>203</v>
      </c>
      <c r="J250" t="s">
        <v>55</v>
      </c>
      <c r="K250" t="str">
        <f t="shared" si="3"/>
        <v>Review: Unpaid with payment date</v>
      </c>
    </row>
    <row r="251" spans="1:11" x14ac:dyDescent="0.3">
      <c r="A251">
        <v>10</v>
      </c>
      <c r="B251">
        <v>21</v>
      </c>
      <c r="C251" s="1">
        <v>45684</v>
      </c>
      <c r="D251" s="1">
        <v>46219</v>
      </c>
      <c r="E251">
        <v>38829</v>
      </c>
      <c r="G251">
        <v>38829</v>
      </c>
      <c r="H251">
        <v>0</v>
      </c>
      <c r="I251">
        <v>535</v>
      </c>
      <c r="J251" t="s">
        <v>55</v>
      </c>
      <c r="K251" t="str">
        <f t="shared" si="3"/>
        <v>Review: Unpaid with payment date</v>
      </c>
    </row>
    <row r="252" spans="1:11" x14ac:dyDescent="0.3">
      <c r="A252">
        <v>11</v>
      </c>
      <c r="B252">
        <v>21</v>
      </c>
      <c r="C252" s="1">
        <v>45728</v>
      </c>
      <c r="D252" s="1">
        <v>46219</v>
      </c>
      <c r="E252">
        <v>54382</v>
      </c>
      <c r="G252">
        <v>54382</v>
      </c>
      <c r="H252">
        <v>0</v>
      </c>
      <c r="I252">
        <v>491</v>
      </c>
      <c r="J252" t="s">
        <v>55</v>
      </c>
      <c r="K252" t="str">
        <f t="shared" si="3"/>
        <v>Review: Unpaid with payment date</v>
      </c>
    </row>
    <row r="253" spans="1:11" x14ac:dyDescent="0.3">
      <c r="A253">
        <v>12</v>
      </c>
      <c r="B253">
        <v>21</v>
      </c>
      <c r="C253" s="1">
        <v>46108</v>
      </c>
      <c r="D253" s="1">
        <v>46106</v>
      </c>
      <c r="E253">
        <v>49956</v>
      </c>
      <c r="F253">
        <v>49961</v>
      </c>
      <c r="G253">
        <v>-5</v>
      </c>
      <c r="H253">
        <v>49961</v>
      </c>
      <c r="I253">
        <v>-2</v>
      </c>
      <c r="J253" t="s">
        <v>53</v>
      </c>
      <c r="K253" t="str">
        <f t="shared" si="3"/>
        <v>OK</v>
      </c>
    </row>
    <row r="254" spans="1:11" x14ac:dyDescent="0.3">
      <c r="A254">
        <v>1</v>
      </c>
      <c r="B254">
        <v>22</v>
      </c>
      <c r="C254" s="1">
        <v>45769</v>
      </c>
      <c r="D254" s="1">
        <v>45771</v>
      </c>
      <c r="E254">
        <v>330941</v>
      </c>
      <c r="F254">
        <v>330938</v>
      </c>
      <c r="G254">
        <v>3</v>
      </c>
      <c r="H254">
        <v>330938</v>
      </c>
      <c r="I254">
        <v>2</v>
      </c>
      <c r="J254" t="s">
        <v>53</v>
      </c>
      <c r="K254" t="str">
        <f t="shared" si="3"/>
        <v>OK</v>
      </c>
    </row>
    <row r="255" spans="1:11" x14ac:dyDescent="0.3">
      <c r="A255">
        <v>2</v>
      </c>
      <c r="B255">
        <v>22</v>
      </c>
      <c r="C255" s="1">
        <v>45832</v>
      </c>
      <c r="D255" s="1">
        <v>45830</v>
      </c>
      <c r="E255">
        <v>1013088</v>
      </c>
      <c r="F255">
        <v>1013091</v>
      </c>
      <c r="G255">
        <v>-3</v>
      </c>
      <c r="H255">
        <v>1013091</v>
      </c>
      <c r="I255">
        <v>-2</v>
      </c>
      <c r="J255" t="s">
        <v>53</v>
      </c>
      <c r="K255" t="str">
        <f t="shared" si="3"/>
        <v>OK</v>
      </c>
    </row>
    <row r="256" spans="1:11" x14ac:dyDescent="0.3">
      <c r="A256">
        <v>3</v>
      </c>
      <c r="B256">
        <v>22</v>
      </c>
      <c r="C256" s="1">
        <v>45832</v>
      </c>
      <c r="D256" s="1">
        <v>45830</v>
      </c>
      <c r="E256">
        <v>1334588</v>
      </c>
      <c r="F256">
        <v>1334590</v>
      </c>
      <c r="G256">
        <v>-2</v>
      </c>
      <c r="H256">
        <v>1334590</v>
      </c>
      <c r="I256">
        <v>-2</v>
      </c>
      <c r="J256" t="s">
        <v>53</v>
      </c>
      <c r="K256" t="str">
        <f t="shared" si="3"/>
        <v>OK</v>
      </c>
    </row>
    <row r="257" spans="1:11" x14ac:dyDescent="0.3">
      <c r="A257">
        <v>4</v>
      </c>
      <c r="B257">
        <v>22</v>
      </c>
      <c r="C257" s="1">
        <v>45867</v>
      </c>
      <c r="D257" s="1">
        <v>45868</v>
      </c>
      <c r="E257">
        <v>1603005</v>
      </c>
      <c r="F257">
        <v>1603009</v>
      </c>
      <c r="G257">
        <v>-4</v>
      </c>
      <c r="H257">
        <v>1603009</v>
      </c>
      <c r="I257">
        <v>1</v>
      </c>
      <c r="J257" t="s">
        <v>53</v>
      </c>
      <c r="K257" t="str">
        <f t="shared" si="3"/>
        <v>OK</v>
      </c>
    </row>
    <row r="258" spans="1:11" x14ac:dyDescent="0.3">
      <c r="A258">
        <v>5</v>
      </c>
      <c r="B258">
        <v>22</v>
      </c>
      <c r="C258" s="1">
        <v>45898</v>
      </c>
      <c r="D258" s="1">
        <v>45899</v>
      </c>
      <c r="E258">
        <v>1350065</v>
      </c>
      <c r="F258">
        <v>1350066</v>
      </c>
      <c r="G258">
        <v>-1</v>
      </c>
      <c r="H258">
        <v>1350066</v>
      </c>
      <c r="I258">
        <v>1</v>
      </c>
      <c r="J258" t="s">
        <v>53</v>
      </c>
      <c r="K258" t="str">
        <f t="shared" ref="K258:K301" si="4">IF(AND(J258="Unpaid",D258&lt;&gt;""),"Review: Unpaid with payment date",IF(AND(J258="Paid",D258=""),"Review: Paid without payment date","OK"))</f>
        <v>OK</v>
      </c>
    </row>
    <row r="259" spans="1:11" x14ac:dyDescent="0.3">
      <c r="A259">
        <v>6</v>
      </c>
      <c r="B259">
        <v>22</v>
      </c>
      <c r="C259" s="1">
        <v>45923</v>
      </c>
      <c r="D259" s="1">
        <v>45920</v>
      </c>
      <c r="E259">
        <v>1209931</v>
      </c>
      <c r="F259">
        <v>1209930</v>
      </c>
      <c r="G259">
        <v>1</v>
      </c>
      <c r="H259">
        <v>1209930</v>
      </c>
      <c r="I259">
        <v>-3</v>
      </c>
      <c r="J259" t="s">
        <v>53</v>
      </c>
      <c r="K259" t="str">
        <f t="shared" si="4"/>
        <v>OK</v>
      </c>
    </row>
    <row r="260" spans="1:11" x14ac:dyDescent="0.3">
      <c r="A260">
        <v>7</v>
      </c>
      <c r="B260">
        <v>22</v>
      </c>
      <c r="C260" s="1">
        <v>45953</v>
      </c>
      <c r="D260" s="1">
        <v>46219</v>
      </c>
      <c r="E260">
        <v>432731</v>
      </c>
      <c r="G260">
        <v>432731</v>
      </c>
      <c r="H260">
        <v>0</v>
      </c>
      <c r="I260">
        <v>266</v>
      </c>
      <c r="J260" t="s">
        <v>55</v>
      </c>
      <c r="K260" t="str">
        <f t="shared" si="4"/>
        <v>Review: Unpaid with payment date</v>
      </c>
    </row>
    <row r="261" spans="1:11" x14ac:dyDescent="0.3">
      <c r="A261">
        <v>8</v>
      </c>
      <c r="B261">
        <v>22</v>
      </c>
      <c r="C261" s="1">
        <v>45988</v>
      </c>
      <c r="D261" s="1">
        <v>46219</v>
      </c>
      <c r="E261">
        <v>242176</v>
      </c>
      <c r="G261">
        <v>242176</v>
      </c>
      <c r="H261">
        <v>0</v>
      </c>
      <c r="I261">
        <v>231</v>
      </c>
      <c r="J261" t="s">
        <v>55</v>
      </c>
      <c r="K261" t="str">
        <f t="shared" si="4"/>
        <v>Review: Unpaid with payment date</v>
      </c>
    </row>
    <row r="262" spans="1:11" x14ac:dyDescent="0.3">
      <c r="A262">
        <v>9</v>
      </c>
      <c r="B262">
        <v>22</v>
      </c>
      <c r="C262" s="1">
        <v>46018</v>
      </c>
      <c r="D262" s="1">
        <v>46219</v>
      </c>
      <c r="E262">
        <v>315051</v>
      </c>
      <c r="G262">
        <v>315051</v>
      </c>
      <c r="H262">
        <v>0</v>
      </c>
      <c r="I262">
        <v>201</v>
      </c>
      <c r="J262" t="s">
        <v>55</v>
      </c>
      <c r="K262" t="str">
        <f t="shared" si="4"/>
        <v>Review: Unpaid with payment date</v>
      </c>
    </row>
    <row r="263" spans="1:11" x14ac:dyDescent="0.3">
      <c r="A263">
        <v>10</v>
      </c>
      <c r="B263">
        <v>22</v>
      </c>
      <c r="C263" s="1">
        <v>46044</v>
      </c>
      <c r="D263" s="1">
        <v>46219</v>
      </c>
      <c r="E263">
        <v>346645</v>
      </c>
      <c r="G263">
        <v>346645</v>
      </c>
      <c r="H263">
        <v>0</v>
      </c>
      <c r="I263">
        <v>175</v>
      </c>
      <c r="J263" t="s">
        <v>55</v>
      </c>
      <c r="K263" t="str">
        <f t="shared" si="4"/>
        <v>Review: Unpaid with payment date</v>
      </c>
    </row>
    <row r="264" spans="1:11" x14ac:dyDescent="0.3">
      <c r="A264">
        <v>11</v>
      </c>
      <c r="B264">
        <v>22</v>
      </c>
      <c r="C264" s="1">
        <v>46087</v>
      </c>
      <c r="D264" s="1">
        <v>46089</v>
      </c>
      <c r="E264">
        <v>295013</v>
      </c>
      <c r="F264">
        <v>295009</v>
      </c>
      <c r="G264">
        <v>4</v>
      </c>
      <c r="H264">
        <v>295009</v>
      </c>
      <c r="I264">
        <v>2</v>
      </c>
      <c r="J264" t="s">
        <v>53</v>
      </c>
      <c r="K264" t="str">
        <f t="shared" si="4"/>
        <v>OK</v>
      </c>
    </row>
    <row r="265" spans="1:11" x14ac:dyDescent="0.3">
      <c r="A265">
        <v>12</v>
      </c>
      <c r="B265">
        <v>22</v>
      </c>
      <c r="C265" s="1">
        <v>46103</v>
      </c>
      <c r="D265" s="1">
        <v>46105</v>
      </c>
      <c r="E265">
        <v>178351</v>
      </c>
      <c r="F265">
        <v>178348</v>
      </c>
      <c r="G265">
        <v>3</v>
      </c>
      <c r="H265">
        <v>178348</v>
      </c>
      <c r="I265">
        <v>2</v>
      </c>
      <c r="J265" t="s">
        <v>53</v>
      </c>
      <c r="K265" t="str">
        <f t="shared" si="4"/>
        <v>OK</v>
      </c>
    </row>
    <row r="266" spans="1:11" x14ac:dyDescent="0.3">
      <c r="A266">
        <v>1</v>
      </c>
      <c r="B266">
        <v>23</v>
      </c>
      <c r="C266" s="1">
        <v>45770</v>
      </c>
      <c r="D266" s="1">
        <v>45768</v>
      </c>
      <c r="E266">
        <v>411416</v>
      </c>
      <c r="F266">
        <v>411416</v>
      </c>
      <c r="G266">
        <v>0</v>
      </c>
      <c r="H266">
        <v>411416</v>
      </c>
      <c r="I266">
        <v>-2</v>
      </c>
      <c r="J266" t="s">
        <v>53</v>
      </c>
      <c r="K266" t="str">
        <f t="shared" si="4"/>
        <v>OK</v>
      </c>
    </row>
    <row r="267" spans="1:11" x14ac:dyDescent="0.3">
      <c r="A267">
        <v>2</v>
      </c>
      <c r="B267">
        <v>23</v>
      </c>
      <c r="C267" s="1">
        <v>45804</v>
      </c>
      <c r="D267" s="1">
        <v>45802</v>
      </c>
      <c r="E267">
        <v>1244157</v>
      </c>
      <c r="F267">
        <v>1244161</v>
      </c>
      <c r="G267">
        <v>-4</v>
      </c>
      <c r="H267">
        <v>1244161</v>
      </c>
      <c r="I267">
        <v>-2</v>
      </c>
      <c r="J267" t="s">
        <v>53</v>
      </c>
      <c r="K267" t="str">
        <f t="shared" si="4"/>
        <v>OK</v>
      </c>
    </row>
    <row r="268" spans="1:11" x14ac:dyDescent="0.3">
      <c r="A268">
        <v>3</v>
      </c>
      <c r="B268">
        <v>23</v>
      </c>
      <c r="C268" s="1">
        <v>45832</v>
      </c>
      <c r="D268" s="1">
        <v>45831</v>
      </c>
      <c r="E268">
        <v>1670899</v>
      </c>
      <c r="F268">
        <v>1670896</v>
      </c>
      <c r="G268">
        <v>3</v>
      </c>
      <c r="H268">
        <v>1670896</v>
      </c>
      <c r="I268">
        <v>-1</v>
      </c>
      <c r="J268" t="s">
        <v>53</v>
      </c>
      <c r="K268" t="str">
        <f t="shared" si="4"/>
        <v>OK</v>
      </c>
    </row>
    <row r="269" spans="1:11" x14ac:dyDescent="0.3">
      <c r="A269">
        <v>4</v>
      </c>
      <c r="B269">
        <v>23</v>
      </c>
      <c r="C269" s="1">
        <v>45867</v>
      </c>
      <c r="D269" s="1">
        <v>45870</v>
      </c>
      <c r="E269">
        <v>1930428</v>
      </c>
      <c r="F269">
        <v>1930432</v>
      </c>
      <c r="G269">
        <v>-4</v>
      </c>
      <c r="H269">
        <v>1930432</v>
      </c>
      <c r="I269">
        <v>3</v>
      </c>
      <c r="J269" t="s">
        <v>53</v>
      </c>
      <c r="K269" t="str">
        <f t="shared" si="4"/>
        <v>OK</v>
      </c>
    </row>
    <row r="270" spans="1:11" x14ac:dyDescent="0.3">
      <c r="A270">
        <v>5</v>
      </c>
      <c r="B270">
        <v>23</v>
      </c>
      <c r="C270" s="1">
        <v>45898</v>
      </c>
      <c r="D270" s="1">
        <v>46219</v>
      </c>
      <c r="E270">
        <v>1787291</v>
      </c>
      <c r="G270">
        <v>1787291</v>
      </c>
      <c r="H270">
        <v>0</v>
      </c>
      <c r="I270">
        <v>321</v>
      </c>
      <c r="J270" t="s">
        <v>55</v>
      </c>
      <c r="K270" t="str">
        <f t="shared" si="4"/>
        <v>Review: Unpaid with payment date</v>
      </c>
    </row>
    <row r="271" spans="1:11" x14ac:dyDescent="0.3">
      <c r="A271">
        <v>6</v>
      </c>
      <c r="B271">
        <v>23</v>
      </c>
      <c r="C271" s="1">
        <v>45923</v>
      </c>
      <c r="D271" s="1">
        <v>45920</v>
      </c>
      <c r="E271">
        <v>1556162</v>
      </c>
      <c r="F271">
        <v>1556164</v>
      </c>
      <c r="G271">
        <v>-2</v>
      </c>
      <c r="H271">
        <v>1556164</v>
      </c>
      <c r="I271">
        <v>-3</v>
      </c>
      <c r="J271" t="s">
        <v>53</v>
      </c>
      <c r="K271" t="str">
        <f t="shared" si="4"/>
        <v>OK</v>
      </c>
    </row>
    <row r="272" spans="1:11" x14ac:dyDescent="0.3">
      <c r="A272">
        <v>7</v>
      </c>
      <c r="B272">
        <v>23</v>
      </c>
      <c r="C272" s="1">
        <v>45972</v>
      </c>
      <c r="D272" s="1">
        <v>45975</v>
      </c>
      <c r="E272">
        <v>474845</v>
      </c>
      <c r="F272">
        <v>474849</v>
      </c>
      <c r="G272">
        <v>-4</v>
      </c>
      <c r="H272">
        <v>474849</v>
      </c>
      <c r="I272">
        <v>3</v>
      </c>
      <c r="J272" t="s">
        <v>53</v>
      </c>
      <c r="K272" t="str">
        <f t="shared" si="4"/>
        <v>OK</v>
      </c>
    </row>
    <row r="273" spans="1:11" x14ac:dyDescent="0.3">
      <c r="A273">
        <v>8</v>
      </c>
      <c r="B273">
        <v>23</v>
      </c>
      <c r="C273" s="1">
        <v>45988</v>
      </c>
      <c r="D273" s="1">
        <v>46219</v>
      </c>
      <c r="E273">
        <v>270144</v>
      </c>
      <c r="G273">
        <v>270144</v>
      </c>
      <c r="H273">
        <v>0</v>
      </c>
      <c r="I273">
        <v>231</v>
      </c>
      <c r="J273" t="s">
        <v>55</v>
      </c>
      <c r="K273" t="str">
        <f t="shared" si="4"/>
        <v>Review: Unpaid with payment date</v>
      </c>
    </row>
    <row r="274" spans="1:11" x14ac:dyDescent="0.3">
      <c r="A274">
        <v>9</v>
      </c>
      <c r="B274">
        <v>23</v>
      </c>
      <c r="C274" s="1">
        <v>46018</v>
      </c>
      <c r="D274" s="1">
        <v>46219</v>
      </c>
      <c r="E274">
        <v>377208</v>
      </c>
      <c r="G274">
        <v>377208</v>
      </c>
      <c r="H274">
        <v>0</v>
      </c>
      <c r="I274">
        <v>201</v>
      </c>
      <c r="J274" t="s">
        <v>55</v>
      </c>
      <c r="K274" t="str">
        <f t="shared" si="4"/>
        <v>Review: Unpaid with payment date</v>
      </c>
    </row>
    <row r="275" spans="1:11" x14ac:dyDescent="0.3">
      <c r="A275">
        <v>10</v>
      </c>
      <c r="B275">
        <v>23</v>
      </c>
      <c r="C275" s="1">
        <v>46045</v>
      </c>
      <c r="D275" s="1">
        <v>46042</v>
      </c>
      <c r="E275">
        <v>382897</v>
      </c>
      <c r="F275">
        <v>382897</v>
      </c>
      <c r="G275">
        <v>0</v>
      </c>
      <c r="H275">
        <v>382897</v>
      </c>
      <c r="I275">
        <v>-3</v>
      </c>
      <c r="J275" t="s">
        <v>53</v>
      </c>
      <c r="K275" t="str">
        <f t="shared" si="4"/>
        <v>OK</v>
      </c>
    </row>
    <row r="276" spans="1:11" x14ac:dyDescent="0.3">
      <c r="A276">
        <v>11</v>
      </c>
      <c r="B276">
        <v>23</v>
      </c>
      <c r="C276" s="1">
        <v>46088</v>
      </c>
      <c r="D276" s="1">
        <v>46088</v>
      </c>
      <c r="E276">
        <v>326553</v>
      </c>
      <c r="F276">
        <v>326550</v>
      </c>
      <c r="G276">
        <v>3</v>
      </c>
      <c r="H276">
        <v>326550</v>
      </c>
      <c r="I276">
        <v>0</v>
      </c>
      <c r="J276" t="s">
        <v>53</v>
      </c>
      <c r="K276" t="str">
        <f t="shared" si="4"/>
        <v>OK</v>
      </c>
    </row>
    <row r="277" spans="1:11" x14ac:dyDescent="0.3">
      <c r="A277">
        <v>12</v>
      </c>
      <c r="B277">
        <v>23</v>
      </c>
      <c r="C277" s="1">
        <v>46103</v>
      </c>
      <c r="D277" s="1">
        <v>46102</v>
      </c>
      <c r="E277">
        <v>186773</v>
      </c>
      <c r="F277">
        <v>186769</v>
      </c>
      <c r="G277">
        <v>4</v>
      </c>
      <c r="H277">
        <v>186769</v>
      </c>
      <c r="I277">
        <v>-1</v>
      </c>
      <c r="J277" t="s">
        <v>53</v>
      </c>
      <c r="K277" t="str">
        <f t="shared" si="4"/>
        <v>OK</v>
      </c>
    </row>
    <row r="278" spans="1:11" x14ac:dyDescent="0.3">
      <c r="A278">
        <v>1</v>
      </c>
      <c r="B278">
        <v>24</v>
      </c>
      <c r="C278" s="1">
        <v>45765</v>
      </c>
      <c r="D278" s="1">
        <v>45766</v>
      </c>
      <c r="E278">
        <v>480119</v>
      </c>
      <c r="F278">
        <v>480120</v>
      </c>
      <c r="G278">
        <v>-1</v>
      </c>
      <c r="H278">
        <v>480120</v>
      </c>
      <c r="I278">
        <v>1</v>
      </c>
      <c r="J278" t="s">
        <v>53</v>
      </c>
      <c r="K278" t="str">
        <f t="shared" si="4"/>
        <v>OK</v>
      </c>
    </row>
    <row r="279" spans="1:11" x14ac:dyDescent="0.3">
      <c r="A279">
        <v>2</v>
      </c>
      <c r="B279">
        <v>24</v>
      </c>
      <c r="C279" s="1">
        <v>45799</v>
      </c>
      <c r="D279" s="1">
        <v>45800</v>
      </c>
      <c r="E279">
        <v>900628</v>
      </c>
      <c r="F279">
        <v>900628</v>
      </c>
      <c r="G279">
        <v>0</v>
      </c>
      <c r="H279">
        <v>900628</v>
      </c>
      <c r="I279">
        <v>1</v>
      </c>
      <c r="J279" t="s">
        <v>53</v>
      </c>
      <c r="K279" t="str">
        <f t="shared" si="4"/>
        <v>OK</v>
      </c>
    </row>
    <row r="280" spans="1:11" x14ac:dyDescent="0.3">
      <c r="A280">
        <v>3</v>
      </c>
      <c r="B280">
        <v>24</v>
      </c>
      <c r="C280" s="1">
        <v>45827</v>
      </c>
      <c r="D280" s="1">
        <v>45827</v>
      </c>
      <c r="E280">
        <v>1495473</v>
      </c>
      <c r="F280">
        <v>1495477</v>
      </c>
      <c r="G280">
        <v>-4</v>
      </c>
      <c r="H280">
        <v>1495477</v>
      </c>
      <c r="I280">
        <v>0</v>
      </c>
      <c r="J280" t="s">
        <v>53</v>
      </c>
      <c r="K280" t="str">
        <f t="shared" si="4"/>
        <v>OK</v>
      </c>
    </row>
    <row r="281" spans="1:11" x14ac:dyDescent="0.3">
      <c r="A281">
        <v>4</v>
      </c>
      <c r="B281">
        <v>24</v>
      </c>
      <c r="C281" s="1">
        <v>45862</v>
      </c>
      <c r="D281" s="1">
        <v>45865</v>
      </c>
      <c r="E281">
        <v>2024234</v>
      </c>
      <c r="F281">
        <v>2024230</v>
      </c>
      <c r="G281">
        <v>4</v>
      </c>
      <c r="H281">
        <v>2024230</v>
      </c>
      <c r="I281">
        <v>3</v>
      </c>
      <c r="J281" t="s">
        <v>53</v>
      </c>
      <c r="K281" t="str">
        <f t="shared" si="4"/>
        <v>OK</v>
      </c>
    </row>
    <row r="282" spans="1:11" x14ac:dyDescent="0.3">
      <c r="A282">
        <v>5</v>
      </c>
      <c r="B282">
        <v>24</v>
      </c>
      <c r="C282" s="1">
        <v>45893</v>
      </c>
      <c r="D282" s="1">
        <v>45896</v>
      </c>
      <c r="E282">
        <v>1346900</v>
      </c>
      <c r="F282">
        <v>1346905</v>
      </c>
      <c r="G282">
        <v>-5</v>
      </c>
      <c r="H282">
        <v>1346905</v>
      </c>
      <c r="I282">
        <v>3</v>
      </c>
      <c r="J282" t="s">
        <v>53</v>
      </c>
      <c r="K282" t="str">
        <f t="shared" si="4"/>
        <v>OK</v>
      </c>
    </row>
    <row r="283" spans="1:11" x14ac:dyDescent="0.3">
      <c r="A283">
        <v>6</v>
      </c>
      <c r="B283">
        <v>24</v>
      </c>
      <c r="C283" s="1">
        <v>45918</v>
      </c>
      <c r="D283" s="1">
        <v>45917</v>
      </c>
      <c r="E283">
        <v>1211585</v>
      </c>
      <c r="F283">
        <v>1211581</v>
      </c>
      <c r="G283">
        <v>4</v>
      </c>
      <c r="H283">
        <v>1211581</v>
      </c>
      <c r="I283">
        <v>-1</v>
      </c>
      <c r="J283" t="s">
        <v>53</v>
      </c>
      <c r="K283" t="str">
        <f t="shared" si="4"/>
        <v>OK</v>
      </c>
    </row>
    <row r="284" spans="1:11" x14ac:dyDescent="0.3">
      <c r="A284">
        <v>7</v>
      </c>
      <c r="B284">
        <v>24</v>
      </c>
      <c r="C284" s="1">
        <v>45967</v>
      </c>
      <c r="D284" s="1">
        <v>45965</v>
      </c>
      <c r="E284">
        <v>524943</v>
      </c>
      <c r="F284">
        <v>524938</v>
      </c>
      <c r="G284">
        <v>5</v>
      </c>
      <c r="H284">
        <v>524938</v>
      </c>
      <c r="I284">
        <v>-2</v>
      </c>
      <c r="J284" t="s">
        <v>53</v>
      </c>
      <c r="K284" t="str">
        <f t="shared" si="4"/>
        <v>OK</v>
      </c>
    </row>
    <row r="285" spans="1:11" x14ac:dyDescent="0.3">
      <c r="A285">
        <v>8</v>
      </c>
      <c r="B285">
        <v>24</v>
      </c>
      <c r="C285" s="1">
        <v>45983</v>
      </c>
      <c r="D285" s="1">
        <v>45984</v>
      </c>
      <c r="E285">
        <v>391516</v>
      </c>
      <c r="F285">
        <v>391516</v>
      </c>
      <c r="G285">
        <v>0</v>
      </c>
      <c r="H285">
        <v>391516</v>
      </c>
      <c r="I285">
        <v>1</v>
      </c>
      <c r="J285" t="s">
        <v>53</v>
      </c>
      <c r="K285" t="str">
        <f t="shared" si="4"/>
        <v>OK</v>
      </c>
    </row>
    <row r="286" spans="1:11" x14ac:dyDescent="0.3">
      <c r="A286">
        <v>9</v>
      </c>
      <c r="B286">
        <v>24</v>
      </c>
      <c r="C286" s="1">
        <v>46013</v>
      </c>
      <c r="D286" s="1">
        <v>46012</v>
      </c>
      <c r="E286">
        <v>401580</v>
      </c>
      <c r="F286">
        <v>401580</v>
      </c>
      <c r="G286">
        <v>0</v>
      </c>
      <c r="H286">
        <v>401580</v>
      </c>
      <c r="I286">
        <v>-1</v>
      </c>
      <c r="J286" t="s">
        <v>53</v>
      </c>
      <c r="K286" t="str">
        <f t="shared" si="4"/>
        <v>OK</v>
      </c>
    </row>
    <row r="287" spans="1:11" x14ac:dyDescent="0.3">
      <c r="A287">
        <v>10</v>
      </c>
      <c r="B287">
        <v>24</v>
      </c>
      <c r="C287" s="1">
        <v>46040</v>
      </c>
      <c r="D287" s="1">
        <v>46042</v>
      </c>
      <c r="E287">
        <v>450407</v>
      </c>
      <c r="F287">
        <v>450403</v>
      </c>
      <c r="G287">
        <v>4</v>
      </c>
      <c r="H287">
        <v>450403</v>
      </c>
      <c r="I287">
        <v>2</v>
      </c>
      <c r="J287" t="s">
        <v>53</v>
      </c>
      <c r="K287" t="str">
        <f t="shared" si="4"/>
        <v>OK</v>
      </c>
    </row>
    <row r="288" spans="1:11" x14ac:dyDescent="0.3">
      <c r="A288">
        <v>11</v>
      </c>
      <c r="B288">
        <v>24</v>
      </c>
      <c r="C288" s="1">
        <v>46083</v>
      </c>
      <c r="D288" s="1">
        <v>46084</v>
      </c>
      <c r="E288">
        <v>354605</v>
      </c>
      <c r="F288">
        <v>354607</v>
      </c>
      <c r="G288">
        <v>-2</v>
      </c>
      <c r="H288">
        <v>354607</v>
      </c>
      <c r="I288">
        <v>1</v>
      </c>
      <c r="J288" t="s">
        <v>53</v>
      </c>
      <c r="K288" t="str">
        <f t="shared" si="4"/>
        <v>OK</v>
      </c>
    </row>
    <row r="289" spans="1:11" x14ac:dyDescent="0.3">
      <c r="A289">
        <v>12</v>
      </c>
      <c r="B289">
        <v>24</v>
      </c>
      <c r="C289" s="1">
        <v>46098</v>
      </c>
      <c r="D289" s="1">
        <v>46099</v>
      </c>
      <c r="E289">
        <v>371328</v>
      </c>
      <c r="F289">
        <v>371333</v>
      </c>
      <c r="G289">
        <v>-5</v>
      </c>
      <c r="H289">
        <v>371333</v>
      </c>
      <c r="I289">
        <v>1</v>
      </c>
      <c r="J289" t="s">
        <v>53</v>
      </c>
      <c r="K289" t="str">
        <f t="shared" si="4"/>
        <v>OK</v>
      </c>
    </row>
    <row r="290" spans="1:11" x14ac:dyDescent="0.3">
      <c r="A290">
        <v>1</v>
      </c>
      <c r="B290">
        <v>25</v>
      </c>
      <c r="C290" s="1">
        <v>45767</v>
      </c>
      <c r="D290" s="1">
        <v>45768</v>
      </c>
      <c r="E290">
        <v>5815856</v>
      </c>
      <c r="F290">
        <v>5815856</v>
      </c>
      <c r="G290">
        <v>0</v>
      </c>
      <c r="H290">
        <v>5815856</v>
      </c>
      <c r="I290">
        <v>1</v>
      </c>
      <c r="J290" t="s">
        <v>53</v>
      </c>
      <c r="K290" t="str">
        <f t="shared" si="4"/>
        <v>OK</v>
      </c>
    </row>
    <row r="291" spans="1:11" x14ac:dyDescent="0.3">
      <c r="A291">
        <v>2</v>
      </c>
      <c r="B291">
        <v>25</v>
      </c>
      <c r="C291" s="1">
        <v>45799</v>
      </c>
      <c r="D291" s="1">
        <v>45801</v>
      </c>
      <c r="E291">
        <v>8144335</v>
      </c>
      <c r="F291">
        <v>8144334</v>
      </c>
      <c r="G291">
        <v>1</v>
      </c>
      <c r="H291">
        <v>8144334</v>
      </c>
      <c r="I291">
        <v>2</v>
      </c>
      <c r="J291" t="s">
        <v>53</v>
      </c>
      <c r="K291" t="str">
        <f t="shared" si="4"/>
        <v>OK</v>
      </c>
    </row>
    <row r="292" spans="1:11" x14ac:dyDescent="0.3">
      <c r="A292">
        <v>3</v>
      </c>
      <c r="B292">
        <v>25</v>
      </c>
      <c r="C292" s="1">
        <v>45827</v>
      </c>
      <c r="D292" s="1">
        <v>45824</v>
      </c>
      <c r="E292">
        <v>14407567</v>
      </c>
      <c r="F292">
        <v>14407566</v>
      </c>
      <c r="G292">
        <v>1</v>
      </c>
      <c r="H292">
        <v>14407566</v>
      </c>
      <c r="I292">
        <v>-3</v>
      </c>
      <c r="J292" t="s">
        <v>53</v>
      </c>
      <c r="K292" t="str">
        <f t="shared" si="4"/>
        <v>OK</v>
      </c>
    </row>
    <row r="293" spans="1:11" x14ac:dyDescent="0.3">
      <c r="A293">
        <v>4</v>
      </c>
      <c r="B293">
        <v>25</v>
      </c>
      <c r="C293" s="1">
        <v>45862</v>
      </c>
      <c r="D293" s="1">
        <v>45861</v>
      </c>
      <c r="E293">
        <v>17501159</v>
      </c>
      <c r="F293">
        <v>17501161</v>
      </c>
      <c r="G293">
        <v>-2</v>
      </c>
      <c r="H293">
        <v>17501161</v>
      </c>
      <c r="I293">
        <v>-1</v>
      </c>
      <c r="J293" t="s">
        <v>53</v>
      </c>
      <c r="K293" t="str">
        <f t="shared" si="4"/>
        <v>OK</v>
      </c>
    </row>
    <row r="294" spans="1:11" x14ac:dyDescent="0.3">
      <c r="A294">
        <v>5</v>
      </c>
      <c r="B294">
        <v>25</v>
      </c>
      <c r="C294" s="1">
        <v>45893</v>
      </c>
      <c r="D294" s="1">
        <v>46219</v>
      </c>
      <c r="E294">
        <v>12572271</v>
      </c>
      <c r="G294">
        <v>12572271</v>
      </c>
      <c r="H294">
        <v>0</v>
      </c>
      <c r="I294">
        <v>326</v>
      </c>
      <c r="J294" t="s">
        <v>55</v>
      </c>
      <c r="K294" t="str">
        <f t="shared" si="4"/>
        <v>Review: Unpaid with payment date</v>
      </c>
    </row>
    <row r="295" spans="1:11" x14ac:dyDescent="0.3">
      <c r="A295">
        <v>6</v>
      </c>
      <c r="B295">
        <v>25</v>
      </c>
      <c r="C295" s="1">
        <v>45926</v>
      </c>
      <c r="D295" s="1">
        <v>46219</v>
      </c>
      <c r="E295">
        <v>9591748</v>
      </c>
      <c r="G295">
        <v>9591748</v>
      </c>
      <c r="H295">
        <v>0</v>
      </c>
      <c r="I295">
        <v>293</v>
      </c>
      <c r="J295" t="s">
        <v>55</v>
      </c>
      <c r="K295" t="str">
        <f t="shared" si="4"/>
        <v>Review: Unpaid with payment date</v>
      </c>
    </row>
    <row r="296" spans="1:11" x14ac:dyDescent="0.3">
      <c r="A296">
        <v>7</v>
      </c>
      <c r="B296">
        <v>25</v>
      </c>
      <c r="C296" s="1">
        <v>45954</v>
      </c>
      <c r="D296" s="1">
        <v>46219</v>
      </c>
      <c r="E296">
        <v>5638572</v>
      </c>
      <c r="G296">
        <v>5638572</v>
      </c>
      <c r="H296">
        <v>0</v>
      </c>
      <c r="I296">
        <v>265</v>
      </c>
      <c r="J296" t="s">
        <v>55</v>
      </c>
      <c r="K296" t="str">
        <f t="shared" si="4"/>
        <v>Review: Unpaid with payment date</v>
      </c>
    </row>
    <row r="297" spans="1:11" x14ac:dyDescent="0.3">
      <c r="A297">
        <v>8</v>
      </c>
      <c r="B297">
        <v>25</v>
      </c>
      <c r="C297" s="1">
        <v>45983</v>
      </c>
      <c r="D297" s="1">
        <v>46219</v>
      </c>
      <c r="E297">
        <v>4247623</v>
      </c>
      <c r="G297">
        <v>4247623</v>
      </c>
      <c r="H297">
        <v>0</v>
      </c>
      <c r="I297">
        <v>236</v>
      </c>
      <c r="J297" t="s">
        <v>55</v>
      </c>
      <c r="K297" t="str">
        <f t="shared" si="4"/>
        <v>Review: Unpaid with payment date</v>
      </c>
    </row>
    <row r="298" spans="1:11" x14ac:dyDescent="0.3">
      <c r="A298">
        <v>9</v>
      </c>
      <c r="B298">
        <v>25</v>
      </c>
      <c r="C298" s="1">
        <v>46023</v>
      </c>
      <c r="D298" s="1">
        <v>46219</v>
      </c>
      <c r="E298">
        <v>4405214</v>
      </c>
      <c r="G298">
        <v>4405214</v>
      </c>
      <c r="H298">
        <v>0</v>
      </c>
      <c r="I298">
        <v>196</v>
      </c>
      <c r="J298" t="s">
        <v>55</v>
      </c>
      <c r="K298" t="str">
        <f t="shared" si="4"/>
        <v>Review: Unpaid with payment date</v>
      </c>
    </row>
    <row r="299" spans="1:11" x14ac:dyDescent="0.3">
      <c r="A299">
        <v>10</v>
      </c>
      <c r="B299">
        <v>25</v>
      </c>
      <c r="C299" s="1">
        <v>46060</v>
      </c>
      <c r="D299" s="1">
        <v>46219</v>
      </c>
      <c r="E299">
        <v>2815641</v>
      </c>
      <c r="G299">
        <v>2815641</v>
      </c>
      <c r="H299">
        <v>0</v>
      </c>
      <c r="I299">
        <v>159</v>
      </c>
      <c r="J299" t="s">
        <v>55</v>
      </c>
      <c r="K299" t="str">
        <f t="shared" si="4"/>
        <v>Review: Unpaid with payment date</v>
      </c>
    </row>
    <row r="300" spans="1:11" x14ac:dyDescent="0.3">
      <c r="A300">
        <v>11</v>
      </c>
      <c r="B300">
        <v>25</v>
      </c>
      <c r="C300" s="1">
        <v>46082</v>
      </c>
      <c r="D300" s="1">
        <v>46219</v>
      </c>
      <c r="E300">
        <v>2486557</v>
      </c>
      <c r="G300">
        <v>2486557</v>
      </c>
      <c r="H300">
        <v>0</v>
      </c>
      <c r="I300">
        <v>137</v>
      </c>
      <c r="J300" t="s">
        <v>55</v>
      </c>
      <c r="K300" t="str">
        <f t="shared" si="4"/>
        <v>Review: Unpaid with payment date</v>
      </c>
    </row>
    <row r="301" spans="1:11" x14ac:dyDescent="0.3">
      <c r="A301">
        <v>12</v>
      </c>
      <c r="B301">
        <v>25</v>
      </c>
      <c r="C301" s="1">
        <v>46109</v>
      </c>
      <c r="D301" s="1">
        <v>46111</v>
      </c>
      <c r="E301">
        <v>3443136</v>
      </c>
      <c r="F301">
        <v>3443136</v>
      </c>
      <c r="G301">
        <v>0</v>
      </c>
      <c r="H301">
        <v>3443136</v>
      </c>
      <c r="I301">
        <v>2</v>
      </c>
      <c r="J301" t="s">
        <v>53</v>
      </c>
      <c r="K301" t="str">
        <f t="shared" si="4"/>
        <v>OK</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4EE15-241D-463A-8011-7D0C0704CB69}">
  <dimension ref="A1:G301"/>
  <sheetViews>
    <sheetView workbookViewId="0"/>
  </sheetViews>
  <sheetFormatPr defaultRowHeight="14.4" x14ac:dyDescent="0.3"/>
  <cols>
    <col min="1" max="1" width="14.33203125" bestFit="1" customWidth="1"/>
    <col min="2" max="2" width="15.44140625" bestFit="1" customWidth="1"/>
    <col min="3" max="3" width="10.109375" bestFit="1" customWidth="1"/>
    <col min="4" max="4" width="22.88671875" bestFit="1" customWidth="1"/>
    <col min="5" max="5" width="21.5546875" bestFit="1" customWidth="1"/>
    <col min="6" max="6" width="13.109375" bestFit="1" customWidth="1"/>
    <col min="7" max="7" width="7.6640625" bestFit="1" customWidth="1"/>
  </cols>
  <sheetData>
    <row r="1" spans="1:7" x14ac:dyDescent="0.3">
      <c r="A1" t="s">
        <v>43</v>
      </c>
      <c r="B1" t="s">
        <v>36</v>
      </c>
      <c r="C1" t="s">
        <v>0</v>
      </c>
      <c r="D1" t="s">
        <v>37</v>
      </c>
      <c r="E1" t="s">
        <v>38</v>
      </c>
      <c r="F1" t="s">
        <v>72</v>
      </c>
      <c r="G1" t="s">
        <v>73</v>
      </c>
    </row>
    <row r="2" spans="1:7" x14ac:dyDescent="0.3">
      <c r="A2" s="1">
        <v>45748</v>
      </c>
      <c r="B2" t="s">
        <v>40</v>
      </c>
      <c r="C2">
        <v>1</v>
      </c>
      <c r="D2">
        <v>217947</v>
      </c>
      <c r="E2">
        <v>209819</v>
      </c>
      <c r="F2">
        <v>8128</v>
      </c>
      <c r="G2">
        <v>3.73E-2</v>
      </c>
    </row>
    <row r="3" spans="1:7" x14ac:dyDescent="0.3">
      <c r="A3" s="1">
        <v>45778</v>
      </c>
      <c r="B3" t="s">
        <v>40</v>
      </c>
      <c r="C3">
        <v>1</v>
      </c>
      <c r="D3">
        <v>254619</v>
      </c>
      <c r="E3">
        <v>274677</v>
      </c>
      <c r="F3">
        <v>-20058</v>
      </c>
      <c r="G3">
        <v>-7.8799999999999995E-2</v>
      </c>
    </row>
    <row r="4" spans="1:7" x14ac:dyDescent="0.3">
      <c r="A4" s="1">
        <v>45809</v>
      </c>
      <c r="B4" t="s">
        <v>40</v>
      </c>
      <c r="C4">
        <v>1</v>
      </c>
      <c r="D4">
        <v>605946</v>
      </c>
      <c r="E4">
        <v>611235</v>
      </c>
      <c r="F4">
        <v>-5289</v>
      </c>
      <c r="G4">
        <v>-8.6999999999999994E-3</v>
      </c>
    </row>
    <row r="5" spans="1:7" x14ac:dyDescent="0.3">
      <c r="A5" s="1">
        <v>45839</v>
      </c>
      <c r="B5" t="s">
        <v>40</v>
      </c>
      <c r="C5">
        <v>1</v>
      </c>
      <c r="D5">
        <v>916873</v>
      </c>
      <c r="E5">
        <v>897647</v>
      </c>
      <c r="F5">
        <v>19226</v>
      </c>
      <c r="G5">
        <v>2.1000000000000001E-2</v>
      </c>
    </row>
    <row r="6" spans="1:7" x14ac:dyDescent="0.3">
      <c r="A6" s="1">
        <v>45870</v>
      </c>
      <c r="B6" t="s">
        <v>40</v>
      </c>
      <c r="C6">
        <v>1</v>
      </c>
      <c r="D6">
        <v>456470</v>
      </c>
      <c r="E6">
        <v>448823</v>
      </c>
      <c r="F6">
        <v>7647</v>
      </c>
      <c r="G6">
        <v>1.6799999999999999E-2</v>
      </c>
    </row>
    <row r="7" spans="1:7" x14ac:dyDescent="0.3">
      <c r="A7" s="1">
        <v>45901</v>
      </c>
      <c r="B7" t="s">
        <v>40</v>
      </c>
      <c r="C7">
        <v>1</v>
      </c>
      <c r="D7">
        <v>212766</v>
      </c>
      <c r="E7">
        <v>217455</v>
      </c>
      <c r="F7">
        <v>-4689</v>
      </c>
      <c r="G7">
        <v>-2.1999999999999999E-2</v>
      </c>
    </row>
    <row r="8" spans="1:7" x14ac:dyDescent="0.3">
      <c r="A8" s="1">
        <v>45931</v>
      </c>
      <c r="B8" t="s">
        <v>40</v>
      </c>
      <c r="C8">
        <v>1</v>
      </c>
      <c r="D8">
        <v>158041</v>
      </c>
      <c r="E8">
        <v>152769</v>
      </c>
      <c r="F8">
        <v>5272</v>
      </c>
      <c r="G8">
        <v>3.3399999999999999E-2</v>
      </c>
    </row>
    <row r="9" spans="1:7" x14ac:dyDescent="0.3">
      <c r="A9" s="1">
        <v>45962</v>
      </c>
      <c r="B9" t="s">
        <v>40</v>
      </c>
      <c r="C9">
        <v>1</v>
      </c>
      <c r="D9">
        <v>228812</v>
      </c>
      <c r="E9">
        <v>216193</v>
      </c>
      <c r="F9">
        <v>12619</v>
      </c>
      <c r="G9">
        <v>5.5199999999999999E-2</v>
      </c>
    </row>
    <row r="10" spans="1:7" x14ac:dyDescent="0.3">
      <c r="A10" s="1">
        <v>45992</v>
      </c>
      <c r="B10" t="s">
        <v>40</v>
      </c>
      <c r="C10">
        <v>1</v>
      </c>
      <c r="D10">
        <v>355409</v>
      </c>
      <c r="E10">
        <v>355304</v>
      </c>
      <c r="F10">
        <v>105</v>
      </c>
      <c r="G10">
        <v>2.9999999999999997E-4</v>
      </c>
    </row>
    <row r="11" spans="1:7" x14ac:dyDescent="0.3">
      <c r="A11" s="1">
        <v>46023</v>
      </c>
      <c r="B11" t="s">
        <v>40</v>
      </c>
      <c r="C11">
        <v>1</v>
      </c>
      <c r="D11">
        <v>88129</v>
      </c>
      <c r="E11">
        <v>83708</v>
      </c>
      <c r="F11">
        <v>4421</v>
      </c>
      <c r="G11">
        <v>5.0200000000000002E-2</v>
      </c>
    </row>
    <row r="12" spans="1:7" x14ac:dyDescent="0.3">
      <c r="A12" s="1">
        <v>46054</v>
      </c>
      <c r="B12" t="s">
        <v>40</v>
      </c>
      <c r="C12">
        <v>1</v>
      </c>
      <c r="D12">
        <v>104770</v>
      </c>
      <c r="E12">
        <v>101267</v>
      </c>
      <c r="F12">
        <v>3503</v>
      </c>
      <c r="G12">
        <v>3.3399999999999999E-2</v>
      </c>
    </row>
    <row r="13" spans="1:7" x14ac:dyDescent="0.3">
      <c r="A13" s="1">
        <v>46082</v>
      </c>
      <c r="B13" t="s">
        <v>40</v>
      </c>
      <c r="C13">
        <v>1</v>
      </c>
      <c r="D13">
        <v>101593</v>
      </c>
      <c r="E13">
        <v>95418</v>
      </c>
      <c r="F13">
        <v>6175</v>
      </c>
      <c r="G13">
        <v>6.08E-2</v>
      </c>
    </row>
    <row r="14" spans="1:7" x14ac:dyDescent="0.3">
      <c r="A14" s="1">
        <v>45748</v>
      </c>
      <c r="B14" t="s">
        <v>40</v>
      </c>
      <c r="C14">
        <v>2</v>
      </c>
      <c r="D14">
        <v>61241</v>
      </c>
      <c r="E14">
        <v>59664</v>
      </c>
      <c r="F14">
        <v>1577</v>
      </c>
      <c r="G14">
        <v>2.58E-2</v>
      </c>
    </row>
    <row r="15" spans="1:7" x14ac:dyDescent="0.3">
      <c r="A15" s="1">
        <v>45778</v>
      </c>
      <c r="B15" t="s">
        <v>40</v>
      </c>
      <c r="C15">
        <v>2</v>
      </c>
      <c r="D15">
        <v>144532</v>
      </c>
      <c r="E15">
        <v>142434</v>
      </c>
      <c r="F15">
        <v>2098</v>
      </c>
      <c r="G15">
        <v>1.4500000000000001E-2</v>
      </c>
    </row>
    <row r="16" spans="1:7" x14ac:dyDescent="0.3">
      <c r="A16" s="1">
        <v>45809</v>
      </c>
      <c r="B16" t="s">
        <v>40</v>
      </c>
      <c r="C16">
        <v>2</v>
      </c>
      <c r="D16">
        <v>212401</v>
      </c>
      <c r="E16">
        <v>209574</v>
      </c>
      <c r="F16">
        <v>2827</v>
      </c>
      <c r="G16">
        <v>1.3299999999999999E-2</v>
      </c>
    </row>
    <row r="17" spans="1:7" x14ac:dyDescent="0.3">
      <c r="A17" s="1">
        <v>45839</v>
      </c>
      <c r="B17" t="s">
        <v>40</v>
      </c>
      <c r="C17">
        <v>2</v>
      </c>
      <c r="D17">
        <v>251795</v>
      </c>
      <c r="E17">
        <v>247152</v>
      </c>
      <c r="F17">
        <v>4643</v>
      </c>
      <c r="G17">
        <v>1.84E-2</v>
      </c>
    </row>
    <row r="18" spans="1:7" x14ac:dyDescent="0.3">
      <c r="A18" s="1">
        <v>45870</v>
      </c>
      <c r="B18" t="s">
        <v>40</v>
      </c>
      <c r="C18">
        <v>2</v>
      </c>
      <c r="D18">
        <v>173052</v>
      </c>
      <c r="E18">
        <v>170958</v>
      </c>
      <c r="F18">
        <v>2094</v>
      </c>
      <c r="G18">
        <v>1.21E-2</v>
      </c>
    </row>
    <row r="19" spans="1:7" x14ac:dyDescent="0.3">
      <c r="A19" s="1">
        <v>45901</v>
      </c>
      <c r="B19" t="s">
        <v>40</v>
      </c>
      <c r="C19">
        <v>2</v>
      </c>
      <c r="D19">
        <v>152977</v>
      </c>
      <c r="E19">
        <v>151764</v>
      </c>
      <c r="F19">
        <v>1213</v>
      </c>
      <c r="G19">
        <v>7.9000000000000008E-3</v>
      </c>
    </row>
    <row r="20" spans="1:7" x14ac:dyDescent="0.3">
      <c r="A20" s="1">
        <v>45931</v>
      </c>
      <c r="B20" t="s">
        <v>40</v>
      </c>
      <c r="C20">
        <v>2</v>
      </c>
      <c r="D20">
        <v>65827</v>
      </c>
      <c r="E20">
        <v>64434</v>
      </c>
      <c r="F20">
        <v>1393</v>
      </c>
      <c r="G20">
        <v>2.12E-2</v>
      </c>
    </row>
    <row r="21" spans="1:7" x14ac:dyDescent="0.3">
      <c r="A21" s="1">
        <v>45962</v>
      </c>
      <c r="B21" t="s">
        <v>40</v>
      </c>
      <c r="C21">
        <v>2</v>
      </c>
      <c r="D21">
        <v>36192</v>
      </c>
      <c r="E21">
        <v>36330</v>
      </c>
      <c r="F21">
        <v>-138</v>
      </c>
      <c r="G21">
        <v>-3.8E-3</v>
      </c>
    </row>
    <row r="22" spans="1:7" x14ac:dyDescent="0.3">
      <c r="A22" s="1">
        <v>45992</v>
      </c>
      <c r="B22" t="s">
        <v>40</v>
      </c>
      <c r="C22">
        <v>2</v>
      </c>
      <c r="D22">
        <v>26592</v>
      </c>
      <c r="E22">
        <v>26292</v>
      </c>
      <c r="F22">
        <v>300</v>
      </c>
      <c r="G22">
        <v>1.1299999999999999E-2</v>
      </c>
    </row>
    <row r="23" spans="1:7" x14ac:dyDescent="0.3">
      <c r="A23" s="1">
        <v>46023</v>
      </c>
      <c r="B23" t="s">
        <v>40</v>
      </c>
      <c r="C23">
        <v>2</v>
      </c>
      <c r="D23">
        <v>28477</v>
      </c>
      <c r="E23">
        <v>28206</v>
      </c>
      <c r="F23">
        <v>271</v>
      </c>
      <c r="G23">
        <v>9.4999999999999998E-3</v>
      </c>
    </row>
    <row r="24" spans="1:7" x14ac:dyDescent="0.3">
      <c r="A24" s="1">
        <v>46054</v>
      </c>
      <c r="B24" t="s">
        <v>40</v>
      </c>
      <c r="C24">
        <v>2</v>
      </c>
      <c r="D24">
        <v>24663</v>
      </c>
      <c r="E24">
        <v>24264</v>
      </c>
      <c r="F24">
        <v>399</v>
      </c>
      <c r="G24">
        <v>1.6199999999999999E-2</v>
      </c>
    </row>
    <row r="25" spans="1:7" x14ac:dyDescent="0.3">
      <c r="A25" s="1">
        <v>46082</v>
      </c>
      <c r="B25" t="s">
        <v>40</v>
      </c>
      <c r="C25">
        <v>2</v>
      </c>
      <c r="D25">
        <v>35997</v>
      </c>
      <c r="E25">
        <v>36072</v>
      </c>
      <c r="F25">
        <v>-75</v>
      </c>
      <c r="G25">
        <v>-2.0999999999999999E-3</v>
      </c>
    </row>
    <row r="26" spans="1:7" x14ac:dyDescent="0.3">
      <c r="A26" s="1">
        <v>45748</v>
      </c>
      <c r="B26" t="s">
        <v>40</v>
      </c>
      <c r="C26">
        <v>3</v>
      </c>
      <c r="D26">
        <v>272213</v>
      </c>
      <c r="E26">
        <v>261840</v>
      </c>
      <c r="F26">
        <v>10373</v>
      </c>
      <c r="G26">
        <v>3.8100000000000002E-2</v>
      </c>
    </row>
    <row r="27" spans="1:7" x14ac:dyDescent="0.3">
      <c r="A27" s="1">
        <v>45778</v>
      </c>
      <c r="B27" t="s">
        <v>40</v>
      </c>
      <c r="C27">
        <v>3</v>
      </c>
      <c r="D27">
        <v>589198</v>
      </c>
      <c r="E27">
        <v>579600</v>
      </c>
      <c r="F27">
        <v>9598</v>
      </c>
      <c r="G27">
        <v>1.6299999999999999E-2</v>
      </c>
    </row>
    <row r="28" spans="1:7" x14ac:dyDescent="0.3">
      <c r="A28" s="1">
        <v>45809</v>
      </c>
      <c r="B28" t="s">
        <v>40</v>
      </c>
      <c r="C28">
        <v>3</v>
      </c>
      <c r="D28">
        <v>899206</v>
      </c>
      <c r="E28">
        <v>887940</v>
      </c>
      <c r="F28">
        <v>11266</v>
      </c>
      <c r="G28">
        <v>1.2500000000000001E-2</v>
      </c>
    </row>
    <row r="29" spans="1:7" x14ac:dyDescent="0.3">
      <c r="A29" s="1">
        <v>45839</v>
      </c>
      <c r="B29" t="s">
        <v>40</v>
      </c>
      <c r="C29">
        <v>3</v>
      </c>
      <c r="D29">
        <v>1233923</v>
      </c>
      <c r="E29">
        <v>1208880</v>
      </c>
      <c r="F29">
        <v>25043</v>
      </c>
      <c r="G29">
        <v>2.0299999999999999E-2</v>
      </c>
    </row>
    <row r="30" spans="1:7" x14ac:dyDescent="0.3">
      <c r="A30" s="1">
        <v>45870</v>
      </c>
      <c r="B30" t="s">
        <v>40</v>
      </c>
      <c r="C30">
        <v>3</v>
      </c>
      <c r="D30">
        <v>848303</v>
      </c>
      <c r="E30">
        <v>834270</v>
      </c>
      <c r="F30">
        <v>14033</v>
      </c>
      <c r="G30">
        <v>1.6500000000000001E-2</v>
      </c>
    </row>
    <row r="31" spans="1:7" x14ac:dyDescent="0.3">
      <c r="A31" s="1">
        <v>45901</v>
      </c>
      <c r="B31" t="s">
        <v>40</v>
      </c>
      <c r="C31">
        <v>3</v>
      </c>
      <c r="D31">
        <v>606468</v>
      </c>
      <c r="E31">
        <v>597360</v>
      </c>
      <c r="F31">
        <v>9108</v>
      </c>
      <c r="G31">
        <v>1.4999999999999999E-2</v>
      </c>
    </row>
    <row r="32" spans="1:7" x14ac:dyDescent="0.3">
      <c r="A32" s="1">
        <v>45931</v>
      </c>
      <c r="B32" t="s">
        <v>40</v>
      </c>
      <c r="C32">
        <v>3</v>
      </c>
      <c r="D32">
        <v>235504</v>
      </c>
      <c r="E32">
        <v>237390</v>
      </c>
      <c r="F32">
        <v>-1886</v>
      </c>
      <c r="G32">
        <v>-8.0000000000000002E-3</v>
      </c>
    </row>
    <row r="33" spans="1:7" x14ac:dyDescent="0.3">
      <c r="A33" s="1">
        <v>45962</v>
      </c>
      <c r="B33" t="s">
        <v>40</v>
      </c>
      <c r="C33">
        <v>3</v>
      </c>
      <c r="D33">
        <v>151607</v>
      </c>
      <c r="E33">
        <v>150810</v>
      </c>
      <c r="F33">
        <v>797</v>
      </c>
      <c r="G33">
        <v>5.3E-3</v>
      </c>
    </row>
    <row r="34" spans="1:7" x14ac:dyDescent="0.3">
      <c r="A34" s="1">
        <v>45992</v>
      </c>
      <c r="B34" t="s">
        <v>40</v>
      </c>
      <c r="C34">
        <v>3</v>
      </c>
      <c r="D34">
        <v>181737</v>
      </c>
      <c r="E34">
        <v>175080</v>
      </c>
      <c r="F34">
        <v>6657</v>
      </c>
      <c r="G34">
        <v>3.6600000000000001E-2</v>
      </c>
    </row>
    <row r="35" spans="1:7" x14ac:dyDescent="0.3">
      <c r="A35" s="1">
        <v>46023</v>
      </c>
      <c r="B35" t="s">
        <v>40</v>
      </c>
      <c r="C35">
        <v>3</v>
      </c>
      <c r="D35">
        <v>200483</v>
      </c>
      <c r="E35">
        <v>200040</v>
      </c>
      <c r="F35">
        <v>443</v>
      </c>
      <c r="G35">
        <v>2.2000000000000001E-3</v>
      </c>
    </row>
    <row r="36" spans="1:7" x14ac:dyDescent="0.3">
      <c r="A36" s="1">
        <v>46054</v>
      </c>
      <c r="B36" t="s">
        <v>40</v>
      </c>
      <c r="C36">
        <v>3</v>
      </c>
      <c r="D36">
        <v>157615</v>
      </c>
      <c r="E36">
        <v>155580</v>
      </c>
      <c r="F36">
        <v>2035</v>
      </c>
      <c r="G36">
        <v>1.29E-2</v>
      </c>
    </row>
    <row r="37" spans="1:7" x14ac:dyDescent="0.3">
      <c r="A37" s="1">
        <v>46082</v>
      </c>
      <c r="B37" t="s">
        <v>40</v>
      </c>
      <c r="C37">
        <v>3</v>
      </c>
      <c r="D37">
        <v>160831</v>
      </c>
      <c r="E37">
        <v>160590</v>
      </c>
      <c r="F37">
        <v>241</v>
      </c>
      <c r="G37">
        <v>1.5E-3</v>
      </c>
    </row>
    <row r="38" spans="1:7" x14ac:dyDescent="0.3">
      <c r="A38" s="1">
        <v>45748</v>
      </c>
      <c r="B38" t="s">
        <v>40</v>
      </c>
      <c r="C38">
        <v>4</v>
      </c>
      <c r="D38">
        <v>163814</v>
      </c>
      <c r="E38">
        <v>261840</v>
      </c>
      <c r="F38">
        <v>-98026</v>
      </c>
      <c r="G38">
        <v>-0.59840000000000004</v>
      </c>
    </row>
    <row r="39" spans="1:7" x14ac:dyDescent="0.3">
      <c r="A39" s="1">
        <v>45778</v>
      </c>
      <c r="B39" t="s">
        <v>40</v>
      </c>
      <c r="C39">
        <v>4</v>
      </c>
      <c r="D39">
        <v>458888</v>
      </c>
      <c r="E39">
        <v>579600</v>
      </c>
      <c r="F39">
        <v>-120712</v>
      </c>
      <c r="G39">
        <v>-0.2631</v>
      </c>
    </row>
    <row r="40" spans="1:7" x14ac:dyDescent="0.3">
      <c r="A40" s="1">
        <v>45809</v>
      </c>
      <c r="B40" t="s">
        <v>40</v>
      </c>
      <c r="C40">
        <v>4</v>
      </c>
      <c r="D40">
        <v>667791</v>
      </c>
      <c r="E40">
        <v>887940</v>
      </c>
      <c r="F40">
        <v>-220149</v>
      </c>
      <c r="G40">
        <v>-0.32969999999999999</v>
      </c>
    </row>
    <row r="41" spans="1:7" x14ac:dyDescent="0.3">
      <c r="A41" s="1">
        <v>45839</v>
      </c>
      <c r="B41" t="s">
        <v>40</v>
      </c>
      <c r="C41">
        <v>4</v>
      </c>
      <c r="D41">
        <v>779685</v>
      </c>
      <c r="E41">
        <v>1208880</v>
      </c>
      <c r="F41">
        <v>-429195</v>
      </c>
      <c r="G41">
        <v>-0.55049999999999999</v>
      </c>
    </row>
    <row r="42" spans="1:7" x14ac:dyDescent="0.3">
      <c r="A42" s="1">
        <v>45870</v>
      </c>
      <c r="B42" t="s">
        <v>40</v>
      </c>
      <c r="C42">
        <v>4</v>
      </c>
      <c r="D42">
        <v>581677</v>
      </c>
      <c r="E42">
        <v>834270</v>
      </c>
      <c r="F42">
        <v>-252593</v>
      </c>
      <c r="G42">
        <v>-0.43419999999999997</v>
      </c>
    </row>
    <row r="43" spans="1:7" x14ac:dyDescent="0.3">
      <c r="A43" s="1">
        <v>45901</v>
      </c>
      <c r="B43" t="s">
        <v>40</v>
      </c>
      <c r="C43">
        <v>4</v>
      </c>
      <c r="D43">
        <v>587854</v>
      </c>
      <c r="E43">
        <v>597360</v>
      </c>
      <c r="F43">
        <v>-9506</v>
      </c>
      <c r="G43">
        <v>-1.6199999999999999E-2</v>
      </c>
    </row>
    <row r="44" spans="1:7" x14ac:dyDescent="0.3">
      <c r="A44" s="1">
        <v>45931</v>
      </c>
      <c r="B44" t="s">
        <v>40</v>
      </c>
      <c r="C44">
        <v>4</v>
      </c>
      <c r="D44">
        <v>188431</v>
      </c>
      <c r="E44">
        <v>237390</v>
      </c>
      <c r="F44">
        <v>-48959</v>
      </c>
      <c r="G44">
        <v>-0.25979999999999998</v>
      </c>
    </row>
    <row r="45" spans="1:7" x14ac:dyDescent="0.3">
      <c r="A45" s="1">
        <v>45962</v>
      </c>
      <c r="B45" t="s">
        <v>40</v>
      </c>
      <c r="C45">
        <v>4</v>
      </c>
      <c r="D45">
        <v>100086</v>
      </c>
      <c r="E45">
        <v>150810</v>
      </c>
      <c r="F45">
        <v>-50724</v>
      </c>
      <c r="G45">
        <v>-0.50680000000000003</v>
      </c>
    </row>
    <row r="46" spans="1:7" x14ac:dyDescent="0.3">
      <c r="A46" s="1">
        <v>45992</v>
      </c>
      <c r="B46" t="s">
        <v>40</v>
      </c>
      <c r="C46">
        <v>4</v>
      </c>
      <c r="D46">
        <v>70010</v>
      </c>
      <c r="E46">
        <v>175080</v>
      </c>
      <c r="F46">
        <v>-105070</v>
      </c>
      <c r="G46">
        <v>-1.5007999999999999</v>
      </c>
    </row>
    <row r="47" spans="1:7" x14ac:dyDescent="0.3">
      <c r="A47" s="1">
        <v>46023</v>
      </c>
      <c r="B47" t="s">
        <v>40</v>
      </c>
      <c r="C47">
        <v>4</v>
      </c>
      <c r="D47">
        <v>88593</v>
      </c>
      <c r="E47">
        <v>200040</v>
      </c>
      <c r="F47">
        <v>-111447</v>
      </c>
      <c r="G47">
        <v>-1.258</v>
      </c>
    </row>
    <row r="48" spans="1:7" x14ac:dyDescent="0.3">
      <c r="A48" s="1">
        <v>46054</v>
      </c>
      <c r="B48" t="s">
        <v>40</v>
      </c>
      <c r="C48">
        <v>4</v>
      </c>
      <c r="D48">
        <v>86588</v>
      </c>
      <c r="E48">
        <v>155580</v>
      </c>
      <c r="F48">
        <v>-68992</v>
      </c>
      <c r="G48">
        <v>-0.79679999999999995</v>
      </c>
    </row>
    <row r="49" spans="1:7" x14ac:dyDescent="0.3">
      <c r="A49" s="1">
        <v>46082</v>
      </c>
      <c r="B49" t="s">
        <v>40</v>
      </c>
      <c r="C49">
        <v>4</v>
      </c>
      <c r="D49">
        <v>71840</v>
      </c>
      <c r="E49">
        <v>160590</v>
      </c>
      <c r="F49">
        <v>-88750</v>
      </c>
      <c r="G49">
        <v>-1.2354000000000001</v>
      </c>
    </row>
    <row r="50" spans="1:7" x14ac:dyDescent="0.3">
      <c r="A50" s="1">
        <v>45748</v>
      </c>
      <c r="B50" t="s">
        <v>40</v>
      </c>
      <c r="C50">
        <v>5</v>
      </c>
      <c r="D50">
        <v>109526</v>
      </c>
      <c r="E50">
        <v>110052</v>
      </c>
      <c r="F50">
        <v>-526</v>
      </c>
      <c r="G50">
        <v>-4.7999999999999996E-3</v>
      </c>
    </row>
    <row r="51" spans="1:7" x14ac:dyDescent="0.3">
      <c r="A51" s="1">
        <v>45778</v>
      </c>
      <c r="B51" t="s">
        <v>40</v>
      </c>
      <c r="C51">
        <v>5</v>
      </c>
      <c r="D51">
        <v>230066</v>
      </c>
      <c r="E51">
        <v>224220</v>
      </c>
      <c r="F51">
        <v>5846</v>
      </c>
      <c r="G51">
        <v>2.5399999999999999E-2</v>
      </c>
    </row>
    <row r="52" spans="1:7" x14ac:dyDescent="0.3">
      <c r="A52" s="1">
        <v>45809</v>
      </c>
      <c r="B52" t="s">
        <v>40</v>
      </c>
      <c r="C52">
        <v>5</v>
      </c>
      <c r="D52">
        <v>315371</v>
      </c>
      <c r="E52">
        <v>309600</v>
      </c>
      <c r="F52">
        <v>5771</v>
      </c>
      <c r="G52">
        <v>1.83E-2</v>
      </c>
    </row>
    <row r="53" spans="1:7" x14ac:dyDescent="0.3">
      <c r="A53" s="1">
        <v>45839</v>
      </c>
      <c r="B53" t="s">
        <v>40</v>
      </c>
      <c r="C53">
        <v>5</v>
      </c>
      <c r="D53">
        <v>489014</v>
      </c>
      <c r="E53">
        <v>484140</v>
      </c>
      <c r="F53">
        <v>4874</v>
      </c>
      <c r="G53">
        <v>0.01</v>
      </c>
    </row>
    <row r="54" spans="1:7" x14ac:dyDescent="0.3">
      <c r="A54" s="1">
        <v>45870</v>
      </c>
      <c r="B54" t="s">
        <v>40</v>
      </c>
      <c r="C54">
        <v>5</v>
      </c>
      <c r="D54">
        <v>356587</v>
      </c>
      <c r="E54">
        <v>358464</v>
      </c>
      <c r="F54">
        <v>-1877</v>
      </c>
      <c r="G54">
        <v>-5.3E-3</v>
      </c>
    </row>
    <row r="55" spans="1:7" x14ac:dyDescent="0.3">
      <c r="A55" s="1">
        <v>45901</v>
      </c>
      <c r="B55" t="s">
        <v>40</v>
      </c>
      <c r="C55">
        <v>5</v>
      </c>
      <c r="D55">
        <v>310040</v>
      </c>
      <c r="E55">
        <v>304452</v>
      </c>
      <c r="F55">
        <v>5588</v>
      </c>
      <c r="G55">
        <v>1.7999999999999999E-2</v>
      </c>
    </row>
    <row r="56" spans="1:7" x14ac:dyDescent="0.3">
      <c r="A56" s="1">
        <v>45931</v>
      </c>
      <c r="B56" t="s">
        <v>40</v>
      </c>
      <c r="C56">
        <v>5</v>
      </c>
      <c r="D56">
        <v>137425</v>
      </c>
      <c r="E56">
        <v>130080</v>
      </c>
      <c r="F56">
        <v>7345</v>
      </c>
      <c r="G56">
        <v>5.3400000000000003E-2</v>
      </c>
    </row>
    <row r="57" spans="1:7" x14ac:dyDescent="0.3">
      <c r="A57" s="1">
        <v>45962</v>
      </c>
      <c r="B57" t="s">
        <v>40</v>
      </c>
      <c r="C57">
        <v>5</v>
      </c>
      <c r="D57">
        <v>113870</v>
      </c>
      <c r="E57">
        <v>109752</v>
      </c>
      <c r="F57">
        <v>4118</v>
      </c>
      <c r="G57">
        <v>3.6200000000000003E-2</v>
      </c>
    </row>
    <row r="58" spans="1:7" x14ac:dyDescent="0.3">
      <c r="A58" s="1">
        <v>45992</v>
      </c>
      <c r="B58" t="s">
        <v>40</v>
      </c>
      <c r="C58">
        <v>5</v>
      </c>
      <c r="D58">
        <v>120513</v>
      </c>
      <c r="E58">
        <v>119412</v>
      </c>
      <c r="F58">
        <v>1101</v>
      </c>
      <c r="G58">
        <v>9.1000000000000004E-3</v>
      </c>
    </row>
    <row r="59" spans="1:7" x14ac:dyDescent="0.3">
      <c r="A59" s="1">
        <v>46023</v>
      </c>
      <c r="B59" t="s">
        <v>40</v>
      </c>
      <c r="C59">
        <v>5</v>
      </c>
      <c r="D59">
        <v>138253</v>
      </c>
      <c r="E59">
        <v>137700</v>
      </c>
      <c r="F59">
        <v>553</v>
      </c>
      <c r="G59">
        <v>4.0000000000000001E-3</v>
      </c>
    </row>
    <row r="60" spans="1:7" x14ac:dyDescent="0.3">
      <c r="A60" s="1">
        <v>46054</v>
      </c>
      <c r="B60" t="s">
        <v>40</v>
      </c>
      <c r="C60">
        <v>5</v>
      </c>
      <c r="D60">
        <v>90650</v>
      </c>
      <c r="E60">
        <v>89196</v>
      </c>
      <c r="F60">
        <v>1454</v>
      </c>
      <c r="G60">
        <v>1.6E-2</v>
      </c>
    </row>
    <row r="61" spans="1:7" x14ac:dyDescent="0.3">
      <c r="A61" s="1">
        <v>46082</v>
      </c>
      <c r="B61" t="s">
        <v>40</v>
      </c>
      <c r="C61">
        <v>5</v>
      </c>
      <c r="D61">
        <v>78798</v>
      </c>
      <c r="E61">
        <v>79152</v>
      </c>
      <c r="F61">
        <v>-354</v>
      </c>
      <c r="G61">
        <v>-4.4999999999999997E-3</v>
      </c>
    </row>
    <row r="62" spans="1:7" x14ac:dyDescent="0.3">
      <c r="A62" s="1">
        <v>45748</v>
      </c>
      <c r="B62" t="s">
        <v>40</v>
      </c>
      <c r="C62">
        <v>6</v>
      </c>
      <c r="D62">
        <v>331644</v>
      </c>
      <c r="E62">
        <v>323682</v>
      </c>
      <c r="F62">
        <v>7962</v>
      </c>
      <c r="G62">
        <v>2.4E-2</v>
      </c>
    </row>
    <row r="63" spans="1:7" x14ac:dyDescent="0.3">
      <c r="A63" s="1">
        <v>45778</v>
      </c>
      <c r="B63" t="s">
        <v>40</v>
      </c>
      <c r="C63">
        <v>6</v>
      </c>
      <c r="D63">
        <v>264323</v>
      </c>
      <c r="E63">
        <v>255734</v>
      </c>
      <c r="F63">
        <v>8589</v>
      </c>
      <c r="G63">
        <v>3.2500000000000001E-2</v>
      </c>
    </row>
    <row r="64" spans="1:7" x14ac:dyDescent="0.3">
      <c r="A64" s="1">
        <v>45809</v>
      </c>
      <c r="B64" t="s">
        <v>40</v>
      </c>
      <c r="C64">
        <v>6</v>
      </c>
      <c r="D64">
        <v>529853</v>
      </c>
      <c r="E64">
        <v>517407</v>
      </c>
      <c r="F64">
        <v>12446</v>
      </c>
      <c r="G64">
        <v>2.35E-2</v>
      </c>
    </row>
    <row r="65" spans="1:7" x14ac:dyDescent="0.3">
      <c r="A65" s="1">
        <v>45839</v>
      </c>
      <c r="B65" t="s">
        <v>40</v>
      </c>
      <c r="C65">
        <v>6</v>
      </c>
      <c r="D65">
        <v>492003</v>
      </c>
      <c r="E65">
        <v>480028</v>
      </c>
      <c r="F65">
        <v>11975</v>
      </c>
      <c r="G65">
        <v>2.4299999999999999E-2</v>
      </c>
    </row>
    <row r="66" spans="1:7" x14ac:dyDescent="0.3">
      <c r="A66" s="1">
        <v>45870</v>
      </c>
      <c r="B66" t="s">
        <v>40</v>
      </c>
      <c r="C66">
        <v>6</v>
      </c>
      <c r="D66">
        <v>384444</v>
      </c>
      <c r="E66">
        <v>373756</v>
      </c>
      <c r="F66">
        <v>10688</v>
      </c>
      <c r="G66">
        <v>2.7799999999999998E-2</v>
      </c>
    </row>
    <row r="67" spans="1:7" x14ac:dyDescent="0.3">
      <c r="A67" s="1">
        <v>45901</v>
      </c>
      <c r="B67" t="s">
        <v>40</v>
      </c>
      <c r="C67">
        <v>6</v>
      </c>
      <c r="D67">
        <v>285516</v>
      </c>
      <c r="E67">
        <v>276438</v>
      </c>
      <c r="F67">
        <v>9078</v>
      </c>
      <c r="G67">
        <v>3.1800000000000002E-2</v>
      </c>
    </row>
    <row r="68" spans="1:7" x14ac:dyDescent="0.3">
      <c r="A68" s="1">
        <v>45931</v>
      </c>
      <c r="B68" t="s">
        <v>40</v>
      </c>
      <c r="C68">
        <v>6</v>
      </c>
      <c r="D68">
        <v>95973</v>
      </c>
      <c r="E68">
        <v>88630</v>
      </c>
      <c r="F68">
        <v>7343</v>
      </c>
      <c r="G68">
        <v>7.6499999999999999E-2</v>
      </c>
    </row>
    <row r="69" spans="1:7" x14ac:dyDescent="0.3">
      <c r="A69" s="1">
        <v>45962</v>
      </c>
      <c r="B69" t="s">
        <v>40</v>
      </c>
      <c r="C69">
        <v>6</v>
      </c>
      <c r="D69">
        <v>78835</v>
      </c>
      <c r="E69">
        <v>73745</v>
      </c>
      <c r="F69">
        <v>5090</v>
      </c>
      <c r="G69">
        <v>6.4600000000000005E-2</v>
      </c>
    </row>
    <row r="70" spans="1:7" x14ac:dyDescent="0.3">
      <c r="A70" s="1">
        <v>45992</v>
      </c>
      <c r="B70" t="s">
        <v>40</v>
      </c>
      <c r="C70">
        <v>6</v>
      </c>
      <c r="D70">
        <v>88592</v>
      </c>
      <c r="E70">
        <v>82779</v>
      </c>
      <c r="F70">
        <v>5813</v>
      </c>
      <c r="G70">
        <v>6.5600000000000006E-2</v>
      </c>
    </row>
    <row r="71" spans="1:7" x14ac:dyDescent="0.3">
      <c r="A71" s="1">
        <v>46023</v>
      </c>
      <c r="B71" t="s">
        <v>40</v>
      </c>
      <c r="C71">
        <v>6</v>
      </c>
      <c r="D71">
        <v>73156</v>
      </c>
      <c r="E71">
        <v>68041</v>
      </c>
      <c r="F71">
        <v>5115</v>
      </c>
      <c r="G71">
        <v>6.9900000000000004E-2</v>
      </c>
    </row>
    <row r="72" spans="1:7" x14ac:dyDescent="0.3">
      <c r="A72" s="1">
        <v>46054</v>
      </c>
      <c r="B72" t="s">
        <v>40</v>
      </c>
      <c r="C72">
        <v>6</v>
      </c>
      <c r="D72">
        <v>63235</v>
      </c>
      <c r="E72">
        <v>58988</v>
      </c>
      <c r="F72">
        <v>4247</v>
      </c>
      <c r="G72">
        <v>6.7199999999999996E-2</v>
      </c>
    </row>
    <row r="73" spans="1:7" x14ac:dyDescent="0.3">
      <c r="A73" s="1">
        <v>46082</v>
      </c>
      <c r="B73" t="s">
        <v>40</v>
      </c>
      <c r="C73">
        <v>6</v>
      </c>
      <c r="D73">
        <v>151526</v>
      </c>
      <c r="E73">
        <v>145516</v>
      </c>
      <c r="F73">
        <v>6010</v>
      </c>
      <c r="G73">
        <v>3.9699999999999999E-2</v>
      </c>
    </row>
    <row r="74" spans="1:7" x14ac:dyDescent="0.3">
      <c r="A74" s="1">
        <v>45748</v>
      </c>
      <c r="B74" t="s">
        <v>40</v>
      </c>
      <c r="C74">
        <v>7</v>
      </c>
      <c r="D74">
        <v>219282</v>
      </c>
      <c r="E74">
        <v>207898</v>
      </c>
      <c r="F74">
        <v>11384</v>
      </c>
      <c r="G74">
        <v>5.1900000000000002E-2</v>
      </c>
    </row>
    <row r="75" spans="1:7" x14ac:dyDescent="0.3">
      <c r="A75" s="1">
        <v>45778</v>
      </c>
      <c r="B75" t="s">
        <v>40</v>
      </c>
      <c r="C75">
        <v>7</v>
      </c>
      <c r="D75">
        <v>300591</v>
      </c>
      <c r="E75">
        <v>286144</v>
      </c>
      <c r="F75">
        <v>14447</v>
      </c>
      <c r="G75">
        <v>4.8099999999999997E-2</v>
      </c>
    </row>
    <row r="76" spans="1:7" x14ac:dyDescent="0.3">
      <c r="A76" s="1">
        <v>45809</v>
      </c>
      <c r="B76" t="s">
        <v>40</v>
      </c>
      <c r="C76">
        <v>7</v>
      </c>
      <c r="D76">
        <v>728153</v>
      </c>
      <c r="E76">
        <v>694213</v>
      </c>
      <c r="F76">
        <v>33940</v>
      </c>
      <c r="G76">
        <v>4.6600000000000003E-2</v>
      </c>
    </row>
    <row r="77" spans="1:7" x14ac:dyDescent="0.3">
      <c r="A77" s="1">
        <v>45839</v>
      </c>
      <c r="B77" t="s">
        <v>40</v>
      </c>
      <c r="C77">
        <v>7</v>
      </c>
      <c r="D77">
        <v>906149</v>
      </c>
      <c r="E77">
        <v>864747</v>
      </c>
      <c r="F77">
        <v>41402</v>
      </c>
      <c r="G77">
        <v>4.5699999999999998E-2</v>
      </c>
    </row>
    <row r="78" spans="1:7" x14ac:dyDescent="0.3">
      <c r="A78" s="1">
        <v>45870</v>
      </c>
      <c r="B78" t="s">
        <v>40</v>
      </c>
      <c r="C78">
        <v>7</v>
      </c>
      <c r="D78">
        <v>563218</v>
      </c>
      <c r="E78">
        <v>537907</v>
      </c>
      <c r="F78">
        <v>25311</v>
      </c>
      <c r="G78">
        <v>4.4900000000000002E-2</v>
      </c>
    </row>
    <row r="79" spans="1:7" x14ac:dyDescent="0.3">
      <c r="A79" s="1">
        <v>45901</v>
      </c>
      <c r="B79" t="s">
        <v>40</v>
      </c>
      <c r="C79">
        <v>7</v>
      </c>
      <c r="D79">
        <v>353039</v>
      </c>
      <c r="E79">
        <v>337010</v>
      </c>
      <c r="F79">
        <v>16029</v>
      </c>
      <c r="G79">
        <v>4.5400000000000003E-2</v>
      </c>
    </row>
    <row r="80" spans="1:7" x14ac:dyDescent="0.3">
      <c r="A80" s="1">
        <v>45931</v>
      </c>
      <c r="B80" t="s">
        <v>40</v>
      </c>
      <c r="C80">
        <v>7</v>
      </c>
      <c r="D80">
        <v>251084</v>
      </c>
      <c r="E80">
        <v>239036</v>
      </c>
      <c r="F80">
        <v>12048</v>
      </c>
      <c r="G80">
        <v>4.8000000000000001E-2</v>
      </c>
    </row>
    <row r="81" spans="1:7" x14ac:dyDescent="0.3">
      <c r="A81" s="1">
        <v>45962</v>
      </c>
      <c r="B81" t="s">
        <v>40</v>
      </c>
      <c r="C81">
        <v>7</v>
      </c>
      <c r="D81">
        <v>240813</v>
      </c>
      <c r="E81">
        <v>230110</v>
      </c>
      <c r="F81">
        <v>10703</v>
      </c>
      <c r="G81">
        <v>4.4400000000000002E-2</v>
      </c>
    </row>
    <row r="82" spans="1:7" x14ac:dyDescent="0.3">
      <c r="A82" s="1">
        <v>45992</v>
      </c>
      <c r="B82" t="s">
        <v>40</v>
      </c>
      <c r="C82">
        <v>7</v>
      </c>
      <c r="D82">
        <v>262489</v>
      </c>
      <c r="E82">
        <v>251404</v>
      </c>
      <c r="F82">
        <v>11085</v>
      </c>
      <c r="G82">
        <v>4.2200000000000001E-2</v>
      </c>
    </row>
    <row r="83" spans="1:7" x14ac:dyDescent="0.3">
      <c r="A83" s="1">
        <v>46023</v>
      </c>
      <c r="B83" t="s">
        <v>40</v>
      </c>
      <c r="C83">
        <v>7</v>
      </c>
      <c r="D83">
        <v>164933</v>
      </c>
      <c r="E83">
        <v>155774</v>
      </c>
      <c r="F83">
        <v>9159</v>
      </c>
      <c r="G83">
        <v>5.5500000000000001E-2</v>
      </c>
    </row>
    <row r="84" spans="1:7" x14ac:dyDescent="0.3">
      <c r="A84" s="1">
        <v>46054</v>
      </c>
      <c r="B84" t="s">
        <v>40</v>
      </c>
      <c r="C84">
        <v>7</v>
      </c>
      <c r="D84">
        <v>108487</v>
      </c>
      <c r="E84">
        <v>101237</v>
      </c>
      <c r="F84">
        <v>7250</v>
      </c>
      <c r="G84">
        <v>6.6799999999999998E-2</v>
      </c>
    </row>
    <row r="85" spans="1:7" x14ac:dyDescent="0.3">
      <c r="A85" s="1">
        <v>46082</v>
      </c>
      <c r="B85" t="s">
        <v>40</v>
      </c>
      <c r="C85">
        <v>7</v>
      </c>
      <c r="D85">
        <v>159730</v>
      </c>
      <c r="E85">
        <v>150263</v>
      </c>
      <c r="F85">
        <v>9467</v>
      </c>
      <c r="G85">
        <v>5.9299999999999999E-2</v>
      </c>
    </row>
    <row r="86" spans="1:7" x14ac:dyDescent="0.3">
      <c r="A86" s="1">
        <v>45748</v>
      </c>
      <c r="B86" t="s">
        <v>40</v>
      </c>
      <c r="C86">
        <v>8</v>
      </c>
      <c r="D86">
        <v>476289</v>
      </c>
      <c r="E86">
        <v>441827</v>
      </c>
      <c r="F86">
        <v>34462</v>
      </c>
      <c r="G86">
        <v>7.2400000000000006E-2</v>
      </c>
    </row>
    <row r="87" spans="1:7" x14ac:dyDescent="0.3">
      <c r="A87" s="1">
        <v>45778</v>
      </c>
      <c r="B87" t="s">
        <v>40</v>
      </c>
      <c r="C87">
        <v>8</v>
      </c>
      <c r="D87">
        <v>658404</v>
      </c>
      <c r="E87">
        <v>626816</v>
      </c>
      <c r="F87">
        <v>31588</v>
      </c>
      <c r="G87">
        <v>4.8000000000000001E-2</v>
      </c>
    </row>
    <row r="88" spans="1:7" x14ac:dyDescent="0.3">
      <c r="A88" s="1">
        <v>45809</v>
      </c>
      <c r="B88" t="s">
        <v>40</v>
      </c>
      <c r="C88">
        <v>8</v>
      </c>
      <c r="D88">
        <v>1676253</v>
      </c>
      <c r="E88">
        <v>1655025</v>
      </c>
      <c r="F88">
        <v>21228</v>
      </c>
      <c r="G88">
        <v>1.2699999999999999E-2</v>
      </c>
    </row>
    <row r="89" spans="1:7" x14ac:dyDescent="0.3">
      <c r="A89" s="1">
        <v>45839</v>
      </c>
      <c r="B89" t="s">
        <v>40</v>
      </c>
      <c r="C89">
        <v>8</v>
      </c>
      <c r="D89">
        <v>1761245</v>
      </c>
      <c r="E89">
        <v>1651751</v>
      </c>
      <c r="F89">
        <v>109494</v>
      </c>
      <c r="G89">
        <v>6.2199999999999998E-2</v>
      </c>
    </row>
    <row r="90" spans="1:7" x14ac:dyDescent="0.3">
      <c r="A90" s="1">
        <v>45870</v>
      </c>
      <c r="B90" t="s">
        <v>40</v>
      </c>
      <c r="C90">
        <v>8</v>
      </c>
      <c r="D90">
        <v>1029272</v>
      </c>
      <c r="E90">
        <v>993951</v>
      </c>
      <c r="F90">
        <v>35321</v>
      </c>
      <c r="G90">
        <v>3.4299999999999997E-2</v>
      </c>
    </row>
    <row r="91" spans="1:7" x14ac:dyDescent="0.3">
      <c r="A91" s="1">
        <v>45901</v>
      </c>
      <c r="B91" t="s">
        <v>40</v>
      </c>
      <c r="C91">
        <v>8</v>
      </c>
      <c r="D91">
        <v>714955</v>
      </c>
      <c r="E91">
        <v>691147</v>
      </c>
      <c r="F91">
        <v>23808</v>
      </c>
      <c r="G91">
        <v>3.3300000000000003E-2</v>
      </c>
    </row>
    <row r="92" spans="1:7" x14ac:dyDescent="0.3">
      <c r="A92" s="1">
        <v>45931</v>
      </c>
      <c r="B92" t="s">
        <v>40</v>
      </c>
      <c r="C92">
        <v>8</v>
      </c>
      <c r="D92">
        <v>389363</v>
      </c>
      <c r="E92">
        <v>380298</v>
      </c>
      <c r="F92">
        <v>9065</v>
      </c>
      <c r="G92">
        <v>2.3300000000000001E-2</v>
      </c>
    </row>
    <row r="93" spans="1:7" x14ac:dyDescent="0.3">
      <c r="A93" s="1">
        <v>45962</v>
      </c>
      <c r="B93" t="s">
        <v>40</v>
      </c>
      <c r="C93">
        <v>8</v>
      </c>
      <c r="D93">
        <v>626254</v>
      </c>
      <c r="E93">
        <v>590454</v>
      </c>
      <c r="F93">
        <v>35800</v>
      </c>
      <c r="G93">
        <v>5.7200000000000001E-2</v>
      </c>
    </row>
    <row r="94" spans="1:7" x14ac:dyDescent="0.3">
      <c r="A94" s="1">
        <v>45992</v>
      </c>
      <c r="B94" t="s">
        <v>40</v>
      </c>
      <c r="C94">
        <v>8</v>
      </c>
      <c r="D94">
        <v>770756</v>
      </c>
      <c r="E94">
        <v>753687</v>
      </c>
      <c r="F94">
        <v>17069</v>
      </c>
      <c r="G94">
        <v>2.2100000000000002E-2</v>
      </c>
    </row>
    <row r="95" spans="1:7" x14ac:dyDescent="0.3">
      <c r="A95" s="1">
        <v>46023</v>
      </c>
      <c r="B95" t="s">
        <v>40</v>
      </c>
      <c r="C95">
        <v>8</v>
      </c>
      <c r="D95">
        <v>300125</v>
      </c>
      <c r="E95">
        <v>282805</v>
      </c>
      <c r="F95">
        <v>17320</v>
      </c>
      <c r="G95">
        <v>5.7700000000000001E-2</v>
      </c>
    </row>
    <row r="96" spans="1:7" x14ac:dyDescent="0.3">
      <c r="A96" s="1">
        <v>46054</v>
      </c>
      <c r="B96" t="s">
        <v>40</v>
      </c>
      <c r="C96">
        <v>8</v>
      </c>
      <c r="D96">
        <v>243955</v>
      </c>
      <c r="E96">
        <v>232502</v>
      </c>
      <c r="F96">
        <v>11453</v>
      </c>
      <c r="G96">
        <v>4.6899999999999997E-2</v>
      </c>
    </row>
    <row r="97" spans="1:7" x14ac:dyDescent="0.3">
      <c r="A97" s="1">
        <v>46082</v>
      </c>
      <c r="B97" t="s">
        <v>40</v>
      </c>
      <c r="C97">
        <v>8</v>
      </c>
      <c r="D97">
        <v>372611</v>
      </c>
      <c r="E97">
        <v>360310</v>
      </c>
      <c r="F97">
        <v>12301</v>
      </c>
      <c r="G97">
        <v>3.3000000000000002E-2</v>
      </c>
    </row>
    <row r="98" spans="1:7" x14ac:dyDescent="0.3">
      <c r="A98" s="1">
        <v>45748</v>
      </c>
      <c r="B98" t="s">
        <v>40</v>
      </c>
      <c r="C98">
        <v>9</v>
      </c>
      <c r="D98">
        <v>140572</v>
      </c>
      <c r="E98">
        <v>137022</v>
      </c>
      <c r="F98">
        <v>3550</v>
      </c>
      <c r="G98">
        <v>2.53E-2</v>
      </c>
    </row>
    <row r="99" spans="1:7" x14ac:dyDescent="0.3">
      <c r="A99" s="1">
        <v>45778</v>
      </c>
      <c r="B99" t="s">
        <v>40</v>
      </c>
      <c r="C99">
        <v>9</v>
      </c>
      <c r="D99">
        <v>269319</v>
      </c>
      <c r="E99">
        <v>264196</v>
      </c>
      <c r="F99">
        <v>5123</v>
      </c>
      <c r="G99">
        <v>1.9E-2</v>
      </c>
    </row>
    <row r="100" spans="1:7" x14ac:dyDescent="0.3">
      <c r="A100" s="1">
        <v>45809</v>
      </c>
      <c r="B100" t="s">
        <v>40</v>
      </c>
      <c r="C100">
        <v>9</v>
      </c>
      <c r="D100">
        <v>429863</v>
      </c>
      <c r="E100">
        <v>423789</v>
      </c>
      <c r="F100">
        <v>6074</v>
      </c>
      <c r="G100">
        <v>1.41E-2</v>
      </c>
    </row>
    <row r="101" spans="1:7" x14ac:dyDescent="0.3">
      <c r="A101" s="1">
        <v>45839</v>
      </c>
      <c r="B101" t="s">
        <v>40</v>
      </c>
      <c r="C101">
        <v>9</v>
      </c>
      <c r="D101">
        <v>640519</v>
      </c>
      <c r="E101">
        <v>615882</v>
      </c>
      <c r="F101">
        <v>24637</v>
      </c>
      <c r="G101">
        <v>3.85E-2</v>
      </c>
    </row>
    <row r="102" spans="1:7" x14ac:dyDescent="0.3">
      <c r="A102" s="1">
        <v>45870</v>
      </c>
      <c r="B102" t="s">
        <v>40</v>
      </c>
      <c r="C102">
        <v>9</v>
      </c>
      <c r="D102">
        <v>509323</v>
      </c>
      <c r="E102">
        <v>508221</v>
      </c>
      <c r="F102">
        <v>1102</v>
      </c>
      <c r="G102">
        <v>2.2000000000000001E-3</v>
      </c>
    </row>
    <row r="103" spans="1:7" x14ac:dyDescent="0.3">
      <c r="A103" s="1">
        <v>45901</v>
      </c>
      <c r="B103" t="s">
        <v>40</v>
      </c>
      <c r="C103">
        <v>9</v>
      </c>
      <c r="D103">
        <v>313122</v>
      </c>
      <c r="E103">
        <v>315109</v>
      </c>
      <c r="F103">
        <v>-1987</v>
      </c>
      <c r="G103">
        <v>-6.3E-3</v>
      </c>
    </row>
    <row r="104" spans="1:7" x14ac:dyDescent="0.3">
      <c r="A104" s="1">
        <v>45931</v>
      </c>
      <c r="B104" t="s">
        <v>40</v>
      </c>
      <c r="C104">
        <v>9</v>
      </c>
      <c r="D104">
        <v>236352</v>
      </c>
      <c r="E104">
        <v>227708</v>
      </c>
      <c r="F104">
        <v>8644</v>
      </c>
      <c r="G104">
        <v>3.6600000000000001E-2</v>
      </c>
    </row>
    <row r="105" spans="1:7" x14ac:dyDescent="0.3">
      <c r="A105" s="1">
        <v>45962</v>
      </c>
      <c r="B105" t="s">
        <v>40</v>
      </c>
      <c r="C105">
        <v>9</v>
      </c>
      <c r="D105">
        <v>196029</v>
      </c>
      <c r="E105">
        <v>191891</v>
      </c>
      <c r="F105">
        <v>4138</v>
      </c>
      <c r="G105">
        <v>2.1100000000000001E-2</v>
      </c>
    </row>
    <row r="106" spans="1:7" x14ac:dyDescent="0.3">
      <c r="A106" s="1">
        <v>45992</v>
      </c>
      <c r="B106" t="s">
        <v>40</v>
      </c>
      <c r="C106">
        <v>9</v>
      </c>
      <c r="D106">
        <v>254096</v>
      </c>
      <c r="E106">
        <v>250326</v>
      </c>
      <c r="F106">
        <v>3770</v>
      </c>
      <c r="G106">
        <v>1.4800000000000001E-2</v>
      </c>
    </row>
    <row r="107" spans="1:7" x14ac:dyDescent="0.3">
      <c r="A107" s="1">
        <v>46023</v>
      </c>
      <c r="B107" t="s">
        <v>40</v>
      </c>
      <c r="C107">
        <v>9</v>
      </c>
      <c r="D107">
        <v>117357</v>
      </c>
      <c r="E107">
        <v>114966</v>
      </c>
      <c r="F107">
        <v>2391</v>
      </c>
      <c r="G107">
        <v>2.0400000000000001E-2</v>
      </c>
    </row>
    <row r="108" spans="1:7" x14ac:dyDescent="0.3">
      <c r="A108" s="1">
        <v>46054</v>
      </c>
      <c r="B108" t="s">
        <v>40</v>
      </c>
      <c r="C108">
        <v>9</v>
      </c>
      <c r="D108">
        <v>103604</v>
      </c>
      <c r="E108">
        <v>101644</v>
      </c>
      <c r="F108">
        <v>1960</v>
      </c>
      <c r="G108">
        <v>1.89E-2</v>
      </c>
    </row>
    <row r="109" spans="1:7" x14ac:dyDescent="0.3">
      <c r="A109" s="1">
        <v>46082</v>
      </c>
      <c r="B109" t="s">
        <v>40</v>
      </c>
      <c r="C109">
        <v>9</v>
      </c>
      <c r="D109">
        <v>96127</v>
      </c>
      <c r="E109">
        <v>94005</v>
      </c>
      <c r="F109">
        <v>2122</v>
      </c>
      <c r="G109">
        <v>2.2100000000000002E-2</v>
      </c>
    </row>
    <row r="110" spans="1:7" x14ac:dyDescent="0.3">
      <c r="A110" s="1">
        <v>45748</v>
      </c>
      <c r="B110" t="s">
        <v>40</v>
      </c>
      <c r="C110">
        <v>10</v>
      </c>
      <c r="D110">
        <v>258780</v>
      </c>
      <c r="E110">
        <v>250800</v>
      </c>
      <c r="F110">
        <v>7980</v>
      </c>
      <c r="G110">
        <v>3.0800000000000001E-2</v>
      </c>
    </row>
    <row r="111" spans="1:7" x14ac:dyDescent="0.3">
      <c r="A111" s="1">
        <v>45778</v>
      </c>
      <c r="B111" t="s">
        <v>40</v>
      </c>
      <c r="C111">
        <v>10</v>
      </c>
      <c r="D111">
        <v>714965</v>
      </c>
      <c r="E111">
        <v>695400</v>
      </c>
      <c r="F111">
        <v>19565</v>
      </c>
      <c r="G111">
        <v>2.7400000000000001E-2</v>
      </c>
    </row>
    <row r="112" spans="1:7" x14ac:dyDescent="0.3">
      <c r="A112" s="1">
        <v>45809</v>
      </c>
      <c r="B112" t="s">
        <v>40</v>
      </c>
      <c r="C112">
        <v>10</v>
      </c>
      <c r="D112">
        <v>1094593</v>
      </c>
      <c r="E112">
        <v>1079100</v>
      </c>
      <c r="F112">
        <v>15493</v>
      </c>
      <c r="G112">
        <v>1.4200000000000001E-2</v>
      </c>
    </row>
    <row r="113" spans="1:7" x14ac:dyDescent="0.3">
      <c r="A113" s="1">
        <v>45839</v>
      </c>
      <c r="B113" t="s">
        <v>40</v>
      </c>
      <c r="C113">
        <v>10</v>
      </c>
      <c r="D113">
        <v>1264772</v>
      </c>
      <c r="E113">
        <v>1250700</v>
      </c>
      <c r="F113">
        <v>14072</v>
      </c>
      <c r="G113">
        <v>1.11E-2</v>
      </c>
    </row>
    <row r="114" spans="1:7" x14ac:dyDescent="0.3">
      <c r="A114" s="1">
        <v>45870</v>
      </c>
      <c r="B114" t="s">
        <v>40</v>
      </c>
      <c r="C114">
        <v>10</v>
      </c>
      <c r="D114">
        <v>786909</v>
      </c>
      <c r="E114">
        <v>775500</v>
      </c>
      <c r="F114">
        <v>11409</v>
      </c>
      <c r="G114">
        <v>1.4500000000000001E-2</v>
      </c>
    </row>
    <row r="115" spans="1:7" x14ac:dyDescent="0.3">
      <c r="A115" s="1">
        <v>45901</v>
      </c>
      <c r="B115" t="s">
        <v>40</v>
      </c>
      <c r="C115">
        <v>10</v>
      </c>
      <c r="D115">
        <v>582525</v>
      </c>
      <c r="E115">
        <v>572100</v>
      </c>
      <c r="F115">
        <v>10425</v>
      </c>
      <c r="G115">
        <v>1.7899999999999999E-2</v>
      </c>
    </row>
    <row r="116" spans="1:7" x14ac:dyDescent="0.3">
      <c r="A116" s="1">
        <v>45931</v>
      </c>
      <c r="B116" t="s">
        <v>40</v>
      </c>
      <c r="C116">
        <v>10</v>
      </c>
      <c r="D116">
        <v>389248</v>
      </c>
      <c r="E116">
        <v>354900</v>
      </c>
      <c r="F116">
        <v>34348</v>
      </c>
      <c r="G116">
        <v>8.8200000000000001E-2</v>
      </c>
    </row>
    <row r="117" spans="1:7" x14ac:dyDescent="0.3">
      <c r="A117" s="1">
        <v>45962</v>
      </c>
      <c r="B117" t="s">
        <v>40</v>
      </c>
      <c r="C117">
        <v>10</v>
      </c>
      <c r="D117">
        <v>363582</v>
      </c>
      <c r="E117">
        <v>326700</v>
      </c>
      <c r="F117">
        <v>36882</v>
      </c>
      <c r="G117">
        <v>0.1014</v>
      </c>
    </row>
    <row r="118" spans="1:7" x14ac:dyDescent="0.3">
      <c r="A118" s="1">
        <v>45992</v>
      </c>
      <c r="B118" t="s">
        <v>40</v>
      </c>
      <c r="C118">
        <v>10</v>
      </c>
      <c r="D118">
        <v>511622</v>
      </c>
      <c r="E118">
        <v>462000</v>
      </c>
      <c r="F118">
        <v>49622</v>
      </c>
      <c r="G118">
        <v>9.7000000000000003E-2</v>
      </c>
    </row>
    <row r="119" spans="1:7" x14ac:dyDescent="0.3">
      <c r="A119" s="1">
        <v>46023</v>
      </c>
      <c r="B119" t="s">
        <v>40</v>
      </c>
      <c r="C119">
        <v>10</v>
      </c>
      <c r="D119">
        <v>478778</v>
      </c>
      <c r="E119">
        <v>431700</v>
      </c>
      <c r="F119">
        <v>47078</v>
      </c>
      <c r="G119">
        <v>9.8299999999999998E-2</v>
      </c>
    </row>
    <row r="120" spans="1:7" x14ac:dyDescent="0.3">
      <c r="A120" s="1">
        <v>46054</v>
      </c>
      <c r="B120" t="s">
        <v>40</v>
      </c>
      <c r="C120">
        <v>10</v>
      </c>
      <c r="D120">
        <v>361358</v>
      </c>
      <c r="E120">
        <v>323100</v>
      </c>
      <c r="F120">
        <v>38258</v>
      </c>
      <c r="G120">
        <v>0.10589999999999999</v>
      </c>
    </row>
    <row r="121" spans="1:7" x14ac:dyDescent="0.3">
      <c r="A121" s="1">
        <v>46082</v>
      </c>
      <c r="B121" t="s">
        <v>40</v>
      </c>
      <c r="C121">
        <v>10</v>
      </c>
      <c r="D121">
        <v>270088</v>
      </c>
      <c r="E121">
        <v>249900</v>
      </c>
      <c r="F121">
        <v>20188</v>
      </c>
      <c r="G121">
        <v>7.4700000000000003E-2</v>
      </c>
    </row>
    <row r="122" spans="1:7" x14ac:dyDescent="0.3">
      <c r="A122" s="1">
        <v>45748</v>
      </c>
      <c r="B122" t="s">
        <v>40</v>
      </c>
      <c r="C122">
        <v>11</v>
      </c>
      <c r="D122">
        <v>171974</v>
      </c>
      <c r="E122">
        <v>168457</v>
      </c>
      <c r="F122">
        <v>3517</v>
      </c>
      <c r="G122">
        <v>2.0500000000000001E-2</v>
      </c>
    </row>
    <row r="123" spans="1:7" x14ac:dyDescent="0.3">
      <c r="A123" s="1">
        <v>45778</v>
      </c>
      <c r="B123" t="s">
        <v>40</v>
      </c>
      <c r="C123">
        <v>11</v>
      </c>
      <c r="D123">
        <v>196519</v>
      </c>
      <c r="E123">
        <v>191144</v>
      </c>
      <c r="F123">
        <v>5375</v>
      </c>
      <c r="G123">
        <v>2.7400000000000001E-2</v>
      </c>
    </row>
    <row r="124" spans="1:7" x14ac:dyDescent="0.3">
      <c r="A124" s="1">
        <v>45809</v>
      </c>
      <c r="B124" t="s">
        <v>40</v>
      </c>
      <c r="C124">
        <v>11</v>
      </c>
      <c r="D124">
        <v>381766</v>
      </c>
      <c r="E124">
        <v>370909</v>
      </c>
      <c r="F124">
        <v>10857</v>
      </c>
      <c r="G124">
        <v>2.8400000000000002E-2</v>
      </c>
    </row>
    <row r="125" spans="1:7" x14ac:dyDescent="0.3">
      <c r="A125" s="1">
        <v>45839</v>
      </c>
      <c r="B125" t="s">
        <v>40</v>
      </c>
      <c r="C125">
        <v>11</v>
      </c>
      <c r="D125">
        <v>409543</v>
      </c>
      <c r="E125">
        <v>406505</v>
      </c>
      <c r="F125">
        <v>3038</v>
      </c>
      <c r="G125">
        <v>7.4000000000000003E-3</v>
      </c>
    </row>
    <row r="126" spans="1:7" x14ac:dyDescent="0.3">
      <c r="A126" s="1">
        <v>45870</v>
      </c>
      <c r="B126" t="s">
        <v>40</v>
      </c>
      <c r="C126">
        <v>11</v>
      </c>
      <c r="D126">
        <v>241576</v>
      </c>
      <c r="E126">
        <v>239028</v>
      </c>
      <c r="F126">
        <v>2548</v>
      </c>
      <c r="G126">
        <v>1.0500000000000001E-2</v>
      </c>
    </row>
    <row r="127" spans="1:7" x14ac:dyDescent="0.3">
      <c r="A127" s="1">
        <v>45901</v>
      </c>
      <c r="B127" t="s">
        <v>40</v>
      </c>
      <c r="C127">
        <v>11</v>
      </c>
      <c r="D127">
        <v>189969</v>
      </c>
      <c r="E127">
        <v>203462</v>
      </c>
      <c r="F127">
        <v>-13493</v>
      </c>
      <c r="G127">
        <v>-7.0999999999999994E-2</v>
      </c>
    </row>
    <row r="128" spans="1:7" x14ac:dyDescent="0.3">
      <c r="A128" s="1">
        <v>45931</v>
      </c>
      <c r="B128" t="s">
        <v>40</v>
      </c>
      <c r="C128">
        <v>11</v>
      </c>
      <c r="D128">
        <v>150448</v>
      </c>
      <c r="E128">
        <v>152718</v>
      </c>
      <c r="F128">
        <v>-2270</v>
      </c>
      <c r="G128">
        <v>-1.5100000000000001E-2</v>
      </c>
    </row>
    <row r="129" spans="1:7" x14ac:dyDescent="0.3">
      <c r="A129" s="1">
        <v>45962</v>
      </c>
      <c r="B129" t="s">
        <v>40</v>
      </c>
      <c r="C129">
        <v>11</v>
      </c>
      <c r="D129">
        <v>143294</v>
      </c>
      <c r="E129">
        <v>144096</v>
      </c>
      <c r="F129">
        <v>-802</v>
      </c>
      <c r="G129">
        <v>-5.5999999999999999E-3</v>
      </c>
    </row>
    <row r="130" spans="1:7" x14ac:dyDescent="0.3">
      <c r="A130" s="1">
        <v>45992</v>
      </c>
      <c r="B130" t="s">
        <v>40</v>
      </c>
      <c r="C130">
        <v>11</v>
      </c>
      <c r="D130">
        <v>199338</v>
      </c>
      <c r="E130">
        <v>197919</v>
      </c>
      <c r="F130">
        <v>1419</v>
      </c>
      <c r="G130">
        <v>7.1000000000000004E-3</v>
      </c>
    </row>
    <row r="131" spans="1:7" x14ac:dyDescent="0.3">
      <c r="A131" s="1">
        <v>46023</v>
      </c>
      <c r="B131" t="s">
        <v>40</v>
      </c>
      <c r="C131">
        <v>11</v>
      </c>
      <c r="D131">
        <v>90253</v>
      </c>
      <c r="E131">
        <v>87138</v>
      </c>
      <c r="F131">
        <v>3115</v>
      </c>
      <c r="G131">
        <v>3.4500000000000003E-2</v>
      </c>
    </row>
    <row r="132" spans="1:7" x14ac:dyDescent="0.3">
      <c r="A132" s="1">
        <v>46054</v>
      </c>
      <c r="B132" t="s">
        <v>40</v>
      </c>
      <c r="C132">
        <v>11</v>
      </c>
      <c r="D132">
        <v>64874</v>
      </c>
      <c r="E132">
        <v>62945</v>
      </c>
      <c r="F132">
        <v>1929</v>
      </c>
      <c r="G132">
        <v>2.9700000000000001E-2</v>
      </c>
    </row>
    <row r="133" spans="1:7" x14ac:dyDescent="0.3">
      <c r="A133" s="1">
        <v>46082</v>
      </c>
      <c r="B133" t="s">
        <v>40</v>
      </c>
      <c r="C133">
        <v>11</v>
      </c>
      <c r="D133">
        <v>78518</v>
      </c>
      <c r="E133">
        <v>76165</v>
      </c>
      <c r="F133">
        <v>2353</v>
      </c>
      <c r="G133">
        <v>0.03</v>
      </c>
    </row>
    <row r="134" spans="1:7" x14ac:dyDescent="0.3">
      <c r="A134" s="1">
        <v>45748</v>
      </c>
      <c r="B134" t="s">
        <v>40</v>
      </c>
      <c r="C134">
        <v>12</v>
      </c>
      <c r="D134">
        <v>97303</v>
      </c>
      <c r="E134">
        <v>95760</v>
      </c>
      <c r="F134">
        <v>1543</v>
      </c>
      <c r="G134">
        <v>1.5900000000000001E-2</v>
      </c>
    </row>
    <row r="135" spans="1:7" x14ac:dyDescent="0.3">
      <c r="A135" s="1">
        <v>45778</v>
      </c>
      <c r="B135" t="s">
        <v>40</v>
      </c>
      <c r="C135">
        <v>12</v>
      </c>
      <c r="D135">
        <v>333321</v>
      </c>
      <c r="E135">
        <v>329640</v>
      </c>
      <c r="F135">
        <v>3681</v>
      </c>
      <c r="G135">
        <v>1.0999999999999999E-2</v>
      </c>
    </row>
    <row r="136" spans="1:7" x14ac:dyDescent="0.3">
      <c r="A136" s="1">
        <v>45809</v>
      </c>
      <c r="B136" t="s">
        <v>40</v>
      </c>
      <c r="C136">
        <v>12</v>
      </c>
      <c r="D136">
        <v>512447</v>
      </c>
      <c r="E136">
        <v>507120</v>
      </c>
      <c r="F136">
        <v>5327</v>
      </c>
      <c r="G136">
        <v>1.04E-2</v>
      </c>
    </row>
    <row r="137" spans="1:7" x14ac:dyDescent="0.3">
      <c r="A137" s="1">
        <v>45839</v>
      </c>
      <c r="B137" t="s">
        <v>40</v>
      </c>
      <c r="C137">
        <v>12</v>
      </c>
      <c r="D137">
        <v>565152</v>
      </c>
      <c r="E137">
        <v>557640</v>
      </c>
      <c r="F137">
        <v>7512</v>
      </c>
      <c r="G137">
        <v>1.3299999999999999E-2</v>
      </c>
    </row>
    <row r="138" spans="1:7" x14ac:dyDescent="0.3">
      <c r="A138" s="1">
        <v>45870</v>
      </c>
      <c r="B138" t="s">
        <v>40</v>
      </c>
      <c r="C138">
        <v>12</v>
      </c>
      <c r="D138">
        <v>370267</v>
      </c>
      <c r="E138">
        <v>366120</v>
      </c>
      <c r="F138">
        <v>4147</v>
      </c>
      <c r="G138">
        <v>1.12E-2</v>
      </c>
    </row>
    <row r="139" spans="1:7" x14ac:dyDescent="0.3">
      <c r="A139" s="1">
        <v>45901</v>
      </c>
      <c r="B139" t="s">
        <v>40</v>
      </c>
      <c r="C139">
        <v>12</v>
      </c>
      <c r="D139">
        <v>328380</v>
      </c>
      <c r="E139">
        <v>324480</v>
      </c>
      <c r="F139">
        <v>3900</v>
      </c>
      <c r="G139">
        <v>1.1900000000000001E-2</v>
      </c>
    </row>
    <row r="140" spans="1:7" x14ac:dyDescent="0.3">
      <c r="A140" s="1">
        <v>45931</v>
      </c>
      <c r="B140" t="s">
        <v>40</v>
      </c>
      <c r="C140">
        <v>12</v>
      </c>
      <c r="D140">
        <v>214405</v>
      </c>
      <c r="E140">
        <v>211560</v>
      </c>
      <c r="F140">
        <v>2845</v>
      </c>
      <c r="G140">
        <v>1.3299999999999999E-2</v>
      </c>
    </row>
    <row r="141" spans="1:7" x14ac:dyDescent="0.3">
      <c r="A141" s="1">
        <v>45962</v>
      </c>
      <c r="B141" t="s">
        <v>40</v>
      </c>
      <c r="C141">
        <v>12</v>
      </c>
      <c r="D141">
        <v>114972</v>
      </c>
      <c r="E141">
        <v>112920</v>
      </c>
      <c r="F141">
        <v>2052</v>
      </c>
      <c r="G141">
        <v>1.78E-2</v>
      </c>
    </row>
    <row r="142" spans="1:7" x14ac:dyDescent="0.3">
      <c r="A142" s="1">
        <v>45992</v>
      </c>
      <c r="B142" t="s">
        <v>40</v>
      </c>
      <c r="C142">
        <v>12</v>
      </c>
      <c r="D142">
        <v>151310</v>
      </c>
      <c r="E142">
        <v>148800</v>
      </c>
      <c r="F142">
        <v>2510</v>
      </c>
      <c r="G142">
        <v>1.66E-2</v>
      </c>
    </row>
    <row r="143" spans="1:7" x14ac:dyDescent="0.3">
      <c r="A143" s="1">
        <v>46023</v>
      </c>
      <c r="B143" t="s">
        <v>40</v>
      </c>
      <c r="C143">
        <v>12</v>
      </c>
      <c r="D143">
        <v>167433</v>
      </c>
      <c r="E143">
        <v>164880</v>
      </c>
      <c r="F143">
        <v>2553</v>
      </c>
      <c r="G143">
        <v>1.52E-2</v>
      </c>
    </row>
    <row r="144" spans="1:7" x14ac:dyDescent="0.3">
      <c r="A144" s="1">
        <v>46054</v>
      </c>
      <c r="B144" t="s">
        <v>40</v>
      </c>
      <c r="C144">
        <v>12</v>
      </c>
      <c r="D144">
        <v>122785</v>
      </c>
      <c r="E144">
        <v>120840</v>
      </c>
      <c r="F144">
        <v>1945</v>
      </c>
      <c r="G144">
        <v>1.5800000000000002E-2</v>
      </c>
    </row>
    <row r="145" spans="1:7" x14ac:dyDescent="0.3">
      <c r="A145" s="1">
        <v>46082</v>
      </c>
      <c r="B145" t="s">
        <v>40</v>
      </c>
      <c r="C145">
        <v>12</v>
      </c>
      <c r="D145">
        <v>107521</v>
      </c>
      <c r="E145">
        <v>105720</v>
      </c>
      <c r="F145">
        <v>1801</v>
      </c>
      <c r="G145">
        <v>1.6799999999999999E-2</v>
      </c>
    </row>
    <row r="146" spans="1:7" x14ac:dyDescent="0.3">
      <c r="A146" s="1">
        <v>45748</v>
      </c>
      <c r="B146" t="s">
        <v>40</v>
      </c>
      <c r="C146">
        <v>13</v>
      </c>
      <c r="D146">
        <v>79898</v>
      </c>
      <c r="E146">
        <v>78720</v>
      </c>
      <c r="F146">
        <v>1178</v>
      </c>
      <c r="G146">
        <v>1.47E-2</v>
      </c>
    </row>
    <row r="147" spans="1:7" x14ac:dyDescent="0.3">
      <c r="A147" s="1">
        <v>45778</v>
      </c>
      <c r="B147" t="s">
        <v>40</v>
      </c>
      <c r="C147">
        <v>13</v>
      </c>
      <c r="D147">
        <v>303507</v>
      </c>
      <c r="E147">
        <v>300480</v>
      </c>
      <c r="F147">
        <v>3027</v>
      </c>
      <c r="G147">
        <v>0.01</v>
      </c>
    </row>
    <row r="148" spans="1:7" x14ac:dyDescent="0.3">
      <c r="A148" s="1">
        <v>45809</v>
      </c>
      <c r="B148" t="s">
        <v>40</v>
      </c>
      <c r="C148">
        <v>13</v>
      </c>
      <c r="D148">
        <v>451797</v>
      </c>
      <c r="E148">
        <v>447600</v>
      </c>
      <c r="F148">
        <v>4197</v>
      </c>
      <c r="G148">
        <v>9.2999999999999992E-3</v>
      </c>
    </row>
    <row r="149" spans="1:7" x14ac:dyDescent="0.3">
      <c r="A149" s="1">
        <v>45839</v>
      </c>
      <c r="B149" t="s">
        <v>40</v>
      </c>
      <c r="C149">
        <v>13</v>
      </c>
      <c r="D149">
        <v>576227</v>
      </c>
      <c r="E149">
        <v>570960</v>
      </c>
      <c r="F149">
        <v>5267</v>
      </c>
      <c r="G149">
        <v>9.1000000000000004E-3</v>
      </c>
    </row>
    <row r="150" spans="1:7" x14ac:dyDescent="0.3">
      <c r="A150" s="1">
        <v>45870</v>
      </c>
      <c r="B150" t="s">
        <v>40</v>
      </c>
      <c r="C150">
        <v>13</v>
      </c>
      <c r="D150">
        <v>334623</v>
      </c>
      <c r="E150">
        <v>331320</v>
      </c>
      <c r="F150">
        <v>3303</v>
      </c>
      <c r="G150">
        <v>9.9000000000000008E-3</v>
      </c>
    </row>
    <row r="151" spans="1:7" x14ac:dyDescent="0.3">
      <c r="A151" s="1">
        <v>45901</v>
      </c>
      <c r="B151" t="s">
        <v>40</v>
      </c>
      <c r="C151">
        <v>13</v>
      </c>
      <c r="D151">
        <v>280705</v>
      </c>
      <c r="E151">
        <v>282960</v>
      </c>
      <c r="F151">
        <v>-2255</v>
      </c>
      <c r="G151">
        <v>-8.0000000000000002E-3</v>
      </c>
    </row>
    <row r="152" spans="1:7" x14ac:dyDescent="0.3">
      <c r="A152" s="1">
        <v>45931</v>
      </c>
      <c r="B152" t="s">
        <v>40</v>
      </c>
      <c r="C152">
        <v>13</v>
      </c>
      <c r="D152">
        <v>172176</v>
      </c>
      <c r="E152">
        <v>190920</v>
      </c>
      <c r="F152">
        <v>-18744</v>
      </c>
      <c r="G152">
        <v>-0.1089</v>
      </c>
    </row>
    <row r="153" spans="1:7" x14ac:dyDescent="0.3">
      <c r="A153" s="1">
        <v>45962</v>
      </c>
      <c r="B153" t="s">
        <v>40</v>
      </c>
      <c r="C153">
        <v>13</v>
      </c>
      <c r="D153">
        <v>110067</v>
      </c>
      <c r="E153">
        <v>121920</v>
      </c>
      <c r="F153">
        <v>-11853</v>
      </c>
      <c r="G153">
        <v>-0.1077</v>
      </c>
    </row>
    <row r="154" spans="1:7" x14ac:dyDescent="0.3">
      <c r="A154" s="1">
        <v>45992</v>
      </c>
      <c r="B154" t="s">
        <v>40</v>
      </c>
      <c r="C154">
        <v>13</v>
      </c>
      <c r="D154">
        <v>169891</v>
      </c>
      <c r="E154">
        <v>188520</v>
      </c>
      <c r="F154">
        <v>-18629</v>
      </c>
      <c r="G154">
        <v>-0.10970000000000001</v>
      </c>
    </row>
    <row r="155" spans="1:7" x14ac:dyDescent="0.3">
      <c r="A155" s="1">
        <v>46023</v>
      </c>
      <c r="B155" t="s">
        <v>40</v>
      </c>
      <c r="C155">
        <v>13</v>
      </c>
      <c r="D155">
        <v>156341</v>
      </c>
      <c r="E155">
        <v>174000</v>
      </c>
      <c r="F155">
        <v>-17659</v>
      </c>
      <c r="G155">
        <v>-0.113</v>
      </c>
    </row>
    <row r="156" spans="1:7" x14ac:dyDescent="0.3">
      <c r="A156" s="1">
        <v>46054</v>
      </c>
      <c r="B156" t="s">
        <v>40</v>
      </c>
      <c r="C156">
        <v>13</v>
      </c>
      <c r="D156">
        <v>119286</v>
      </c>
      <c r="E156">
        <v>132240</v>
      </c>
      <c r="F156">
        <v>-12954</v>
      </c>
      <c r="G156">
        <v>-0.1086</v>
      </c>
    </row>
    <row r="157" spans="1:7" x14ac:dyDescent="0.3">
      <c r="A157" s="1">
        <v>46082</v>
      </c>
      <c r="B157" t="s">
        <v>40</v>
      </c>
      <c r="C157">
        <v>13</v>
      </c>
      <c r="D157">
        <v>92824</v>
      </c>
      <c r="E157">
        <v>92880</v>
      </c>
      <c r="F157">
        <v>-56</v>
      </c>
      <c r="G157">
        <v>-5.9999999999999995E-4</v>
      </c>
    </row>
    <row r="158" spans="1:7" x14ac:dyDescent="0.3">
      <c r="A158" s="1">
        <v>45748</v>
      </c>
      <c r="B158" t="s">
        <v>40</v>
      </c>
      <c r="C158">
        <v>14</v>
      </c>
      <c r="D158">
        <v>74156</v>
      </c>
      <c r="E158">
        <v>72960</v>
      </c>
      <c r="F158">
        <v>1196</v>
      </c>
      <c r="G158">
        <v>1.61E-2</v>
      </c>
    </row>
    <row r="159" spans="1:7" x14ac:dyDescent="0.3">
      <c r="A159" s="1">
        <v>45778</v>
      </c>
      <c r="B159" t="s">
        <v>40</v>
      </c>
      <c r="C159">
        <v>14</v>
      </c>
      <c r="D159">
        <v>268448</v>
      </c>
      <c r="E159">
        <v>265800</v>
      </c>
      <c r="F159">
        <v>2648</v>
      </c>
      <c r="G159">
        <v>9.9000000000000008E-3</v>
      </c>
    </row>
    <row r="160" spans="1:7" x14ac:dyDescent="0.3">
      <c r="A160" s="1">
        <v>45809</v>
      </c>
      <c r="B160" t="s">
        <v>40</v>
      </c>
      <c r="C160">
        <v>14</v>
      </c>
      <c r="D160">
        <v>440627</v>
      </c>
      <c r="E160">
        <v>436680</v>
      </c>
      <c r="F160">
        <v>3947</v>
      </c>
      <c r="G160">
        <v>8.9999999999999993E-3</v>
      </c>
    </row>
    <row r="161" spans="1:7" x14ac:dyDescent="0.3">
      <c r="A161" s="1">
        <v>45839</v>
      </c>
      <c r="B161" t="s">
        <v>40</v>
      </c>
      <c r="C161">
        <v>14</v>
      </c>
      <c r="D161">
        <v>548812</v>
      </c>
      <c r="E161">
        <v>543960</v>
      </c>
      <c r="F161">
        <v>4852</v>
      </c>
      <c r="G161">
        <v>8.8000000000000005E-3</v>
      </c>
    </row>
    <row r="162" spans="1:7" x14ac:dyDescent="0.3">
      <c r="A162" s="1">
        <v>45870</v>
      </c>
      <c r="B162" t="s">
        <v>40</v>
      </c>
      <c r="C162">
        <v>14</v>
      </c>
      <c r="D162">
        <v>317894</v>
      </c>
      <c r="E162">
        <v>314760</v>
      </c>
      <c r="F162">
        <v>3134</v>
      </c>
      <c r="G162">
        <v>9.9000000000000008E-3</v>
      </c>
    </row>
    <row r="163" spans="1:7" x14ac:dyDescent="0.3">
      <c r="A163" s="1">
        <v>45901</v>
      </c>
      <c r="B163" t="s">
        <v>40</v>
      </c>
      <c r="C163">
        <v>14</v>
      </c>
      <c r="D163">
        <v>297333</v>
      </c>
      <c r="E163">
        <v>293880</v>
      </c>
      <c r="F163">
        <v>3453</v>
      </c>
      <c r="G163">
        <v>1.1599999999999999E-2</v>
      </c>
    </row>
    <row r="164" spans="1:7" x14ac:dyDescent="0.3">
      <c r="A164" s="1">
        <v>45931</v>
      </c>
      <c r="B164" t="s">
        <v>40</v>
      </c>
      <c r="C164">
        <v>14</v>
      </c>
      <c r="D164">
        <v>162441</v>
      </c>
      <c r="E164">
        <v>160320</v>
      </c>
      <c r="F164">
        <v>2121</v>
      </c>
      <c r="G164">
        <v>1.3100000000000001E-2</v>
      </c>
    </row>
    <row r="165" spans="1:7" x14ac:dyDescent="0.3">
      <c r="A165" s="1">
        <v>45962</v>
      </c>
      <c r="B165" t="s">
        <v>40</v>
      </c>
      <c r="C165">
        <v>14</v>
      </c>
      <c r="D165">
        <v>82963</v>
      </c>
      <c r="E165">
        <v>81600</v>
      </c>
      <c r="F165">
        <v>1363</v>
      </c>
      <c r="G165">
        <v>1.6400000000000001E-2</v>
      </c>
    </row>
    <row r="166" spans="1:7" x14ac:dyDescent="0.3">
      <c r="A166" s="1">
        <v>45992</v>
      </c>
      <c r="B166" t="s">
        <v>40</v>
      </c>
      <c r="C166">
        <v>14</v>
      </c>
      <c r="D166">
        <v>122817</v>
      </c>
      <c r="E166">
        <v>120960</v>
      </c>
      <c r="F166">
        <v>1857</v>
      </c>
      <c r="G166">
        <v>1.5100000000000001E-2</v>
      </c>
    </row>
    <row r="167" spans="1:7" x14ac:dyDescent="0.3">
      <c r="A167" s="1">
        <v>46023</v>
      </c>
      <c r="B167" t="s">
        <v>40</v>
      </c>
      <c r="C167">
        <v>14</v>
      </c>
      <c r="D167">
        <v>131967</v>
      </c>
      <c r="E167">
        <v>130320</v>
      </c>
      <c r="F167">
        <v>1647</v>
      </c>
      <c r="G167">
        <v>1.2500000000000001E-2</v>
      </c>
    </row>
    <row r="168" spans="1:7" x14ac:dyDescent="0.3">
      <c r="A168" s="1">
        <v>46054</v>
      </c>
      <c r="B168" t="s">
        <v>40</v>
      </c>
      <c r="C168">
        <v>14</v>
      </c>
      <c r="D168">
        <v>94547</v>
      </c>
      <c r="E168">
        <v>93240</v>
      </c>
      <c r="F168">
        <v>1307</v>
      </c>
      <c r="G168">
        <v>1.38E-2</v>
      </c>
    </row>
    <row r="169" spans="1:7" x14ac:dyDescent="0.3">
      <c r="A169" s="1">
        <v>46082</v>
      </c>
      <c r="B169" t="s">
        <v>40</v>
      </c>
      <c r="C169">
        <v>14</v>
      </c>
      <c r="D169">
        <v>79458</v>
      </c>
      <c r="E169">
        <v>78120</v>
      </c>
      <c r="F169">
        <v>1338</v>
      </c>
      <c r="G169">
        <v>1.6799999999999999E-2</v>
      </c>
    </row>
    <row r="170" spans="1:7" x14ac:dyDescent="0.3">
      <c r="A170" s="1">
        <v>45748</v>
      </c>
      <c r="B170" t="s">
        <v>40</v>
      </c>
      <c r="C170">
        <v>15</v>
      </c>
      <c r="D170">
        <v>65681</v>
      </c>
      <c r="E170">
        <v>65022</v>
      </c>
      <c r="F170">
        <v>659</v>
      </c>
      <c r="G170">
        <v>0.01</v>
      </c>
    </row>
    <row r="171" spans="1:7" x14ac:dyDescent="0.3">
      <c r="A171" s="1">
        <v>45778</v>
      </c>
      <c r="B171" t="s">
        <v>40</v>
      </c>
      <c r="C171">
        <v>15</v>
      </c>
      <c r="D171">
        <v>410674</v>
      </c>
      <c r="E171">
        <v>413562</v>
      </c>
      <c r="F171">
        <v>-2888</v>
      </c>
      <c r="G171">
        <v>-7.0000000000000001E-3</v>
      </c>
    </row>
    <row r="172" spans="1:7" x14ac:dyDescent="0.3">
      <c r="A172" s="1">
        <v>45809</v>
      </c>
      <c r="B172" t="s">
        <v>40</v>
      </c>
      <c r="C172">
        <v>15</v>
      </c>
      <c r="D172">
        <v>693305</v>
      </c>
      <c r="E172">
        <v>698968</v>
      </c>
      <c r="F172">
        <v>-5663</v>
      </c>
      <c r="G172">
        <v>-8.2000000000000007E-3</v>
      </c>
    </row>
    <row r="173" spans="1:7" x14ac:dyDescent="0.3">
      <c r="A173" s="1">
        <v>45839</v>
      </c>
      <c r="B173" t="s">
        <v>40</v>
      </c>
      <c r="C173">
        <v>15</v>
      </c>
      <c r="D173">
        <v>776700</v>
      </c>
      <c r="E173">
        <v>774886</v>
      </c>
      <c r="F173">
        <v>1814</v>
      </c>
      <c r="G173">
        <v>2.3E-3</v>
      </c>
    </row>
    <row r="174" spans="1:7" x14ac:dyDescent="0.3">
      <c r="A174" s="1">
        <v>45870</v>
      </c>
      <c r="B174" t="s">
        <v>40</v>
      </c>
      <c r="C174">
        <v>15</v>
      </c>
      <c r="D174">
        <v>555312</v>
      </c>
      <c r="E174">
        <v>553290</v>
      </c>
      <c r="F174">
        <v>2022</v>
      </c>
      <c r="G174">
        <v>3.5999999999999999E-3</v>
      </c>
    </row>
    <row r="175" spans="1:7" x14ac:dyDescent="0.3">
      <c r="A175" s="1">
        <v>45901</v>
      </c>
      <c r="B175" t="s">
        <v>40</v>
      </c>
      <c r="C175">
        <v>15</v>
      </c>
      <c r="D175">
        <v>538512</v>
      </c>
      <c r="E175">
        <v>535034</v>
      </c>
      <c r="F175">
        <v>3478</v>
      </c>
      <c r="G175">
        <v>6.4999999999999997E-3</v>
      </c>
    </row>
    <row r="176" spans="1:7" x14ac:dyDescent="0.3">
      <c r="A176" s="1">
        <v>45931</v>
      </c>
      <c r="B176" t="s">
        <v>40</v>
      </c>
      <c r="C176">
        <v>15</v>
      </c>
      <c r="D176">
        <v>182395</v>
      </c>
      <c r="E176">
        <v>180214</v>
      </c>
      <c r="F176">
        <v>2181</v>
      </c>
      <c r="G176">
        <v>1.2E-2</v>
      </c>
    </row>
    <row r="177" spans="1:7" x14ac:dyDescent="0.3">
      <c r="A177" s="1">
        <v>45962</v>
      </c>
      <c r="B177" t="s">
        <v>40</v>
      </c>
      <c r="C177">
        <v>15</v>
      </c>
      <c r="D177">
        <v>64982</v>
      </c>
      <c r="E177">
        <v>62608</v>
      </c>
      <c r="F177">
        <v>2374</v>
      </c>
      <c r="G177">
        <v>3.6499999999999998E-2</v>
      </c>
    </row>
    <row r="178" spans="1:7" x14ac:dyDescent="0.3">
      <c r="A178" s="1">
        <v>45992</v>
      </c>
      <c r="B178" t="s">
        <v>40</v>
      </c>
      <c r="C178">
        <v>15</v>
      </c>
      <c r="D178">
        <v>46591</v>
      </c>
      <c r="E178">
        <v>44072</v>
      </c>
      <c r="F178">
        <v>2519</v>
      </c>
      <c r="G178">
        <v>5.4100000000000002E-2</v>
      </c>
    </row>
    <row r="179" spans="1:7" x14ac:dyDescent="0.3">
      <c r="A179" s="1">
        <v>46023</v>
      </c>
      <c r="B179" t="s">
        <v>40</v>
      </c>
      <c r="C179">
        <v>15</v>
      </c>
      <c r="D179">
        <v>53796</v>
      </c>
      <c r="E179">
        <v>51382</v>
      </c>
      <c r="F179">
        <v>2414</v>
      </c>
      <c r="G179">
        <v>4.4900000000000002E-2</v>
      </c>
    </row>
    <row r="180" spans="1:7" x14ac:dyDescent="0.3">
      <c r="A180" s="1">
        <v>46054</v>
      </c>
      <c r="B180" t="s">
        <v>40</v>
      </c>
      <c r="C180">
        <v>15</v>
      </c>
      <c r="D180">
        <v>46699</v>
      </c>
      <c r="E180">
        <v>44156</v>
      </c>
      <c r="F180">
        <v>2543</v>
      </c>
      <c r="G180">
        <v>5.45E-2</v>
      </c>
    </row>
    <row r="181" spans="1:7" x14ac:dyDescent="0.3">
      <c r="A181" s="1">
        <v>46082</v>
      </c>
      <c r="B181" t="s">
        <v>40</v>
      </c>
      <c r="C181">
        <v>15</v>
      </c>
      <c r="D181">
        <v>38273</v>
      </c>
      <c r="E181">
        <v>35926</v>
      </c>
      <c r="F181">
        <v>2347</v>
      </c>
      <c r="G181">
        <v>6.13E-2</v>
      </c>
    </row>
    <row r="182" spans="1:7" x14ac:dyDescent="0.3">
      <c r="A182" s="1">
        <v>45748</v>
      </c>
      <c r="B182" t="s">
        <v>40</v>
      </c>
      <c r="C182">
        <v>16</v>
      </c>
      <c r="D182">
        <v>73091</v>
      </c>
      <c r="E182">
        <v>71310</v>
      </c>
      <c r="F182">
        <v>1781</v>
      </c>
      <c r="G182">
        <v>2.4400000000000002E-2</v>
      </c>
    </row>
    <row r="183" spans="1:7" x14ac:dyDescent="0.3">
      <c r="A183" s="1">
        <v>45778</v>
      </c>
      <c r="B183" t="s">
        <v>40</v>
      </c>
      <c r="C183">
        <v>16</v>
      </c>
      <c r="D183">
        <v>428322</v>
      </c>
      <c r="E183">
        <v>426274</v>
      </c>
      <c r="F183">
        <v>2048</v>
      </c>
      <c r="G183">
        <v>4.7999999999999996E-3</v>
      </c>
    </row>
    <row r="184" spans="1:7" x14ac:dyDescent="0.3">
      <c r="A184" s="1">
        <v>45809</v>
      </c>
      <c r="B184" t="s">
        <v>40</v>
      </c>
      <c r="C184">
        <v>16</v>
      </c>
      <c r="D184">
        <v>727064</v>
      </c>
      <c r="E184">
        <v>725368</v>
      </c>
      <c r="F184">
        <v>1696</v>
      </c>
      <c r="G184">
        <v>2.3E-3</v>
      </c>
    </row>
    <row r="185" spans="1:7" x14ac:dyDescent="0.3">
      <c r="A185" s="1">
        <v>45839</v>
      </c>
      <c r="B185" t="s">
        <v>40</v>
      </c>
      <c r="C185">
        <v>16</v>
      </c>
      <c r="D185">
        <v>805352</v>
      </c>
      <c r="E185">
        <v>806478</v>
      </c>
      <c r="F185">
        <v>-1126</v>
      </c>
      <c r="G185">
        <v>-1.4E-3</v>
      </c>
    </row>
    <row r="186" spans="1:7" x14ac:dyDescent="0.3">
      <c r="A186" s="1">
        <v>45870</v>
      </c>
      <c r="B186" t="s">
        <v>40</v>
      </c>
      <c r="C186">
        <v>16</v>
      </c>
      <c r="D186">
        <v>580775</v>
      </c>
      <c r="E186">
        <v>581134</v>
      </c>
      <c r="F186">
        <v>-359</v>
      </c>
      <c r="G186">
        <v>-5.9999999999999995E-4</v>
      </c>
    </row>
    <row r="187" spans="1:7" x14ac:dyDescent="0.3">
      <c r="A187" s="1">
        <v>45901</v>
      </c>
      <c r="B187" t="s">
        <v>40</v>
      </c>
      <c r="C187">
        <v>16</v>
      </c>
      <c r="D187">
        <v>567000</v>
      </c>
      <c r="E187">
        <v>567424</v>
      </c>
      <c r="F187">
        <v>-424</v>
      </c>
      <c r="G187">
        <v>-6.9999999999999999E-4</v>
      </c>
    </row>
    <row r="188" spans="1:7" x14ac:dyDescent="0.3">
      <c r="A188" s="1">
        <v>45931</v>
      </c>
      <c r="B188" t="s">
        <v>40</v>
      </c>
      <c r="C188">
        <v>16</v>
      </c>
      <c r="D188">
        <v>191935</v>
      </c>
      <c r="E188">
        <v>190720</v>
      </c>
      <c r="F188">
        <v>1215</v>
      </c>
      <c r="G188">
        <v>6.3E-3</v>
      </c>
    </row>
    <row r="189" spans="1:7" x14ac:dyDescent="0.3">
      <c r="A189" s="1">
        <v>45962</v>
      </c>
      <c r="B189" t="s">
        <v>40</v>
      </c>
      <c r="C189">
        <v>16</v>
      </c>
      <c r="D189">
        <v>67539</v>
      </c>
      <c r="E189">
        <v>65346</v>
      </c>
      <c r="F189">
        <v>2193</v>
      </c>
      <c r="G189">
        <v>3.2500000000000001E-2</v>
      </c>
    </row>
    <row r="190" spans="1:7" x14ac:dyDescent="0.3">
      <c r="A190" s="1">
        <v>45992</v>
      </c>
      <c r="B190" t="s">
        <v>40</v>
      </c>
      <c r="C190">
        <v>16</v>
      </c>
      <c r="D190">
        <v>53908</v>
      </c>
      <c r="E190">
        <v>51492</v>
      </c>
      <c r="F190">
        <v>2416</v>
      </c>
      <c r="G190">
        <v>4.48E-2</v>
      </c>
    </row>
    <row r="191" spans="1:7" x14ac:dyDescent="0.3">
      <c r="A191" s="1">
        <v>46023</v>
      </c>
      <c r="B191" t="s">
        <v>40</v>
      </c>
      <c r="C191">
        <v>16</v>
      </c>
      <c r="D191">
        <v>55229</v>
      </c>
      <c r="E191">
        <v>52996</v>
      </c>
      <c r="F191">
        <v>2233</v>
      </c>
      <c r="G191">
        <v>4.0399999999999998E-2</v>
      </c>
    </row>
    <row r="192" spans="1:7" x14ac:dyDescent="0.3">
      <c r="A192" s="1">
        <v>46054</v>
      </c>
      <c r="B192" t="s">
        <v>40</v>
      </c>
      <c r="C192">
        <v>16</v>
      </c>
      <c r="D192">
        <v>48371</v>
      </c>
      <c r="E192">
        <v>46190</v>
      </c>
      <c r="F192">
        <v>2181</v>
      </c>
      <c r="G192">
        <v>4.5100000000000001E-2</v>
      </c>
    </row>
    <row r="193" spans="1:7" x14ac:dyDescent="0.3">
      <c r="A193" s="1">
        <v>46082</v>
      </c>
      <c r="B193" t="s">
        <v>40</v>
      </c>
      <c r="C193">
        <v>16</v>
      </c>
      <c r="D193">
        <v>36737</v>
      </c>
      <c r="E193">
        <v>34570</v>
      </c>
      <c r="F193">
        <v>2167</v>
      </c>
      <c r="G193">
        <v>5.8999999999999997E-2</v>
      </c>
    </row>
    <row r="194" spans="1:7" x14ac:dyDescent="0.3">
      <c r="A194" s="1">
        <v>45748</v>
      </c>
      <c r="B194" t="s">
        <v>40</v>
      </c>
      <c r="C194">
        <v>17</v>
      </c>
      <c r="D194">
        <v>63668</v>
      </c>
      <c r="E194">
        <v>64986</v>
      </c>
      <c r="F194">
        <v>-1318</v>
      </c>
      <c r="G194">
        <v>-2.07E-2</v>
      </c>
    </row>
    <row r="195" spans="1:7" x14ac:dyDescent="0.3">
      <c r="A195" s="1">
        <v>45778</v>
      </c>
      <c r="B195" t="s">
        <v>40</v>
      </c>
      <c r="C195">
        <v>17</v>
      </c>
      <c r="D195">
        <v>409122</v>
      </c>
      <c r="E195">
        <v>420252</v>
      </c>
      <c r="F195">
        <v>-11130</v>
      </c>
      <c r="G195">
        <v>-2.7199999999999998E-2</v>
      </c>
    </row>
    <row r="196" spans="1:7" x14ac:dyDescent="0.3">
      <c r="A196" s="1">
        <v>45809</v>
      </c>
      <c r="B196" t="s">
        <v>40</v>
      </c>
      <c r="C196">
        <v>17</v>
      </c>
      <c r="D196">
        <v>700960</v>
      </c>
      <c r="E196">
        <v>711634</v>
      </c>
      <c r="F196">
        <v>-10674</v>
      </c>
      <c r="G196">
        <v>-1.52E-2</v>
      </c>
    </row>
    <row r="197" spans="1:7" x14ac:dyDescent="0.3">
      <c r="A197" s="1">
        <v>45839</v>
      </c>
      <c r="B197" t="s">
        <v>40</v>
      </c>
      <c r="C197">
        <v>17</v>
      </c>
      <c r="D197">
        <v>801871</v>
      </c>
      <c r="E197">
        <v>815826</v>
      </c>
      <c r="F197">
        <v>-13955</v>
      </c>
      <c r="G197">
        <v>-1.7399999999999999E-2</v>
      </c>
    </row>
    <row r="198" spans="1:7" x14ac:dyDescent="0.3">
      <c r="A198" s="1">
        <v>45870</v>
      </c>
      <c r="B198" t="s">
        <v>40</v>
      </c>
      <c r="C198">
        <v>17</v>
      </c>
      <c r="D198">
        <v>568713</v>
      </c>
      <c r="E198">
        <v>568096</v>
      </c>
      <c r="F198">
        <v>617</v>
      </c>
      <c r="G198">
        <v>1.1000000000000001E-3</v>
      </c>
    </row>
    <row r="199" spans="1:7" x14ac:dyDescent="0.3">
      <c r="A199" s="1">
        <v>45901</v>
      </c>
      <c r="B199" t="s">
        <v>40</v>
      </c>
      <c r="C199">
        <v>17</v>
      </c>
      <c r="D199">
        <v>519121</v>
      </c>
      <c r="E199">
        <v>517522</v>
      </c>
      <c r="F199">
        <v>1599</v>
      </c>
      <c r="G199">
        <v>3.0999999999999999E-3</v>
      </c>
    </row>
    <row r="200" spans="1:7" x14ac:dyDescent="0.3">
      <c r="A200" s="1">
        <v>45931</v>
      </c>
      <c r="B200" t="s">
        <v>40</v>
      </c>
      <c r="C200">
        <v>17</v>
      </c>
      <c r="D200">
        <v>184179</v>
      </c>
      <c r="E200">
        <v>182192</v>
      </c>
      <c r="F200">
        <v>1987</v>
      </c>
      <c r="G200">
        <v>1.0800000000000001E-2</v>
      </c>
    </row>
    <row r="201" spans="1:7" x14ac:dyDescent="0.3">
      <c r="A201" s="1">
        <v>45962</v>
      </c>
      <c r="B201" t="s">
        <v>40</v>
      </c>
      <c r="C201">
        <v>17</v>
      </c>
      <c r="D201">
        <v>72612</v>
      </c>
      <c r="E201">
        <v>70412</v>
      </c>
      <c r="F201">
        <v>2200</v>
      </c>
      <c r="G201">
        <v>3.0300000000000001E-2</v>
      </c>
    </row>
    <row r="202" spans="1:7" x14ac:dyDescent="0.3">
      <c r="A202" s="1">
        <v>45992</v>
      </c>
      <c r="B202" t="s">
        <v>40</v>
      </c>
      <c r="C202">
        <v>17</v>
      </c>
      <c r="D202">
        <v>53654</v>
      </c>
      <c r="E202">
        <v>51260</v>
      </c>
      <c r="F202">
        <v>2394</v>
      </c>
      <c r="G202">
        <v>4.4600000000000001E-2</v>
      </c>
    </row>
    <row r="203" spans="1:7" x14ac:dyDescent="0.3">
      <c r="A203" s="1">
        <v>46023</v>
      </c>
      <c r="B203" t="s">
        <v>40</v>
      </c>
      <c r="C203">
        <v>17</v>
      </c>
      <c r="D203">
        <v>69259</v>
      </c>
      <c r="E203">
        <v>66704</v>
      </c>
      <c r="F203">
        <v>2555</v>
      </c>
      <c r="G203">
        <v>3.6900000000000002E-2</v>
      </c>
    </row>
    <row r="204" spans="1:7" x14ac:dyDescent="0.3">
      <c r="A204" s="1">
        <v>46054</v>
      </c>
      <c r="B204" t="s">
        <v>40</v>
      </c>
      <c r="C204">
        <v>17</v>
      </c>
      <c r="D204">
        <v>51832</v>
      </c>
      <c r="E204">
        <v>49396</v>
      </c>
      <c r="F204">
        <v>2436</v>
      </c>
      <c r="G204">
        <v>4.7E-2</v>
      </c>
    </row>
    <row r="205" spans="1:7" x14ac:dyDescent="0.3">
      <c r="A205" s="1">
        <v>46082</v>
      </c>
      <c r="B205" t="s">
        <v>40</v>
      </c>
      <c r="C205">
        <v>17</v>
      </c>
      <c r="D205">
        <v>40449</v>
      </c>
      <c r="E205">
        <v>38300</v>
      </c>
      <c r="F205">
        <v>2149</v>
      </c>
      <c r="G205">
        <v>5.3100000000000001E-2</v>
      </c>
    </row>
    <row r="206" spans="1:7" x14ac:dyDescent="0.3">
      <c r="A206" s="1">
        <v>45748</v>
      </c>
      <c r="B206" t="s">
        <v>40</v>
      </c>
      <c r="C206">
        <v>18</v>
      </c>
      <c r="D206">
        <v>73049</v>
      </c>
      <c r="E206">
        <v>70940</v>
      </c>
      <c r="F206">
        <v>2109</v>
      </c>
      <c r="G206">
        <v>2.8899999999999999E-2</v>
      </c>
    </row>
    <row r="207" spans="1:7" x14ac:dyDescent="0.3">
      <c r="A207" s="1">
        <v>45778</v>
      </c>
      <c r="B207" t="s">
        <v>40</v>
      </c>
      <c r="C207">
        <v>18</v>
      </c>
      <c r="D207">
        <v>154355</v>
      </c>
      <c r="E207">
        <v>150951</v>
      </c>
      <c r="F207">
        <v>3404</v>
      </c>
      <c r="G207">
        <v>2.2100000000000002E-2</v>
      </c>
    </row>
    <row r="208" spans="1:7" x14ac:dyDescent="0.3">
      <c r="A208" s="1">
        <v>45809</v>
      </c>
      <c r="B208" t="s">
        <v>40</v>
      </c>
      <c r="C208">
        <v>18</v>
      </c>
      <c r="D208">
        <v>306695</v>
      </c>
      <c r="E208">
        <v>300171</v>
      </c>
      <c r="F208">
        <v>6524</v>
      </c>
      <c r="G208">
        <v>2.1299999999999999E-2</v>
      </c>
    </row>
    <row r="209" spans="1:7" x14ac:dyDescent="0.3">
      <c r="A209" s="1">
        <v>45839</v>
      </c>
      <c r="B209" t="s">
        <v>40</v>
      </c>
      <c r="C209">
        <v>18</v>
      </c>
      <c r="D209">
        <v>438606</v>
      </c>
      <c r="E209">
        <v>430253</v>
      </c>
      <c r="F209">
        <v>8353</v>
      </c>
      <c r="G209">
        <v>1.9E-2</v>
      </c>
    </row>
    <row r="210" spans="1:7" x14ac:dyDescent="0.3">
      <c r="A210" s="1">
        <v>45870</v>
      </c>
      <c r="B210" t="s">
        <v>40</v>
      </c>
      <c r="C210">
        <v>18</v>
      </c>
      <c r="D210">
        <v>406878</v>
      </c>
      <c r="E210">
        <v>398629</v>
      </c>
      <c r="F210">
        <v>8249</v>
      </c>
      <c r="G210">
        <v>2.0299999999999999E-2</v>
      </c>
    </row>
    <row r="211" spans="1:7" x14ac:dyDescent="0.3">
      <c r="A211" s="1">
        <v>45901</v>
      </c>
      <c r="B211" t="s">
        <v>40</v>
      </c>
      <c r="C211">
        <v>18</v>
      </c>
      <c r="D211">
        <v>248114</v>
      </c>
      <c r="E211">
        <v>243049</v>
      </c>
      <c r="F211">
        <v>5065</v>
      </c>
      <c r="G211">
        <v>2.0400000000000001E-2</v>
      </c>
    </row>
    <row r="212" spans="1:7" x14ac:dyDescent="0.3">
      <c r="A212" s="1">
        <v>45931</v>
      </c>
      <c r="B212" t="s">
        <v>40</v>
      </c>
      <c r="C212">
        <v>18</v>
      </c>
      <c r="D212">
        <v>134565</v>
      </c>
      <c r="E212">
        <v>131227</v>
      </c>
      <c r="F212">
        <v>3338</v>
      </c>
      <c r="G212">
        <v>2.4799999999999999E-2</v>
      </c>
    </row>
    <row r="213" spans="1:7" x14ac:dyDescent="0.3">
      <c r="A213" s="1">
        <v>45962</v>
      </c>
      <c r="B213" t="s">
        <v>40</v>
      </c>
      <c r="C213">
        <v>18</v>
      </c>
      <c r="D213">
        <v>118513</v>
      </c>
      <c r="E213">
        <v>115746</v>
      </c>
      <c r="F213">
        <v>2767</v>
      </c>
      <c r="G213">
        <v>2.3300000000000001E-2</v>
      </c>
    </row>
    <row r="214" spans="1:7" x14ac:dyDescent="0.3">
      <c r="A214" s="1">
        <v>45992</v>
      </c>
      <c r="B214" t="s">
        <v>40</v>
      </c>
      <c r="C214">
        <v>18</v>
      </c>
      <c r="D214">
        <v>194705</v>
      </c>
      <c r="E214">
        <v>191232</v>
      </c>
      <c r="F214">
        <v>3473</v>
      </c>
      <c r="G214">
        <v>1.78E-2</v>
      </c>
    </row>
    <row r="215" spans="1:7" x14ac:dyDescent="0.3">
      <c r="A215" s="1">
        <v>46023</v>
      </c>
      <c r="B215" t="s">
        <v>40</v>
      </c>
      <c r="C215">
        <v>18</v>
      </c>
      <c r="D215">
        <v>64339</v>
      </c>
      <c r="E215">
        <v>61840</v>
      </c>
      <c r="F215">
        <v>2499</v>
      </c>
      <c r="G215">
        <v>3.8800000000000001E-2</v>
      </c>
    </row>
    <row r="216" spans="1:7" x14ac:dyDescent="0.3">
      <c r="A216" s="1">
        <v>46054</v>
      </c>
      <c r="B216" t="s">
        <v>40</v>
      </c>
      <c r="C216">
        <v>18</v>
      </c>
      <c r="D216">
        <v>43925</v>
      </c>
      <c r="E216">
        <v>42031</v>
      </c>
      <c r="F216">
        <v>1894</v>
      </c>
      <c r="G216">
        <v>4.3099999999999999E-2</v>
      </c>
    </row>
    <row r="217" spans="1:7" x14ac:dyDescent="0.3">
      <c r="A217" s="1">
        <v>46082</v>
      </c>
      <c r="B217" t="s">
        <v>40</v>
      </c>
      <c r="C217">
        <v>18</v>
      </c>
      <c r="D217">
        <v>61228</v>
      </c>
      <c r="E217">
        <v>58870</v>
      </c>
      <c r="F217">
        <v>2358</v>
      </c>
      <c r="G217">
        <v>3.85E-2</v>
      </c>
    </row>
    <row r="218" spans="1:7" x14ac:dyDescent="0.3">
      <c r="A218" s="1">
        <v>45748</v>
      </c>
      <c r="B218" t="s">
        <v>40</v>
      </c>
      <c r="C218">
        <v>19</v>
      </c>
      <c r="D218">
        <v>144094</v>
      </c>
      <c r="E218">
        <v>150910</v>
      </c>
      <c r="F218">
        <v>-6816</v>
      </c>
      <c r="G218">
        <v>-4.7300000000000002E-2</v>
      </c>
    </row>
    <row r="219" spans="1:7" x14ac:dyDescent="0.3">
      <c r="A219" s="1">
        <v>45778</v>
      </c>
      <c r="B219" t="s">
        <v>40</v>
      </c>
      <c r="C219">
        <v>19</v>
      </c>
      <c r="D219">
        <v>289033</v>
      </c>
      <c r="E219">
        <v>297003</v>
      </c>
      <c r="F219">
        <v>-7970</v>
      </c>
      <c r="G219">
        <v>-2.76E-2</v>
      </c>
    </row>
    <row r="220" spans="1:7" x14ac:dyDescent="0.3">
      <c r="A220" s="1">
        <v>45809</v>
      </c>
      <c r="B220" t="s">
        <v>40</v>
      </c>
      <c r="C220">
        <v>19</v>
      </c>
      <c r="D220">
        <v>896088</v>
      </c>
      <c r="E220">
        <v>912130</v>
      </c>
      <c r="F220">
        <v>-16042</v>
      </c>
      <c r="G220">
        <v>-1.7899999999999999E-2</v>
      </c>
    </row>
    <row r="221" spans="1:7" x14ac:dyDescent="0.3">
      <c r="A221" s="1">
        <v>45839</v>
      </c>
      <c r="B221" t="s">
        <v>40</v>
      </c>
      <c r="C221">
        <v>19</v>
      </c>
      <c r="D221">
        <v>1143510</v>
      </c>
      <c r="E221">
        <v>1162156</v>
      </c>
      <c r="F221">
        <v>-18646</v>
      </c>
      <c r="G221">
        <v>-1.6299999999999999E-2</v>
      </c>
    </row>
    <row r="222" spans="1:7" x14ac:dyDescent="0.3">
      <c r="A222" s="1">
        <v>45870</v>
      </c>
      <c r="B222" t="s">
        <v>40</v>
      </c>
      <c r="C222">
        <v>19</v>
      </c>
      <c r="D222">
        <v>712766</v>
      </c>
      <c r="E222">
        <v>725434</v>
      </c>
      <c r="F222">
        <v>-12668</v>
      </c>
      <c r="G222">
        <v>-1.78E-2</v>
      </c>
    </row>
    <row r="223" spans="1:7" x14ac:dyDescent="0.3">
      <c r="A223" s="1">
        <v>45901</v>
      </c>
      <c r="B223" t="s">
        <v>40</v>
      </c>
      <c r="C223">
        <v>19</v>
      </c>
      <c r="D223">
        <v>413154</v>
      </c>
      <c r="E223">
        <v>422571</v>
      </c>
      <c r="F223">
        <v>-9417</v>
      </c>
      <c r="G223">
        <v>-2.2800000000000001E-2</v>
      </c>
    </row>
    <row r="224" spans="1:7" x14ac:dyDescent="0.3">
      <c r="A224" s="1">
        <v>45931</v>
      </c>
      <c r="B224" t="s">
        <v>40</v>
      </c>
      <c r="C224">
        <v>19</v>
      </c>
      <c r="D224">
        <v>234365</v>
      </c>
      <c r="E224">
        <v>241172</v>
      </c>
      <c r="F224">
        <v>-6807</v>
      </c>
      <c r="G224">
        <v>-2.9000000000000001E-2</v>
      </c>
    </row>
    <row r="225" spans="1:7" x14ac:dyDescent="0.3">
      <c r="A225" s="1">
        <v>45962</v>
      </c>
      <c r="B225" t="s">
        <v>40</v>
      </c>
      <c r="C225">
        <v>19</v>
      </c>
      <c r="D225">
        <v>230171</v>
      </c>
      <c r="E225">
        <v>236136</v>
      </c>
      <c r="F225">
        <v>-5965</v>
      </c>
      <c r="G225">
        <v>-2.5899999999999999E-2</v>
      </c>
    </row>
    <row r="226" spans="1:7" x14ac:dyDescent="0.3">
      <c r="A226" s="1">
        <v>45992</v>
      </c>
      <c r="B226" t="s">
        <v>40</v>
      </c>
      <c r="C226">
        <v>19</v>
      </c>
      <c r="D226">
        <v>364063</v>
      </c>
      <c r="E226">
        <v>370684</v>
      </c>
      <c r="F226">
        <v>-6621</v>
      </c>
      <c r="G226">
        <v>-1.8200000000000001E-2</v>
      </c>
    </row>
    <row r="227" spans="1:7" x14ac:dyDescent="0.3">
      <c r="A227" s="1">
        <v>46023</v>
      </c>
      <c r="B227" t="s">
        <v>40</v>
      </c>
      <c r="C227">
        <v>19</v>
      </c>
      <c r="D227">
        <v>138437</v>
      </c>
      <c r="E227">
        <v>144683</v>
      </c>
      <c r="F227">
        <v>-6246</v>
      </c>
      <c r="G227">
        <v>-4.5100000000000001E-2</v>
      </c>
    </row>
    <row r="228" spans="1:7" x14ac:dyDescent="0.3">
      <c r="A228" s="1">
        <v>46054</v>
      </c>
      <c r="B228" t="s">
        <v>40</v>
      </c>
      <c r="C228">
        <v>19</v>
      </c>
      <c r="D228">
        <v>94205</v>
      </c>
      <c r="E228">
        <v>100234</v>
      </c>
      <c r="F228">
        <v>-6029</v>
      </c>
      <c r="G228">
        <v>-6.4000000000000001E-2</v>
      </c>
    </row>
    <row r="229" spans="1:7" x14ac:dyDescent="0.3">
      <c r="A229" s="1">
        <v>46082</v>
      </c>
      <c r="B229" t="s">
        <v>40</v>
      </c>
      <c r="C229">
        <v>19</v>
      </c>
      <c r="D229">
        <v>120404</v>
      </c>
      <c r="E229">
        <v>126585</v>
      </c>
      <c r="F229">
        <v>-6181</v>
      </c>
      <c r="G229">
        <v>-5.1299999999999998E-2</v>
      </c>
    </row>
    <row r="230" spans="1:7" x14ac:dyDescent="0.3">
      <c r="A230" s="1">
        <v>45748</v>
      </c>
      <c r="B230" t="s">
        <v>40</v>
      </c>
      <c r="C230">
        <v>20</v>
      </c>
      <c r="D230">
        <v>50670</v>
      </c>
      <c r="E230">
        <v>55212</v>
      </c>
      <c r="F230">
        <v>-4542</v>
      </c>
      <c r="G230">
        <v>-8.9599999999999999E-2</v>
      </c>
    </row>
    <row r="231" spans="1:7" x14ac:dyDescent="0.3">
      <c r="A231" s="1">
        <v>45778</v>
      </c>
      <c r="B231" t="s">
        <v>40</v>
      </c>
      <c r="C231">
        <v>20</v>
      </c>
      <c r="D231">
        <v>251507</v>
      </c>
      <c r="E231">
        <v>246334</v>
      </c>
      <c r="F231">
        <v>5173</v>
      </c>
      <c r="G231">
        <v>2.06E-2</v>
      </c>
    </row>
    <row r="232" spans="1:7" x14ac:dyDescent="0.3">
      <c r="A232" s="1">
        <v>45809</v>
      </c>
      <c r="B232" t="s">
        <v>40</v>
      </c>
      <c r="C232">
        <v>20</v>
      </c>
      <c r="D232">
        <v>413424</v>
      </c>
      <c r="E232">
        <v>405863</v>
      </c>
      <c r="F232">
        <v>7561</v>
      </c>
      <c r="G232">
        <v>1.83E-2</v>
      </c>
    </row>
    <row r="233" spans="1:7" x14ac:dyDescent="0.3">
      <c r="A233" s="1">
        <v>45839</v>
      </c>
      <c r="B233" t="s">
        <v>40</v>
      </c>
      <c r="C233">
        <v>20</v>
      </c>
      <c r="D233">
        <v>519827</v>
      </c>
      <c r="E233">
        <v>510362</v>
      </c>
      <c r="F233">
        <v>9465</v>
      </c>
      <c r="G233">
        <v>1.8200000000000001E-2</v>
      </c>
    </row>
    <row r="234" spans="1:7" x14ac:dyDescent="0.3">
      <c r="A234" s="1">
        <v>45870</v>
      </c>
      <c r="B234" t="s">
        <v>40</v>
      </c>
      <c r="C234">
        <v>20</v>
      </c>
      <c r="D234">
        <v>346487</v>
      </c>
      <c r="E234">
        <v>339781</v>
      </c>
      <c r="F234">
        <v>6706</v>
      </c>
      <c r="G234">
        <v>1.9400000000000001E-2</v>
      </c>
    </row>
    <row r="235" spans="1:7" x14ac:dyDescent="0.3">
      <c r="A235" s="1">
        <v>45901</v>
      </c>
      <c r="B235" t="s">
        <v>40</v>
      </c>
      <c r="C235">
        <v>20</v>
      </c>
      <c r="D235">
        <v>350327</v>
      </c>
      <c r="E235">
        <v>343584</v>
      </c>
      <c r="F235">
        <v>6743</v>
      </c>
      <c r="G235">
        <v>1.9199999999999998E-2</v>
      </c>
    </row>
    <row r="236" spans="1:7" x14ac:dyDescent="0.3">
      <c r="A236" s="1">
        <v>45931</v>
      </c>
      <c r="B236" t="s">
        <v>40</v>
      </c>
      <c r="C236">
        <v>20</v>
      </c>
      <c r="D236">
        <v>103871</v>
      </c>
      <c r="E236">
        <v>101218</v>
      </c>
      <c r="F236">
        <v>2653</v>
      </c>
      <c r="G236">
        <v>2.5499999999999998E-2</v>
      </c>
    </row>
    <row r="237" spans="1:7" x14ac:dyDescent="0.3">
      <c r="A237" s="1">
        <v>45962</v>
      </c>
      <c r="B237" t="s">
        <v>40</v>
      </c>
      <c r="C237">
        <v>20</v>
      </c>
      <c r="D237">
        <v>21762</v>
      </c>
      <c r="E237">
        <v>20852</v>
      </c>
      <c r="F237">
        <v>910</v>
      </c>
      <c r="G237">
        <v>4.1799999999999997E-2</v>
      </c>
    </row>
    <row r="238" spans="1:7" x14ac:dyDescent="0.3">
      <c r="A238" s="1">
        <v>45992</v>
      </c>
      <c r="B238" t="s">
        <v>40</v>
      </c>
      <c r="C238">
        <v>20</v>
      </c>
      <c r="D238">
        <v>13222</v>
      </c>
      <c r="E238">
        <v>12645</v>
      </c>
      <c r="F238">
        <v>577</v>
      </c>
      <c r="G238">
        <v>4.36E-2</v>
      </c>
    </row>
    <row r="239" spans="1:7" x14ac:dyDescent="0.3">
      <c r="A239" s="1">
        <v>46023</v>
      </c>
      <c r="B239" t="s">
        <v>40</v>
      </c>
      <c r="C239">
        <v>20</v>
      </c>
      <c r="D239">
        <v>20538</v>
      </c>
      <c r="E239">
        <v>19720</v>
      </c>
      <c r="F239">
        <v>818</v>
      </c>
      <c r="G239">
        <v>3.9800000000000002E-2</v>
      </c>
    </row>
    <row r="240" spans="1:7" x14ac:dyDescent="0.3">
      <c r="A240" s="1">
        <v>46054</v>
      </c>
      <c r="B240" t="s">
        <v>40</v>
      </c>
      <c r="C240">
        <v>20</v>
      </c>
      <c r="D240">
        <v>27208</v>
      </c>
      <c r="E240">
        <v>26233</v>
      </c>
      <c r="F240">
        <v>975</v>
      </c>
      <c r="G240">
        <v>3.5799999999999998E-2</v>
      </c>
    </row>
    <row r="241" spans="1:7" x14ac:dyDescent="0.3">
      <c r="A241" s="1">
        <v>46082</v>
      </c>
      <c r="B241" t="s">
        <v>40</v>
      </c>
      <c r="C241">
        <v>20</v>
      </c>
      <c r="D241">
        <v>24203</v>
      </c>
      <c r="E241">
        <v>23291</v>
      </c>
      <c r="F241">
        <v>912</v>
      </c>
      <c r="G241">
        <v>3.7699999999999997E-2</v>
      </c>
    </row>
    <row r="242" spans="1:7" x14ac:dyDescent="0.3">
      <c r="A242" s="1">
        <v>45748</v>
      </c>
      <c r="B242" t="s">
        <v>40</v>
      </c>
      <c r="C242">
        <v>21</v>
      </c>
      <c r="D242">
        <v>50540</v>
      </c>
      <c r="E242">
        <v>49032</v>
      </c>
      <c r="F242">
        <v>1508</v>
      </c>
      <c r="G242">
        <v>2.98E-2</v>
      </c>
    </row>
    <row r="243" spans="1:7" x14ac:dyDescent="0.3">
      <c r="A243" s="1">
        <v>45778</v>
      </c>
      <c r="B243" t="s">
        <v>40</v>
      </c>
      <c r="C243">
        <v>21</v>
      </c>
      <c r="D243">
        <v>222317</v>
      </c>
      <c r="E243">
        <v>217894</v>
      </c>
      <c r="F243">
        <v>4423</v>
      </c>
      <c r="G243">
        <v>1.9900000000000001E-2</v>
      </c>
    </row>
    <row r="244" spans="1:7" x14ac:dyDescent="0.3">
      <c r="A244" s="1">
        <v>45809</v>
      </c>
      <c r="B244" t="s">
        <v>40</v>
      </c>
      <c r="C244">
        <v>21</v>
      </c>
      <c r="D244">
        <v>348898</v>
      </c>
      <c r="E244">
        <v>343038</v>
      </c>
      <c r="F244">
        <v>5860</v>
      </c>
      <c r="G244">
        <v>1.6799999999999999E-2</v>
      </c>
    </row>
    <row r="245" spans="1:7" x14ac:dyDescent="0.3">
      <c r="A245" s="1">
        <v>45839</v>
      </c>
      <c r="B245" t="s">
        <v>40</v>
      </c>
      <c r="C245">
        <v>21</v>
      </c>
      <c r="D245">
        <v>460469</v>
      </c>
      <c r="E245">
        <v>453002</v>
      </c>
      <c r="F245">
        <v>7467</v>
      </c>
      <c r="G245">
        <v>1.6199999999999999E-2</v>
      </c>
    </row>
    <row r="246" spans="1:7" x14ac:dyDescent="0.3">
      <c r="A246" s="1">
        <v>45870</v>
      </c>
      <c r="B246" t="s">
        <v>40</v>
      </c>
      <c r="C246">
        <v>21</v>
      </c>
      <c r="D246">
        <v>327055</v>
      </c>
      <c r="E246">
        <v>321516</v>
      </c>
      <c r="F246">
        <v>5539</v>
      </c>
      <c r="G246">
        <v>1.6899999999999998E-2</v>
      </c>
    </row>
    <row r="247" spans="1:7" x14ac:dyDescent="0.3">
      <c r="A247" s="1">
        <v>45901</v>
      </c>
      <c r="B247" t="s">
        <v>40</v>
      </c>
      <c r="C247">
        <v>21</v>
      </c>
      <c r="D247">
        <v>320352</v>
      </c>
      <c r="E247">
        <v>315162</v>
      </c>
      <c r="F247">
        <v>5190</v>
      </c>
      <c r="G247">
        <v>1.6199999999999999E-2</v>
      </c>
    </row>
    <row r="248" spans="1:7" x14ac:dyDescent="0.3">
      <c r="A248" s="1">
        <v>45931</v>
      </c>
      <c r="B248" t="s">
        <v>40</v>
      </c>
      <c r="C248">
        <v>21</v>
      </c>
      <c r="D248">
        <v>78126</v>
      </c>
      <c r="E248">
        <v>76485</v>
      </c>
      <c r="F248">
        <v>1641</v>
      </c>
      <c r="G248">
        <v>2.1000000000000001E-2</v>
      </c>
    </row>
    <row r="249" spans="1:7" x14ac:dyDescent="0.3">
      <c r="A249" s="1">
        <v>45962</v>
      </c>
      <c r="B249" t="s">
        <v>40</v>
      </c>
      <c r="C249">
        <v>21</v>
      </c>
      <c r="D249">
        <v>22053</v>
      </c>
      <c r="E249">
        <v>21226</v>
      </c>
      <c r="F249">
        <v>827</v>
      </c>
      <c r="G249">
        <v>3.7499999999999999E-2</v>
      </c>
    </row>
    <row r="250" spans="1:7" x14ac:dyDescent="0.3">
      <c r="A250" s="1">
        <v>45992</v>
      </c>
      <c r="B250" t="s">
        <v>40</v>
      </c>
      <c r="C250">
        <v>21</v>
      </c>
      <c r="D250">
        <v>11986</v>
      </c>
      <c r="E250">
        <v>11446</v>
      </c>
      <c r="F250">
        <v>540</v>
      </c>
      <c r="G250">
        <v>4.5100000000000001E-2</v>
      </c>
    </row>
    <row r="251" spans="1:7" x14ac:dyDescent="0.3">
      <c r="A251" s="1">
        <v>46023</v>
      </c>
      <c r="B251" t="s">
        <v>40</v>
      </c>
      <c r="C251">
        <v>21</v>
      </c>
      <c r="D251">
        <v>18441</v>
      </c>
      <c r="E251">
        <v>17667</v>
      </c>
      <c r="F251">
        <v>774</v>
      </c>
      <c r="G251">
        <v>4.2000000000000003E-2</v>
      </c>
    </row>
    <row r="252" spans="1:7" x14ac:dyDescent="0.3">
      <c r="A252" s="1">
        <v>46054</v>
      </c>
      <c r="B252" t="s">
        <v>40</v>
      </c>
      <c r="C252">
        <v>21</v>
      </c>
      <c r="D252">
        <v>25740</v>
      </c>
      <c r="E252">
        <v>24744</v>
      </c>
      <c r="F252">
        <v>996</v>
      </c>
      <c r="G252">
        <v>3.8699999999999998E-2</v>
      </c>
    </row>
    <row r="253" spans="1:7" x14ac:dyDescent="0.3">
      <c r="A253" s="1">
        <v>46082</v>
      </c>
      <c r="B253" t="s">
        <v>40</v>
      </c>
      <c r="C253">
        <v>21</v>
      </c>
      <c r="D253">
        <v>23679</v>
      </c>
      <c r="E253">
        <v>22730</v>
      </c>
      <c r="F253">
        <v>949</v>
      </c>
      <c r="G253">
        <v>4.0099999999999997E-2</v>
      </c>
    </row>
    <row r="254" spans="1:7" x14ac:dyDescent="0.3">
      <c r="A254" s="1">
        <v>45748</v>
      </c>
      <c r="B254" t="s">
        <v>40</v>
      </c>
      <c r="C254">
        <v>22</v>
      </c>
      <c r="D254">
        <v>57100</v>
      </c>
      <c r="E254">
        <v>55212</v>
      </c>
      <c r="F254">
        <v>1888</v>
      </c>
      <c r="G254">
        <v>3.3099999999999997E-2</v>
      </c>
    </row>
    <row r="255" spans="1:7" x14ac:dyDescent="0.3">
      <c r="A255" s="1">
        <v>45778</v>
      </c>
      <c r="B255" t="s">
        <v>40</v>
      </c>
      <c r="C255">
        <v>22</v>
      </c>
      <c r="D255">
        <v>171724</v>
      </c>
      <c r="E255">
        <v>169017</v>
      </c>
      <c r="F255">
        <v>2707</v>
      </c>
      <c r="G255">
        <v>1.5800000000000002E-2</v>
      </c>
    </row>
    <row r="256" spans="1:7" x14ac:dyDescent="0.3">
      <c r="A256" s="1">
        <v>45809</v>
      </c>
      <c r="B256" t="s">
        <v>40</v>
      </c>
      <c r="C256">
        <v>22</v>
      </c>
      <c r="D256">
        <v>228064</v>
      </c>
      <c r="E256">
        <v>222654</v>
      </c>
      <c r="F256">
        <v>5410</v>
      </c>
      <c r="G256">
        <v>2.3699999999999999E-2</v>
      </c>
    </row>
    <row r="257" spans="1:7" x14ac:dyDescent="0.3">
      <c r="A257" s="1">
        <v>45839</v>
      </c>
      <c r="B257" t="s">
        <v>40</v>
      </c>
      <c r="C257">
        <v>22</v>
      </c>
      <c r="D257">
        <v>271084</v>
      </c>
      <c r="E257">
        <v>267435</v>
      </c>
      <c r="F257">
        <v>3649</v>
      </c>
      <c r="G257">
        <v>1.35E-2</v>
      </c>
    </row>
    <row r="258" spans="1:7" x14ac:dyDescent="0.3">
      <c r="A258" s="1">
        <v>45870</v>
      </c>
      <c r="B258" t="s">
        <v>40</v>
      </c>
      <c r="C258">
        <v>22</v>
      </c>
      <c r="D258">
        <v>228996</v>
      </c>
      <c r="E258">
        <v>225236</v>
      </c>
      <c r="F258">
        <v>3760</v>
      </c>
      <c r="G258">
        <v>1.6400000000000001E-2</v>
      </c>
    </row>
    <row r="259" spans="1:7" x14ac:dyDescent="0.3">
      <c r="A259" s="1">
        <v>45901</v>
      </c>
      <c r="B259" t="s">
        <v>40</v>
      </c>
      <c r="C259">
        <v>22</v>
      </c>
      <c r="D259">
        <v>204970</v>
      </c>
      <c r="E259">
        <v>201857</v>
      </c>
      <c r="F259">
        <v>3113</v>
      </c>
      <c r="G259">
        <v>1.52E-2</v>
      </c>
    </row>
    <row r="260" spans="1:7" x14ac:dyDescent="0.3">
      <c r="A260" s="1">
        <v>45931</v>
      </c>
      <c r="B260" t="s">
        <v>40</v>
      </c>
      <c r="C260">
        <v>22</v>
      </c>
      <c r="D260">
        <v>73840</v>
      </c>
      <c r="E260">
        <v>72194</v>
      </c>
      <c r="F260">
        <v>1646</v>
      </c>
      <c r="G260">
        <v>2.23E-2</v>
      </c>
    </row>
    <row r="261" spans="1:7" x14ac:dyDescent="0.3">
      <c r="A261" s="1">
        <v>45962</v>
      </c>
      <c r="B261" t="s">
        <v>40</v>
      </c>
      <c r="C261">
        <v>22</v>
      </c>
      <c r="D261">
        <v>41982</v>
      </c>
      <c r="E261">
        <v>40403</v>
      </c>
      <c r="F261">
        <v>1579</v>
      </c>
      <c r="G261">
        <v>3.7600000000000001E-2</v>
      </c>
    </row>
    <row r="262" spans="1:7" x14ac:dyDescent="0.3">
      <c r="A262" s="1">
        <v>45992</v>
      </c>
      <c r="B262" t="s">
        <v>40</v>
      </c>
      <c r="C262">
        <v>22</v>
      </c>
      <c r="D262">
        <v>54167</v>
      </c>
      <c r="E262">
        <v>52561</v>
      </c>
      <c r="F262">
        <v>1606</v>
      </c>
      <c r="G262">
        <v>2.9600000000000001E-2</v>
      </c>
    </row>
    <row r="263" spans="1:7" x14ac:dyDescent="0.3">
      <c r="A263" s="1">
        <v>46023</v>
      </c>
      <c r="B263" t="s">
        <v>40</v>
      </c>
      <c r="C263">
        <v>22</v>
      </c>
      <c r="D263">
        <v>59175</v>
      </c>
      <c r="E263">
        <v>57832</v>
      </c>
      <c r="F263">
        <v>1343</v>
      </c>
      <c r="G263">
        <v>2.2700000000000001E-2</v>
      </c>
    </row>
    <row r="264" spans="1:7" x14ac:dyDescent="0.3">
      <c r="A264" s="1">
        <v>46054</v>
      </c>
      <c r="B264" t="s">
        <v>40</v>
      </c>
      <c r="C264">
        <v>22</v>
      </c>
      <c r="D264">
        <v>50343</v>
      </c>
      <c r="E264">
        <v>49218</v>
      </c>
      <c r="F264">
        <v>1125</v>
      </c>
      <c r="G264">
        <v>2.23E-2</v>
      </c>
    </row>
    <row r="265" spans="1:7" x14ac:dyDescent="0.3">
      <c r="A265" s="1">
        <v>46082</v>
      </c>
      <c r="B265" t="s">
        <v>40</v>
      </c>
      <c r="C265">
        <v>22</v>
      </c>
      <c r="D265">
        <v>30691</v>
      </c>
      <c r="E265">
        <v>29755</v>
      </c>
      <c r="F265">
        <v>936</v>
      </c>
      <c r="G265">
        <v>3.0499999999999999E-2</v>
      </c>
    </row>
    <row r="266" spans="1:7" x14ac:dyDescent="0.3">
      <c r="A266" s="1">
        <v>45748</v>
      </c>
      <c r="B266" t="s">
        <v>40</v>
      </c>
      <c r="C266">
        <v>23</v>
      </c>
      <c r="D266">
        <v>70083</v>
      </c>
      <c r="E266">
        <v>68638</v>
      </c>
      <c r="F266">
        <v>1445</v>
      </c>
      <c r="G266">
        <v>2.06E-2</v>
      </c>
    </row>
    <row r="267" spans="1:7" x14ac:dyDescent="0.3">
      <c r="A267" s="1">
        <v>45778</v>
      </c>
      <c r="B267" t="s">
        <v>40</v>
      </c>
      <c r="C267">
        <v>23</v>
      </c>
      <c r="D267">
        <v>210941</v>
      </c>
      <c r="E267">
        <v>207567</v>
      </c>
      <c r="F267">
        <v>3374</v>
      </c>
      <c r="G267">
        <v>1.6E-2</v>
      </c>
    </row>
    <row r="268" spans="1:7" x14ac:dyDescent="0.3">
      <c r="A268" s="1">
        <v>45809</v>
      </c>
      <c r="B268" t="s">
        <v>40</v>
      </c>
      <c r="C268">
        <v>23</v>
      </c>
      <c r="D268">
        <v>279699</v>
      </c>
      <c r="E268">
        <v>278762</v>
      </c>
      <c r="F268">
        <v>937</v>
      </c>
      <c r="G268">
        <v>3.3999999999999998E-3</v>
      </c>
    </row>
    <row r="269" spans="1:7" x14ac:dyDescent="0.3">
      <c r="A269" s="1">
        <v>45839</v>
      </c>
      <c r="B269" t="s">
        <v>40</v>
      </c>
      <c r="C269">
        <v>23</v>
      </c>
      <c r="D269">
        <v>337061</v>
      </c>
      <c r="E269">
        <v>322060</v>
      </c>
      <c r="F269">
        <v>15001</v>
      </c>
      <c r="G269">
        <v>4.4499999999999998E-2</v>
      </c>
    </row>
    <row r="270" spans="1:7" x14ac:dyDescent="0.3">
      <c r="A270" s="1">
        <v>45870</v>
      </c>
      <c r="B270" t="s">
        <v>40</v>
      </c>
      <c r="C270">
        <v>23</v>
      </c>
      <c r="D270">
        <v>293213</v>
      </c>
      <c r="E270">
        <v>298180</v>
      </c>
      <c r="F270">
        <v>-4967</v>
      </c>
      <c r="G270">
        <v>-1.6899999999999998E-2</v>
      </c>
    </row>
    <row r="271" spans="1:7" x14ac:dyDescent="0.3">
      <c r="A271" s="1">
        <v>45901</v>
      </c>
      <c r="B271" t="s">
        <v>40</v>
      </c>
      <c r="C271">
        <v>23</v>
      </c>
      <c r="D271">
        <v>265924</v>
      </c>
      <c r="E271">
        <v>259620</v>
      </c>
      <c r="F271">
        <v>6304</v>
      </c>
      <c r="G271">
        <v>2.3699999999999999E-2</v>
      </c>
    </row>
    <row r="272" spans="1:7" x14ac:dyDescent="0.3">
      <c r="A272" s="1">
        <v>45931</v>
      </c>
      <c r="B272" t="s">
        <v>40</v>
      </c>
      <c r="C272">
        <v>23</v>
      </c>
      <c r="D272">
        <v>81058</v>
      </c>
      <c r="E272">
        <v>79220</v>
      </c>
      <c r="F272">
        <v>1838</v>
      </c>
      <c r="G272">
        <v>2.2700000000000001E-2</v>
      </c>
    </row>
    <row r="273" spans="1:7" x14ac:dyDescent="0.3">
      <c r="A273" s="1">
        <v>45962</v>
      </c>
      <c r="B273" t="s">
        <v>40</v>
      </c>
      <c r="C273">
        <v>23</v>
      </c>
      <c r="D273">
        <v>46318</v>
      </c>
      <c r="E273">
        <v>45069</v>
      </c>
      <c r="F273">
        <v>1249</v>
      </c>
      <c r="G273">
        <v>2.7E-2</v>
      </c>
    </row>
    <row r="274" spans="1:7" x14ac:dyDescent="0.3">
      <c r="A274" s="1">
        <v>45992</v>
      </c>
      <c r="B274" t="s">
        <v>40</v>
      </c>
      <c r="C274">
        <v>23</v>
      </c>
      <c r="D274">
        <v>64385</v>
      </c>
      <c r="E274">
        <v>62931</v>
      </c>
      <c r="F274">
        <v>1454</v>
      </c>
      <c r="G274">
        <v>2.2599999999999999E-2</v>
      </c>
    </row>
    <row r="275" spans="1:7" x14ac:dyDescent="0.3">
      <c r="A275" s="1">
        <v>46023</v>
      </c>
      <c r="B275" t="s">
        <v>40</v>
      </c>
      <c r="C275">
        <v>23</v>
      </c>
      <c r="D275">
        <v>65293</v>
      </c>
      <c r="E275">
        <v>63880</v>
      </c>
      <c r="F275">
        <v>1413</v>
      </c>
      <c r="G275">
        <v>2.1600000000000001E-2</v>
      </c>
    </row>
    <row r="276" spans="1:7" x14ac:dyDescent="0.3">
      <c r="A276" s="1">
        <v>46054</v>
      </c>
      <c r="B276" t="s">
        <v>40</v>
      </c>
      <c r="C276">
        <v>23</v>
      </c>
      <c r="D276">
        <v>55756</v>
      </c>
      <c r="E276">
        <v>54480</v>
      </c>
      <c r="F276">
        <v>1276</v>
      </c>
      <c r="G276">
        <v>2.29E-2</v>
      </c>
    </row>
    <row r="277" spans="1:7" x14ac:dyDescent="0.3">
      <c r="A277" s="1">
        <v>46082</v>
      </c>
      <c r="B277" t="s">
        <v>40</v>
      </c>
      <c r="C277">
        <v>23</v>
      </c>
      <c r="D277">
        <v>32158</v>
      </c>
      <c r="E277">
        <v>31160</v>
      </c>
      <c r="F277">
        <v>998</v>
      </c>
      <c r="G277">
        <v>3.1E-2</v>
      </c>
    </row>
    <row r="278" spans="1:7" x14ac:dyDescent="0.3">
      <c r="A278" s="1">
        <v>45748</v>
      </c>
      <c r="B278" t="s">
        <v>40</v>
      </c>
      <c r="C278">
        <v>24</v>
      </c>
      <c r="D278">
        <v>83272</v>
      </c>
      <c r="E278">
        <v>80100</v>
      </c>
      <c r="F278">
        <v>3172</v>
      </c>
      <c r="G278">
        <v>3.8100000000000002E-2</v>
      </c>
    </row>
    <row r="279" spans="1:7" x14ac:dyDescent="0.3">
      <c r="A279" s="1">
        <v>45778</v>
      </c>
      <c r="B279" t="s">
        <v>40</v>
      </c>
      <c r="C279">
        <v>24</v>
      </c>
      <c r="D279">
        <v>153501</v>
      </c>
      <c r="E279">
        <v>150255</v>
      </c>
      <c r="F279">
        <v>3246</v>
      </c>
      <c r="G279">
        <v>2.1100000000000001E-2</v>
      </c>
    </row>
    <row r="280" spans="1:7" x14ac:dyDescent="0.3">
      <c r="A280" s="1">
        <v>45809</v>
      </c>
      <c r="B280" t="s">
        <v>40</v>
      </c>
      <c r="C280">
        <v>24</v>
      </c>
      <c r="D280">
        <v>250536</v>
      </c>
      <c r="E280">
        <v>249495</v>
      </c>
      <c r="F280">
        <v>1041</v>
      </c>
      <c r="G280">
        <v>4.1999999999999997E-3</v>
      </c>
    </row>
    <row r="281" spans="1:7" x14ac:dyDescent="0.3">
      <c r="A281" s="1">
        <v>45839</v>
      </c>
      <c r="B281" t="s">
        <v>40</v>
      </c>
      <c r="C281">
        <v>24</v>
      </c>
      <c r="D281">
        <v>345420</v>
      </c>
      <c r="E281">
        <v>337710</v>
      </c>
      <c r="F281">
        <v>7710</v>
      </c>
      <c r="G281">
        <v>2.23E-2</v>
      </c>
    </row>
    <row r="282" spans="1:7" x14ac:dyDescent="0.3">
      <c r="A282" s="1">
        <v>45870</v>
      </c>
      <c r="B282" t="s">
        <v>40</v>
      </c>
      <c r="C282">
        <v>24</v>
      </c>
      <c r="D282">
        <v>227488</v>
      </c>
      <c r="E282">
        <v>224708</v>
      </c>
      <c r="F282">
        <v>2780</v>
      </c>
      <c r="G282">
        <v>1.2200000000000001E-2</v>
      </c>
    </row>
    <row r="283" spans="1:7" x14ac:dyDescent="0.3">
      <c r="A283" s="1">
        <v>45901</v>
      </c>
      <c r="B283" t="s">
        <v>40</v>
      </c>
      <c r="C283">
        <v>24</v>
      </c>
      <c r="D283">
        <v>204536</v>
      </c>
      <c r="E283">
        <v>202133</v>
      </c>
      <c r="F283">
        <v>2403</v>
      </c>
      <c r="G283">
        <v>1.17E-2</v>
      </c>
    </row>
    <row r="284" spans="1:7" x14ac:dyDescent="0.3">
      <c r="A284" s="1">
        <v>45931</v>
      </c>
      <c r="B284" t="s">
        <v>40</v>
      </c>
      <c r="C284">
        <v>24</v>
      </c>
      <c r="D284">
        <v>89306</v>
      </c>
      <c r="E284">
        <v>87578</v>
      </c>
      <c r="F284">
        <v>1728</v>
      </c>
      <c r="G284">
        <v>1.9300000000000001E-2</v>
      </c>
    </row>
    <row r="285" spans="1:7" x14ac:dyDescent="0.3">
      <c r="A285" s="1">
        <v>45962</v>
      </c>
      <c r="B285" t="s">
        <v>40</v>
      </c>
      <c r="C285">
        <v>24</v>
      </c>
      <c r="D285">
        <v>65678</v>
      </c>
      <c r="E285">
        <v>65318</v>
      </c>
      <c r="F285">
        <v>360</v>
      </c>
      <c r="G285">
        <v>5.4999999999999997E-3</v>
      </c>
    </row>
    <row r="286" spans="1:7" x14ac:dyDescent="0.3">
      <c r="A286" s="1">
        <v>45992</v>
      </c>
      <c r="B286" t="s">
        <v>40</v>
      </c>
      <c r="C286">
        <v>24</v>
      </c>
      <c r="D286">
        <v>70598</v>
      </c>
      <c r="E286">
        <v>66997</v>
      </c>
      <c r="F286">
        <v>3601</v>
      </c>
      <c r="G286">
        <v>5.0999999999999997E-2</v>
      </c>
    </row>
    <row r="287" spans="1:7" x14ac:dyDescent="0.3">
      <c r="A287" s="1">
        <v>46023</v>
      </c>
      <c r="B287" t="s">
        <v>40</v>
      </c>
      <c r="C287">
        <v>24</v>
      </c>
      <c r="D287">
        <v>74438</v>
      </c>
      <c r="E287">
        <v>75143</v>
      </c>
      <c r="F287">
        <v>-705</v>
      </c>
      <c r="G287">
        <v>-9.4999999999999998E-3</v>
      </c>
    </row>
    <row r="288" spans="1:7" x14ac:dyDescent="0.3">
      <c r="A288" s="1">
        <v>46054</v>
      </c>
      <c r="B288" t="s">
        <v>40</v>
      </c>
      <c r="C288">
        <v>24</v>
      </c>
      <c r="D288">
        <v>59183</v>
      </c>
      <c r="E288">
        <v>59160</v>
      </c>
      <c r="F288">
        <v>23</v>
      </c>
      <c r="G288">
        <v>4.0000000000000002E-4</v>
      </c>
    </row>
    <row r="289" spans="1:7" x14ac:dyDescent="0.3">
      <c r="A289" s="1">
        <v>46082</v>
      </c>
      <c r="B289" t="s">
        <v>40</v>
      </c>
      <c r="C289">
        <v>24</v>
      </c>
      <c r="D289">
        <v>62143</v>
      </c>
      <c r="E289">
        <v>61950</v>
      </c>
      <c r="F289">
        <v>193</v>
      </c>
      <c r="G289">
        <v>3.0999999999999999E-3</v>
      </c>
    </row>
    <row r="290" spans="1:7" x14ac:dyDescent="0.3">
      <c r="A290" s="1">
        <v>45748</v>
      </c>
      <c r="B290" t="s">
        <v>40</v>
      </c>
      <c r="C290">
        <v>25</v>
      </c>
      <c r="D290">
        <v>1009776</v>
      </c>
      <c r="E290">
        <v>970280</v>
      </c>
      <c r="F290">
        <v>39496</v>
      </c>
      <c r="G290">
        <v>3.9100000000000003E-2</v>
      </c>
    </row>
    <row r="291" spans="1:7" x14ac:dyDescent="0.3">
      <c r="A291" s="1">
        <v>45778</v>
      </c>
      <c r="B291" t="s">
        <v>40</v>
      </c>
      <c r="C291">
        <v>25</v>
      </c>
      <c r="D291">
        <v>1399165</v>
      </c>
      <c r="E291">
        <v>1358748</v>
      </c>
      <c r="F291">
        <v>40417</v>
      </c>
      <c r="G291">
        <v>2.8899999999999999E-2</v>
      </c>
    </row>
    <row r="292" spans="1:7" x14ac:dyDescent="0.3">
      <c r="A292" s="1">
        <v>45809</v>
      </c>
      <c r="B292" t="s">
        <v>40</v>
      </c>
      <c r="C292">
        <v>25</v>
      </c>
      <c r="D292">
        <v>2466331</v>
      </c>
      <c r="E292">
        <v>2403665</v>
      </c>
      <c r="F292">
        <v>62666</v>
      </c>
      <c r="G292">
        <v>2.5399999999999999E-2</v>
      </c>
    </row>
    <row r="293" spans="1:7" x14ac:dyDescent="0.3">
      <c r="A293" s="1">
        <v>45839</v>
      </c>
      <c r="B293" t="s">
        <v>40</v>
      </c>
      <c r="C293">
        <v>25</v>
      </c>
      <c r="D293">
        <v>2993395</v>
      </c>
      <c r="E293">
        <v>2919780</v>
      </c>
      <c r="F293">
        <v>73615</v>
      </c>
      <c r="G293">
        <v>2.46E-2</v>
      </c>
    </row>
    <row r="294" spans="1:7" x14ac:dyDescent="0.3">
      <c r="A294" s="1">
        <v>45870</v>
      </c>
      <c r="B294" t="s">
        <v>40</v>
      </c>
      <c r="C294">
        <v>25</v>
      </c>
      <c r="D294">
        <v>2148147</v>
      </c>
      <c r="E294">
        <v>2097476</v>
      </c>
      <c r="F294">
        <v>50671</v>
      </c>
      <c r="G294">
        <v>2.3599999999999999E-2</v>
      </c>
    </row>
    <row r="295" spans="1:7" x14ac:dyDescent="0.3">
      <c r="A295" s="1">
        <v>45901</v>
      </c>
      <c r="B295" t="s">
        <v>40</v>
      </c>
      <c r="C295">
        <v>25</v>
      </c>
      <c r="D295">
        <v>1644366</v>
      </c>
      <c r="E295">
        <v>1600225</v>
      </c>
      <c r="F295">
        <v>44141</v>
      </c>
      <c r="G295">
        <v>2.6800000000000001E-2</v>
      </c>
    </row>
    <row r="296" spans="1:7" x14ac:dyDescent="0.3">
      <c r="A296" s="1">
        <v>45931</v>
      </c>
      <c r="B296" t="s">
        <v>40</v>
      </c>
      <c r="C296">
        <v>25</v>
      </c>
      <c r="D296">
        <v>972341</v>
      </c>
      <c r="E296">
        <v>940703</v>
      </c>
      <c r="F296">
        <v>31638</v>
      </c>
      <c r="G296">
        <v>3.2500000000000001E-2</v>
      </c>
    </row>
    <row r="297" spans="1:7" x14ac:dyDescent="0.3">
      <c r="A297" s="1">
        <v>45962</v>
      </c>
      <c r="B297" t="s">
        <v>40</v>
      </c>
      <c r="C297">
        <v>25</v>
      </c>
      <c r="D297">
        <v>740848</v>
      </c>
      <c r="E297">
        <v>708646</v>
      </c>
      <c r="F297">
        <v>32202</v>
      </c>
      <c r="G297">
        <v>4.3499999999999997E-2</v>
      </c>
    </row>
    <row r="298" spans="1:7" x14ac:dyDescent="0.3">
      <c r="A298" s="1">
        <v>45992</v>
      </c>
      <c r="B298" t="s">
        <v>40</v>
      </c>
      <c r="C298">
        <v>25</v>
      </c>
      <c r="D298">
        <v>765627</v>
      </c>
      <c r="E298">
        <v>734937</v>
      </c>
      <c r="F298">
        <v>30690</v>
      </c>
      <c r="G298">
        <v>4.0099999999999997E-2</v>
      </c>
    </row>
    <row r="299" spans="1:7" x14ac:dyDescent="0.3">
      <c r="A299" s="1">
        <v>46023</v>
      </c>
      <c r="B299" t="s">
        <v>40</v>
      </c>
      <c r="C299">
        <v>25</v>
      </c>
      <c r="D299">
        <v>494693</v>
      </c>
      <c r="E299">
        <v>469743</v>
      </c>
      <c r="F299">
        <v>24950</v>
      </c>
      <c r="G299">
        <v>5.04E-2</v>
      </c>
    </row>
    <row r="300" spans="1:7" x14ac:dyDescent="0.3">
      <c r="A300" s="1">
        <v>46054</v>
      </c>
      <c r="B300" t="s">
        <v>40</v>
      </c>
      <c r="C300">
        <v>25</v>
      </c>
      <c r="D300">
        <v>439473</v>
      </c>
      <c r="E300">
        <v>414841</v>
      </c>
      <c r="F300">
        <v>24632</v>
      </c>
      <c r="G300">
        <v>5.6000000000000001E-2</v>
      </c>
    </row>
    <row r="301" spans="1:7" x14ac:dyDescent="0.3">
      <c r="A301" s="1">
        <v>46082</v>
      </c>
      <c r="B301" t="s">
        <v>40</v>
      </c>
      <c r="C301">
        <v>25</v>
      </c>
      <c r="D301">
        <v>605307</v>
      </c>
      <c r="E301">
        <v>574430</v>
      </c>
      <c r="F301">
        <v>30877</v>
      </c>
      <c r="G301">
        <v>5.0999999999999997E-2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4EF65-9DDD-4496-ADDC-9E4853FC29DE}">
  <dimension ref="A2:C58"/>
  <sheetViews>
    <sheetView zoomScale="48" workbookViewId="0">
      <selection activeCell="K36" sqref="K36"/>
    </sheetView>
  </sheetViews>
  <sheetFormatPr defaultRowHeight="14.4" x14ac:dyDescent="0.3"/>
  <cols>
    <col min="1" max="1" width="13.109375" bestFit="1" customWidth="1"/>
    <col min="2" max="2" width="25.21875" bestFit="1" customWidth="1"/>
    <col min="3" max="3" width="22.21875" bestFit="1" customWidth="1"/>
  </cols>
  <sheetData>
    <row r="2" spans="1:3" x14ac:dyDescent="0.3">
      <c r="A2" s="3" t="s">
        <v>87</v>
      </c>
      <c r="B2" t="s">
        <v>98</v>
      </c>
      <c r="C2" t="s">
        <v>102</v>
      </c>
    </row>
    <row r="3" spans="1:3" x14ac:dyDescent="0.3">
      <c r="A3" s="4" t="s">
        <v>100</v>
      </c>
      <c r="B3" s="7">
        <v>293105729</v>
      </c>
      <c r="C3" s="7">
        <v>223714155</v>
      </c>
    </row>
    <row r="4" spans="1:3" x14ac:dyDescent="0.3">
      <c r="A4" s="9" t="s">
        <v>103</v>
      </c>
      <c r="B4" s="7">
        <v>1186675</v>
      </c>
      <c r="C4" s="7">
        <v>865169</v>
      </c>
    </row>
    <row r="5" spans="1:3" x14ac:dyDescent="0.3">
      <c r="A5" s="10" t="s">
        <v>107</v>
      </c>
      <c r="B5" s="7">
        <v>536067</v>
      </c>
      <c r="C5" s="7">
        <v>361326</v>
      </c>
    </row>
    <row r="6" spans="1:3" x14ac:dyDescent="0.3">
      <c r="A6" s="10" t="s">
        <v>108</v>
      </c>
      <c r="B6" s="7">
        <v>220294</v>
      </c>
      <c r="C6" s="7">
        <v>220292</v>
      </c>
    </row>
    <row r="7" spans="1:3" x14ac:dyDescent="0.3">
      <c r="A7" s="10" t="s">
        <v>109</v>
      </c>
      <c r="B7" s="7">
        <v>430314</v>
      </c>
      <c r="C7" s="7">
        <v>283551</v>
      </c>
    </row>
    <row r="8" spans="1:3" x14ac:dyDescent="0.3">
      <c r="A8" s="9" t="s">
        <v>104</v>
      </c>
      <c r="B8" s="7">
        <v>78461462</v>
      </c>
      <c r="C8" s="7">
        <v>78461447</v>
      </c>
    </row>
    <row r="9" spans="1:3" x14ac:dyDescent="0.3">
      <c r="A9" s="10" t="s">
        <v>110</v>
      </c>
      <c r="B9" s="7">
        <v>9298085</v>
      </c>
      <c r="C9" s="7">
        <v>9298067</v>
      </c>
    </row>
    <row r="10" spans="1:3" x14ac:dyDescent="0.3">
      <c r="A10" s="10" t="s">
        <v>111</v>
      </c>
      <c r="B10" s="7">
        <v>20573027</v>
      </c>
      <c r="C10" s="7">
        <v>20573038</v>
      </c>
    </row>
    <row r="11" spans="1:3" x14ac:dyDescent="0.3">
      <c r="A11" s="10" t="s">
        <v>112</v>
      </c>
      <c r="B11" s="7">
        <v>48590350</v>
      </c>
      <c r="C11" s="7">
        <v>48590342</v>
      </c>
    </row>
    <row r="12" spans="1:3" x14ac:dyDescent="0.3">
      <c r="A12" s="9" t="s">
        <v>105</v>
      </c>
      <c r="B12" s="7">
        <v>155638339</v>
      </c>
      <c r="C12" s="7">
        <v>113106042</v>
      </c>
    </row>
    <row r="13" spans="1:3" x14ac:dyDescent="0.3">
      <c r="A13" s="10" t="s">
        <v>113</v>
      </c>
      <c r="B13" s="7">
        <v>61658739</v>
      </c>
      <c r="C13" s="7">
        <v>61658739</v>
      </c>
    </row>
    <row r="14" spans="1:3" x14ac:dyDescent="0.3">
      <c r="A14" s="10" t="s">
        <v>114</v>
      </c>
      <c r="B14" s="7">
        <v>46195812</v>
      </c>
      <c r="C14" s="7">
        <v>26907547</v>
      </c>
    </row>
    <row r="15" spans="1:3" x14ac:dyDescent="0.3">
      <c r="A15" s="10" t="s">
        <v>115</v>
      </c>
      <c r="B15" s="7">
        <v>47783788</v>
      </c>
      <c r="C15" s="7">
        <v>24539756</v>
      </c>
    </row>
    <row r="16" spans="1:3" x14ac:dyDescent="0.3">
      <c r="A16" s="9" t="s">
        <v>106</v>
      </c>
      <c r="B16" s="7">
        <v>57819253</v>
      </c>
      <c r="C16" s="7">
        <v>31281497</v>
      </c>
    </row>
    <row r="17" spans="1:3" x14ac:dyDescent="0.3">
      <c r="A17" s="10" t="s">
        <v>116</v>
      </c>
      <c r="B17" s="7">
        <v>22843836</v>
      </c>
      <c r="C17" s="7">
        <v>14303422</v>
      </c>
    </row>
    <row r="18" spans="1:3" x14ac:dyDescent="0.3">
      <c r="A18" s="10" t="s">
        <v>117</v>
      </c>
      <c r="B18" s="7">
        <v>18076858</v>
      </c>
      <c r="C18" s="7">
        <v>10361982</v>
      </c>
    </row>
    <row r="19" spans="1:3" x14ac:dyDescent="0.3">
      <c r="A19" s="10" t="s">
        <v>118</v>
      </c>
      <c r="B19" s="7">
        <v>16898559</v>
      </c>
      <c r="C19" s="7">
        <v>6616093</v>
      </c>
    </row>
    <row r="20" spans="1:3" x14ac:dyDescent="0.3">
      <c r="A20" s="4" t="s">
        <v>101</v>
      </c>
      <c r="B20" s="7">
        <v>47147010</v>
      </c>
      <c r="C20" s="7">
        <v>28241890</v>
      </c>
    </row>
    <row r="21" spans="1:3" x14ac:dyDescent="0.3">
      <c r="A21" s="9" t="s">
        <v>103</v>
      </c>
      <c r="B21" s="7">
        <v>38030522</v>
      </c>
      <c r="C21" s="7">
        <v>19242755</v>
      </c>
    </row>
    <row r="22" spans="1:3" x14ac:dyDescent="0.3">
      <c r="A22" s="10" t="s">
        <v>107</v>
      </c>
      <c r="B22" s="7">
        <v>9621095</v>
      </c>
      <c r="C22" s="7">
        <v>2900877</v>
      </c>
    </row>
    <row r="23" spans="1:3" x14ac:dyDescent="0.3">
      <c r="A23" s="10" t="s">
        <v>108</v>
      </c>
      <c r="B23" s="7">
        <v>8158831</v>
      </c>
      <c r="C23" s="7">
        <v>3095143</v>
      </c>
    </row>
    <row r="24" spans="1:3" x14ac:dyDescent="0.3">
      <c r="A24" s="10" t="s">
        <v>109</v>
      </c>
      <c r="B24" s="7">
        <v>20250596</v>
      </c>
      <c r="C24" s="7">
        <v>13246735</v>
      </c>
    </row>
    <row r="25" spans="1:3" x14ac:dyDescent="0.3">
      <c r="A25" s="9" t="s">
        <v>104</v>
      </c>
      <c r="B25" s="7">
        <v>9116488</v>
      </c>
      <c r="C25" s="7">
        <v>8999135</v>
      </c>
    </row>
    <row r="26" spans="1:3" x14ac:dyDescent="0.3">
      <c r="A26" s="10" t="s">
        <v>110</v>
      </c>
      <c r="B26" s="7">
        <v>8335788</v>
      </c>
      <c r="C26" s="7">
        <v>8218440</v>
      </c>
    </row>
    <row r="27" spans="1:3" x14ac:dyDescent="0.3">
      <c r="A27" s="10" t="s">
        <v>111</v>
      </c>
      <c r="B27" s="7">
        <v>780700</v>
      </c>
      <c r="C27" s="7">
        <v>780695</v>
      </c>
    </row>
    <row r="28" spans="1:3" x14ac:dyDescent="0.3">
      <c r="A28" s="4" t="s">
        <v>88</v>
      </c>
      <c r="B28" s="7">
        <v>340252739</v>
      </c>
      <c r="C28" s="7">
        <v>251956045</v>
      </c>
    </row>
    <row r="32" spans="1:3" x14ac:dyDescent="0.3">
      <c r="A32" s="3" t="s">
        <v>87</v>
      </c>
      <c r="B32" t="s">
        <v>119</v>
      </c>
    </row>
    <row r="33" spans="1:2" x14ac:dyDescent="0.3">
      <c r="A33" s="4">
        <v>1</v>
      </c>
      <c r="B33" s="7">
        <v>-1</v>
      </c>
    </row>
    <row r="34" spans="1:2" x14ac:dyDescent="0.3">
      <c r="A34" s="4">
        <v>2</v>
      </c>
      <c r="B34" s="7">
        <v>933368</v>
      </c>
    </row>
    <row r="35" spans="1:2" x14ac:dyDescent="0.3">
      <c r="A35" s="4">
        <v>3</v>
      </c>
      <c r="B35" s="7">
        <v>5905626</v>
      </c>
    </row>
    <row r="36" spans="1:2" x14ac:dyDescent="0.3">
      <c r="A36" s="4">
        <v>4</v>
      </c>
      <c r="B36" s="7">
        <v>18</v>
      </c>
    </row>
    <row r="37" spans="1:2" x14ac:dyDescent="0.3">
      <c r="A37" s="4">
        <v>5</v>
      </c>
      <c r="B37" s="7">
        <v>1696539</v>
      </c>
    </row>
    <row r="38" spans="1:2" x14ac:dyDescent="0.3">
      <c r="A38" s="4">
        <v>6</v>
      </c>
      <c r="B38" s="7">
        <v>2961931</v>
      </c>
    </row>
    <row r="39" spans="1:2" x14ac:dyDescent="0.3">
      <c r="A39" s="4">
        <v>7</v>
      </c>
      <c r="B39" s="7">
        <v>-4</v>
      </c>
    </row>
    <row r="40" spans="1:2" x14ac:dyDescent="0.3">
      <c r="A40" s="4">
        <v>8</v>
      </c>
      <c r="B40" s="7">
        <v>6236470</v>
      </c>
    </row>
    <row r="41" spans="1:2" x14ac:dyDescent="0.3">
      <c r="A41" s="4">
        <v>9</v>
      </c>
      <c r="B41" s="7">
        <v>3964007</v>
      </c>
    </row>
    <row r="42" spans="1:2" x14ac:dyDescent="0.3">
      <c r="A42" s="4">
        <v>10</v>
      </c>
      <c r="B42" s="7">
        <v>4201851</v>
      </c>
    </row>
    <row r="43" spans="1:2" x14ac:dyDescent="0.3">
      <c r="A43" s="4">
        <v>11</v>
      </c>
      <c r="B43" s="7">
        <v>1549850</v>
      </c>
    </row>
    <row r="44" spans="1:2" x14ac:dyDescent="0.3">
      <c r="A44" s="4">
        <v>12</v>
      </c>
      <c r="B44" s="7">
        <v>4923713</v>
      </c>
    </row>
    <row r="45" spans="1:2" x14ac:dyDescent="0.3">
      <c r="A45" s="4">
        <v>13</v>
      </c>
      <c r="B45" s="7">
        <v>-4</v>
      </c>
    </row>
    <row r="46" spans="1:2" x14ac:dyDescent="0.3">
      <c r="A46" s="4">
        <v>14</v>
      </c>
      <c r="B46" s="7">
        <v>1757124</v>
      </c>
    </row>
    <row r="47" spans="1:2" x14ac:dyDescent="0.3">
      <c r="A47" s="4">
        <v>15</v>
      </c>
      <c r="B47" s="7">
        <v>2007661</v>
      </c>
    </row>
    <row r="48" spans="1:2" x14ac:dyDescent="0.3">
      <c r="A48" s="4">
        <v>16</v>
      </c>
      <c r="B48" s="7">
        <v>-6</v>
      </c>
    </row>
    <row r="49" spans="1:2" x14ac:dyDescent="0.3">
      <c r="A49" s="4">
        <v>17</v>
      </c>
      <c r="B49" s="7">
        <v>2335971</v>
      </c>
    </row>
    <row r="50" spans="1:2" x14ac:dyDescent="0.3">
      <c r="A50" s="4">
        <v>18</v>
      </c>
      <c r="B50" s="7">
        <v>2601655</v>
      </c>
    </row>
    <row r="51" spans="1:2" x14ac:dyDescent="0.3">
      <c r="A51" s="4">
        <v>19</v>
      </c>
      <c r="B51" s="7">
        <v>13</v>
      </c>
    </row>
    <row r="52" spans="1:2" x14ac:dyDescent="0.3">
      <c r="A52" s="4">
        <v>20</v>
      </c>
      <c r="B52" s="7">
        <v>820405</v>
      </c>
    </row>
    <row r="53" spans="1:2" x14ac:dyDescent="0.3">
      <c r="A53" s="4">
        <v>21</v>
      </c>
      <c r="B53" s="7">
        <v>871638</v>
      </c>
    </row>
    <row r="54" spans="1:2" x14ac:dyDescent="0.3">
      <c r="A54" s="4">
        <v>22</v>
      </c>
      <c r="B54" s="7">
        <v>1336604</v>
      </c>
    </row>
    <row r="55" spans="1:2" x14ac:dyDescent="0.3">
      <c r="A55" s="4">
        <v>23</v>
      </c>
      <c r="B55" s="7">
        <v>2434639</v>
      </c>
    </row>
    <row r="56" spans="1:2" x14ac:dyDescent="0.3">
      <c r="A56" s="4">
        <v>24</v>
      </c>
      <c r="B56" s="7">
        <v>0</v>
      </c>
    </row>
    <row r="57" spans="1:2" x14ac:dyDescent="0.3">
      <c r="A57" s="4">
        <v>25</v>
      </c>
      <c r="B57" s="7">
        <v>41757626</v>
      </c>
    </row>
    <row r="58" spans="1:2" x14ac:dyDescent="0.3">
      <c r="A58" s="4" t="s">
        <v>88</v>
      </c>
      <c r="B58" s="7">
        <v>88296694</v>
      </c>
    </row>
  </sheetData>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747B3-5194-4292-A2FA-B20236711236}">
  <dimension ref="A1:I301"/>
  <sheetViews>
    <sheetView workbookViewId="0">
      <selection activeCell="F38" sqref="F38:F49"/>
    </sheetView>
  </sheetViews>
  <sheetFormatPr defaultRowHeight="14.4" x14ac:dyDescent="0.3"/>
  <cols>
    <col min="1" max="1" width="14.33203125" bestFit="1" customWidth="1"/>
    <col min="2" max="2" width="15.44140625" bestFit="1" customWidth="1"/>
    <col min="3" max="3" width="10.109375" bestFit="1" customWidth="1"/>
    <col min="4" max="4" width="22.88671875" bestFit="1" customWidth="1"/>
    <col min="5" max="5" width="21.5546875" bestFit="1" customWidth="1"/>
    <col min="6" max="6" width="13.109375" bestFit="1" customWidth="1"/>
    <col min="7" max="7" width="7.6640625" bestFit="1" customWidth="1"/>
  </cols>
  <sheetData>
    <row r="1" spans="1:9" x14ac:dyDescent="0.3">
      <c r="A1" t="s">
        <v>43</v>
      </c>
      <c r="B1" t="s">
        <v>36</v>
      </c>
      <c r="C1" t="s">
        <v>0</v>
      </c>
      <c r="D1" t="s">
        <v>37</v>
      </c>
      <c r="E1" t="s">
        <v>38</v>
      </c>
      <c r="F1" t="s">
        <v>72</v>
      </c>
      <c r="G1" t="s">
        <v>73</v>
      </c>
      <c r="H1" t="s">
        <v>85</v>
      </c>
    </row>
    <row r="2" spans="1:9" hidden="1" x14ac:dyDescent="0.3">
      <c r="A2" s="1">
        <v>45748</v>
      </c>
      <c r="B2" t="s">
        <v>40</v>
      </c>
      <c r="C2">
        <v>1</v>
      </c>
      <c r="D2">
        <v>217947</v>
      </c>
      <c r="E2">
        <v>209819</v>
      </c>
      <c r="F2">
        <v>8128</v>
      </c>
      <c r="G2">
        <v>3.73E-2</v>
      </c>
      <c r="H2" t="e">
        <f t="shared" ref="H2:H65" si="0">IF(ROUND(F1/D1,4)=ROUND(G1,4),"OK","Review")</f>
        <v>#VALUE!</v>
      </c>
    </row>
    <row r="3" spans="1:9" hidden="1" x14ac:dyDescent="0.3">
      <c r="A3" s="1">
        <v>45778</v>
      </c>
      <c r="B3" t="s">
        <v>40</v>
      </c>
      <c r="C3">
        <v>1</v>
      </c>
      <c r="D3">
        <v>254619</v>
      </c>
      <c r="E3">
        <v>274677</v>
      </c>
      <c r="F3">
        <v>-20058</v>
      </c>
      <c r="G3">
        <v>-7.8799999999999995E-2</v>
      </c>
      <c r="H3" t="str">
        <f t="shared" si="0"/>
        <v>OK</v>
      </c>
    </row>
    <row r="4" spans="1:9" hidden="1" x14ac:dyDescent="0.3">
      <c r="A4" s="1">
        <v>45809</v>
      </c>
      <c r="B4" t="s">
        <v>40</v>
      </c>
      <c r="C4">
        <v>1</v>
      </c>
      <c r="D4">
        <v>605946</v>
      </c>
      <c r="E4">
        <v>611235</v>
      </c>
      <c r="F4">
        <v>-5289</v>
      </c>
      <c r="G4">
        <v>-8.6999999999999994E-3</v>
      </c>
      <c r="H4" t="str">
        <f t="shared" si="0"/>
        <v>OK</v>
      </c>
      <c r="I4">
        <f>IFERROR(F2/D2,0)</f>
        <v>3.7293470430884573E-2</v>
      </c>
    </row>
    <row r="5" spans="1:9" hidden="1" x14ac:dyDescent="0.3">
      <c r="A5" s="1">
        <v>45839</v>
      </c>
      <c r="B5" t="s">
        <v>40</v>
      </c>
      <c r="C5">
        <v>1</v>
      </c>
      <c r="D5">
        <v>916873</v>
      </c>
      <c r="E5">
        <v>897647</v>
      </c>
      <c r="F5">
        <v>19226</v>
      </c>
      <c r="G5">
        <v>2.1000000000000001E-2</v>
      </c>
      <c r="H5" t="str">
        <f t="shared" si="0"/>
        <v>OK</v>
      </c>
    </row>
    <row r="6" spans="1:9" hidden="1" x14ac:dyDescent="0.3">
      <c r="A6" s="1">
        <v>45870</v>
      </c>
      <c r="B6" t="s">
        <v>40</v>
      </c>
      <c r="C6">
        <v>1</v>
      </c>
      <c r="D6">
        <v>456470</v>
      </c>
      <c r="E6">
        <v>448823</v>
      </c>
      <c r="F6">
        <v>7647</v>
      </c>
      <c r="G6">
        <v>1.6799999999999999E-2</v>
      </c>
      <c r="H6" t="str">
        <f t="shared" si="0"/>
        <v>OK</v>
      </c>
    </row>
    <row r="7" spans="1:9" hidden="1" x14ac:dyDescent="0.3">
      <c r="A7" s="1">
        <v>45901</v>
      </c>
      <c r="B7" t="s">
        <v>40</v>
      </c>
      <c r="C7">
        <v>1</v>
      </c>
      <c r="D7">
        <v>212766</v>
      </c>
      <c r="E7">
        <v>217455</v>
      </c>
      <c r="F7">
        <v>-4689</v>
      </c>
      <c r="G7">
        <v>-2.1999999999999999E-2</v>
      </c>
      <c r="H7" t="str">
        <f t="shared" si="0"/>
        <v>OK</v>
      </c>
    </row>
    <row r="8" spans="1:9" hidden="1" x14ac:dyDescent="0.3">
      <c r="A8" s="1">
        <v>45931</v>
      </c>
      <c r="B8" t="s">
        <v>40</v>
      </c>
      <c r="C8">
        <v>1</v>
      </c>
      <c r="D8">
        <v>158041</v>
      </c>
      <c r="E8">
        <v>152769</v>
      </c>
      <c r="F8">
        <v>5272</v>
      </c>
      <c r="G8">
        <v>3.3399999999999999E-2</v>
      </c>
      <c r="H8" t="str">
        <f t="shared" si="0"/>
        <v>OK</v>
      </c>
    </row>
    <row r="9" spans="1:9" hidden="1" x14ac:dyDescent="0.3">
      <c r="A9" s="1">
        <v>45962</v>
      </c>
      <c r="B9" t="s">
        <v>40</v>
      </c>
      <c r="C9">
        <v>1</v>
      </c>
      <c r="D9">
        <v>228812</v>
      </c>
      <c r="E9">
        <v>216193</v>
      </c>
      <c r="F9">
        <v>12619</v>
      </c>
      <c r="G9">
        <v>5.5199999999999999E-2</v>
      </c>
      <c r="H9" t="str">
        <f t="shared" si="0"/>
        <v>OK</v>
      </c>
    </row>
    <row r="10" spans="1:9" hidden="1" x14ac:dyDescent="0.3">
      <c r="A10" s="1">
        <v>45992</v>
      </c>
      <c r="B10" t="s">
        <v>40</v>
      </c>
      <c r="C10">
        <v>1</v>
      </c>
      <c r="D10">
        <v>355409</v>
      </c>
      <c r="E10">
        <v>355304</v>
      </c>
      <c r="F10">
        <v>105</v>
      </c>
      <c r="G10">
        <v>2.9999999999999997E-4</v>
      </c>
      <c r="H10" t="str">
        <f t="shared" si="0"/>
        <v>OK</v>
      </c>
    </row>
    <row r="11" spans="1:9" hidden="1" x14ac:dyDescent="0.3">
      <c r="A11" s="1">
        <v>46023</v>
      </c>
      <c r="B11" t="s">
        <v>40</v>
      </c>
      <c r="C11">
        <v>1</v>
      </c>
      <c r="D11">
        <v>88129</v>
      </c>
      <c r="E11">
        <v>83708</v>
      </c>
      <c r="F11">
        <v>4421</v>
      </c>
      <c r="G11">
        <v>5.0200000000000002E-2</v>
      </c>
      <c r="H11" t="str">
        <f t="shared" si="0"/>
        <v>OK</v>
      </c>
    </row>
    <row r="12" spans="1:9" hidden="1" x14ac:dyDescent="0.3">
      <c r="A12" s="1">
        <v>46054</v>
      </c>
      <c r="B12" t="s">
        <v>40</v>
      </c>
      <c r="C12">
        <v>1</v>
      </c>
      <c r="D12">
        <v>104770</v>
      </c>
      <c r="E12">
        <v>101267</v>
      </c>
      <c r="F12">
        <v>3503</v>
      </c>
      <c r="G12">
        <v>3.3399999999999999E-2</v>
      </c>
      <c r="H12" t="str">
        <f t="shared" si="0"/>
        <v>OK</v>
      </c>
    </row>
    <row r="13" spans="1:9" hidden="1" x14ac:dyDescent="0.3">
      <c r="A13" s="1">
        <v>46082</v>
      </c>
      <c r="B13" t="s">
        <v>40</v>
      </c>
      <c r="C13">
        <v>1</v>
      </c>
      <c r="D13">
        <v>101593</v>
      </c>
      <c r="E13">
        <v>95418</v>
      </c>
      <c r="F13">
        <v>6175</v>
      </c>
      <c r="G13">
        <v>6.08E-2</v>
      </c>
      <c r="H13" t="str">
        <f t="shared" si="0"/>
        <v>OK</v>
      </c>
    </row>
    <row r="14" spans="1:9" hidden="1" x14ac:dyDescent="0.3">
      <c r="A14" s="1">
        <v>45748</v>
      </c>
      <c r="B14" t="s">
        <v>40</v>
      </c>
      <c r="C14">
        <v>2</v>
      </c>
      <c r="D14">
        <v>61241</v>
      </c>
      <c r="E14">
        <v>59664</v>
      </c>
      <c r="F14">
        <v>1577</v>
      </c>
      <c r="G14">
        <v>2.58E-2</v>
      </c>
      <c r="H14" t="str">
        <f t="shared" si="0"/>
        <v>OK</v>
      </c>
    </row>
    <row r="15" spans="1:9" hidden="1" x14ac:dyDescent="0.3">
      <c r="A15" s="1">
        <v>45778</v>
      </c>
      <c r="B15" t="s">
        <v>40</v>
      </c>
      <c r="C15">
        <v>2</v>
      </c>
      <c r="D15">
        <v>144532</v>
      </c>
      <c r="E15">
        <v>142434</v>
      </c>
      <c r="F15">
        <v>2098</v>
      </c>
      <c r="G15">
        <v>1.4500000000000001E-2</v>
      </c>
      <c r="H15" t="str">
        <f t="shared" si="0"/>
        <v>OK</v>
      </c>
    </row>
    <row r="16" spans="1:9" hidden="1" x14ac:dyDescent="0.3">
      <c r="A16" s="1">
        <v>45809</v>
      </c>
      <c r="B16" t="s">
        <v>40</v>
      </c>
      <c r="C16">
        <v>2</v>
      </c>
      <c r="D16">
        <v>212401</v>
      </c>
      <c r="E16">
        <v>209574</v>
      </c>
      <c r="F16">
        <v>2827</v>
      </c>
      <c r="G16">
        <v>1.3299999999999999E-2</v>
      </c>
      <c r="H16" t="str">
        <f t="shared" si="0"/>
        <v>OK</v>
      </c>
    </row>
    <row r="17" spans="1:9" hidden="1" x14ac:dyDescent="0.3">
      <c r="A17" s="1">
        <v>45839</v>
      </c>
      <c r="B17" t="s">
        <v>40</v>
      </c>
      <c r="C17">
        <v>2</v>
      </c>
      <c r="D17">
        <v>251795</v>
      </c>
      <c r="E17">
        <v>247152</v>
      </c>
      <c r="F17">
        <v>4643</v>
      </c>
      <c r="G17">
        <v>1.84E-2</v>
      </c>
      <c r="H17" t="str">
        <f t="shared" si="0"/>
        <v>OK</v>
      </c>
    </row>
    <row r="18" spans="1:9" hidden="1" x14ac:dyDescent="0.3">
      <c r="A18" s="1">
        <v>45870</v>
      </c>
      <c r="B18" t="s">
        <v>40</v>
      </c>
      <c r="C18">
        <v>2</v>
      </c>
      <c r="D18">
        <v>173052</v>
      </c>
      <c r="E18">
        <v>170958</v>
      </c>
      <c r="F18">
        <v>2094</v>
      </c>
      <c r="G18">
        <v>1.21E-2</v>
      </c>
      <c r="H18" t="str">
        <f t="shared" si="0"/>
        <v>OK</v>
      </c>
    </row>
    <row r="19" spans="1:9" hidden="1" x14ac:dyDescent="0.3">
      <c r="A19" s="1">
        <v>45901</v>
      </c>
      <c r="B19" t="s">
        <v>40</v>
      </c>
      <c r="C19">
        <v>2</v>
      </c>
      <c r="D19">
        <v>152977</v>
      </c>
      <c r="E19">
        <v>151764</v>
      </c>
      <c r="F19">
        <v>1213</v>
      </c>
      <c r="G19">
        <v>7.9000000000000008E-3</v>
      </c>
      <c r="H19" t="str">
        <f t="shared" si="0"/>
        <v>OK</v>
      </c>
    </row>
    <row r="20" spans="1:9" hidden="1" x14ac:dyDescent="0.3">
      <c r="A20" s="1">
        <v>45931</v>
      </c>
      <c r="B20" t="s">
        <v>40</v>
      </c>
      <c r="C20">
        <v>2</v>
      </c>
      <c r="D20">
        <v>65827</v>
      </c>
      <c r="E20">
        <v>64434</v>
      </c>
      <c r="F20">
        <v>1393</v>
      </c>
      <c r="G20">
        <v>2.12E-2</v>
      </c>
      <c r="H20" t="str">
        <f t="shared" si="0"/>
        <v>OK</v>
      </c>
    </row>
    <row r="21" spans="1:9" hidden="1" x14ac:dyDescent="0.3">
      <c r="A21" s="1">
        <v>45962</v>
      </c>
      <c r="B21" t="s">
        <v>40</v>
      </c>
      <c r="C21">
        <v>2</v>
      </c>
      <c r="D21">
        <v>36192</v>
      </c>
      <c r="E21">
        <v>36330</v>
      </c>
      <c r="F21">
        <v>-138</v>
      </c>
      <c r="G21">
        <v>-3.8E-3</v>
      </c>
      <c r="H21" t="str">
        <f t="shared" si="0"/>
        <v>OK</v>
      </c>
    </row>
    <row r="22" spans="1:9" hidden="1" x14ac:dyDescent="0.3">
      <c r="A22" s="1">
        <v>45992</v>
      </c>
      <c r="B22" t="s">
        <v>40</v>
      </c>
      <c r="C22">
        <v>2</v>
      </c>
      <c r="D22">
        <v>26592</v>
      </c>
      <c r="E22">
        <v>26292</v>
      </c>
      <c r="F22">
        <v>300</v>
      </c>
      <c r="G22">
        <v>1.1299999999999999E-2</v>
      </c>
      <c r="H22" t="str">
        <f t="shared" si="0"/>
        <v>OK</v>
      </c>
    </row>
    <row r="23" spans="1:9" hidden="1" x14ac:dyDescent="0.3">
      <c r="A23" s="1">
        <v>46023</v>
      </c>
      <c r="B23" t="s">
        <v>40</v>
      </c>
      <c r="C23">
        <v>2</v>
      </c>
      <c r="D23">
        <v>28477</v>
      </c>
      <c r="E23">
        <v>28206</v>
      </c>
      <c r="F23">
        <v>271</v>
      </c>
      <c r="G23">
        <v>9.4999999999999998E-3</v>
      </c>
      <c r="H23" t="str">
        <f t="shared" si="0"/>
        <v>OK</v>
      </c>
    </row>
    <row r="24" spans="1:9" hidden="1" x14ac:dyDescent="0.3">
      <c r="A24" s="1">
        <v>46054</v>
      </c>
      <c r="B24" t="s">
        <v>40</v>
      </c>
      <c r="C24">
        <v>2</v>
      </c>
      <c r="D24">
        <v>24663</v>
      </c>
      <c r="E24">
        <v>24264</v>
      </c>
      <c r="F24">
        <v>399</v>
      </c>
      <c r="G24">
        <v>1.6199999999999999E-2</v>
      </c>
      <c r="H24" t="str">
        <f t="shared" si="0"/>
        <v>OK</v>
      </c>
    </row>
    <row r="25" spans="1:9" hidden="1" x14ac:dyDescent="0.3">
      <c r="A25" s="1">
        <v>46082</v>
      </c>
      <c r="B25" t="s">
        <v>40</v>
      </c>
      <c r="C25">
        <v>2</v>
      </c>
      <c r="D25">
        <v>35997</v>
      </c>
      <c r="E25">
        <v>36072</v>
      </c>
      <c r="F25">
        <v>-75</v>
      </c>
      <c r="G25">
        <v>-2.0999999999999999E-3</v>
      </c>
      <c r="H25" t="str">
        <f t="shared" si="0"/>
        <v>OK</v>
      </c>
      <c r="I25">
        <f>COUNTIF(F2:F301,"&lt;0")</f>
        <v>56</v>
      </c>
    </row>
    <row r="26" spans="1:9" hidden="1" x14ac:dyDescent="0.3">
      <c r="A26" s="1">
        <v>45748</v>
      </c>
      <c r="B26" t="s">
        <v>40</v>
      </c>
      <c r="C26">
        <v>3</v>
      </c>
      <c r="D26">
        <v>272213</v>
      </c>
      <c r="E26">
        <v>261840</v>
      </c>
      <c r="F26">
        <v>10373</v>
      </c>
      <c r="G26">
        <v>3.8100000000000002E-2</v>
      </c>
      <c r="H26" t="str">
        <f t="shared" si="0"/>
        <v>OK</v>
      </c>
    </row>
    <row r="27" spans="1:9" hidden="1" x14ac:dyDescent="0.3">
      <c r="A27" s="1">
        <v>45778</v>
      </c>
      <c r="B27" t="s">
        <v>40</v>
      </c>
      <c r="C27">
        <v>3</v>
      </c>
      <c r="D27">
        <v>589198</v>
      </c>
      <c r="E27">
        <v>579600</v>
      </c>
      <c r="F27">
        <v>9598</v>
      </c>
      <c r="G27">
        <v>1.6299999999999999E-2</v>
      </c>
      <c r="H27" t="str">
        <f t="shared" si="0"/>
        <v>OK</v>
      </c>
    </row>
    <row r="28" spans="1:9" hidden="1" x14ac:dyDescent="0.3">
      <c r="A28" s="1">
        <v>45809</v>
      </c>
      <c r="B28" t="s">
        <v>40</v>
      </c>
      <c r="C28">
        <v>3</v>
      </c>
      <c r="D28">
        <v>899206</v>
      </c>
      <c r="E28">
        <v>887940</v>
      </c>
      <c r="F28">
        <v>11266</v>
      </c>
      <c r="G28">
        <v>1.2500000000000001E-2</v>
      </c>
      <c r="H28" t="str">
        <f t="shared" si="0"/>
        <v>OK</v>
      </c>
    </row>
    <row r="29" spans="1:9" hidden="1" x14ac:dyDescent="0.3">
      <c r="A29" s="1">
        <v>45839</v>
      </c>
      <c r="B29" t="s">
        <v>40</v>
      </c>
      <c r="C29">
        <v>3</v>
      </c>
      <c r="D29">
        <v>1233923</v>
      </c>
      <c r="E29">
        <v>1208880</v>
      </c>
      <c r="F29">
        <v>25043</v>
      </c>
      <c r="G29">
        <v>2.0299999999999999E-2</v>
      </c>
      <c r="H29" t="str">
        <f t="shared" si="0"/>
        <v>OK</v>
      </c>
    </row>
    <row r="30" spans="1:9" hidden="1" x14ac:dyDescent="0.3">
      <c r="A30" s="1">
        <v>45870</v>
      </c>
      <c r="B30" t="s">
        <v>40</v>
      </c>
      <c r="C30">
        <v>3</v>
      </c>
      <c r="D30">
        <v>848303</v>
      </c>
      <c r="E30">
        <v>834270</v>
      </c>
      <c r="F30">
        <v>14033</v>
      </c>
      <c r="G30">
        <v>1.6500000000000001E-2</v>
      </c>
      <c r="H30" t="str">
        <f t="shared" si="0"/>
        <v>OK</v>
      </c>
    </row>
    <row r="31" spans="1:9" hidden="1" x14ac:dyDescent="0.3">
      <c r="A31" s="1">
        <v>45901</v>
      </c>
      <c r="B31" t="s">
        <v>40</v>
      </c>
      <c r="C31">
        <v>3</v>
      </c>
      <c r="D31">
        <v>606468</v>
      </c>
      <c r="E31">
        <v>597360</v>
      </c>
      <c r="F31">
        <v>9108</v>
      </c>
      <c r="G31">
        <v>1.4999999999999999E-2</v>
      </c>
      <c r="H31" t="str">
        <f t="shared" si="0"/>
        <v>OK</v>
      </c>
    </row>
    <row r="32" spans="1:9" hidden="1" x14ac:dyDescent="0.3">
      <c r="A32" s="1">
        <v>45931</v>
      </c>
      <c r="B32" t="s">
        <v>40</v>
      </c>
      <c r="C32">
        <v>3</v>
      </c>
      <c r="D32">
        <v>235504</v>
      </c>
      <c r="E32">
        <v>237390</v>
      </c>
      <c r="F32">
        <v>-1886</v>
      </c>
      <c r="G32">
        <v>-8.0000000000000002E-3</v>
      </c>
      <c r="H32" t="str">
        <f t="shared" si="0"/>
        <v>OK</v>
      </c>
      <c r="I32">
        <f>COUNTIF(G2:G301,"&lt;0")</f>
        <v>56</v>
      </c>
    </row>
    <row r="33" spans="1:8" hidden="1" x14ac:dyDescent="0.3">
      <c r="A33" s="1">
        <v>45962</v>
      </c>
      <c r="B33" t="s">
        <v>40</v>
      </c>
      <c r="C33">
        <v>3</v>
      </c>
      <c r="D33">
        <v>151607</v>
      </c>
      <c r="E33">
        <v>150810</v>
      </c>
      <c r="F33">
        <v>797</v>
      </c>
      <c r="G33">
        <v>5.3E-3</v>
      </c>
      <c r="H33" t="str">
        <f t="shared" si="0"/>
        <v>OK</v>
      </c>
    </row>
    <row r="34" spans="1:8" hidden="1" x14ac:dyDescent="0.3">
      <c r="A34" s="1">
        <v>45992</v>
      </c>
      <c r="B34" t="s">
        <v>40</v>
      </c>
      <c r="C34">
        <v>3</v>
      </c>
      <c r="D34">
        <v>181737</v>
      </c>
      <c r="E34">
        <v>175080</v>
      </c>
      <c r="F34">
        <v>6657</v>
      </c>
      <c r="G34">
        <v>3.6600000000000001E-2</v>
      </c>
      <c r="H34" t="str">
        <f t="shared" si="0"/>
        <v>OK</v>
      </c>
    </row>
    <row r="35" spans="1:8" hidden="1" x14ac:dyDescent="0.3">
      <c r="A35" s="1">
        <v>46023</v>
      </c>
      <c r="B35" t="s">
        <v>40</v>
      </c>
      <c r="C35">
        <v>3</v>
      </c>
      <c r="D35">
        <v>200483</v>
      </c>
      <c r="E35">
        <v>200040</v>
      </c>
      <c r="F35">
        <v>443</v>
      </c>
      <c r="G35">
        <v>2.2000000000000001E-3</v>
      </c>
      <c r="H35" t="str">
        <f t="shared" si="0"/>
        <v>OK</v>
      </c>
    </row>
    <row r="36" spans="1:8" hidden="1" x14ac:dyDescent="0.3">
      <c r="A36" s="1">
        <v>46054</v>
      </c>
      <c r="B36" t="s">
        <v>40</v>
      </c>
      <c r="C36">
        <v>3</v>
      </c>
      <c r="D36">
        <v>157615</v>
      </c>
      <c r="E36">
        <v>155580</v>
      </c>
      <c r="F36">
        <v>2035</v>
      </c>
      <c r="G36">
        <v>1.29E-2</v>
      </c>
      <c r="H36" t="str">
        <f t="shared" si="0"/>
        <v>OK</v>
      </c>
    </row>
    <row r="37" spans="1:8" hidden="1" x14ac:dyDescent="0.3">
      <c r="A37" s="1">
        <v>46082</v>
      </c>
      <c r="B37" t="s">
        <v>40</v>
      </c>
      <c r="C37">
        <v>3</v>
      </c>
      <c r="D37">
        <v>160831</v>
      </c>
      <c r="E37">
        <v>160590</v>
      </c>
      <c r="F37">
        <v>241</v>
      </c>
      <c r="G37">
        <v>1.5E-3</v>
      </c>
      <c r="H37" t="str">
        <f t="shared" si="0"/>
        <v>OK</v>
      </c>
    </row>
    <row r="38" spans="1:8" x14ac:dyDescent="0.3">
      <c r="A38" s="1">
        <v>45748</v>
      </c>
      <c r="B38" t="s">
        <v>40</v>
      </c>
      <c r="C38">
        <v>4</v>
      </c>
      <c r="D38">
        <v>163814</v>
      </c>
      <c r="E38">
        <v>261840</v>
      </c>
      <c r="F38">
        <v>-98026</v>
      </c>
      <c r="G38">
        <v>-0.59840000000000004</v>
      </c>
      <c r="H38" t="str">
        <f t="shared" si="0"/>
        <v>OK</v>
      </c>
    </row>
    <row r="39" spans="1:8" x14ac:dyDescent="0.3">
      <c r="A39" s="1">
        <v>45778</v>
      </c>
      <c r="B39" t="s">
        <v>40</v>
      </c>
      <c r="C39">
        <v>4</v>
      </c>
      <c r="D39">
        <v>458888</v>
      </c>
      <c r="E39">
        <v>579600</v>
      </c>
      <c r="F39">
        <v>-120712</v>
      </c>
      <c r="G39">
        <v>-0.2631</v>
      </c>
      <c r="H39" t="str">
        <f t="shared" si="0"/>
        <v>OK</v>
      </c>
    </row>
    <row r="40" spans="1:8" x14ac:dyDescent="0.3">
      <c r="A40" s="1">
        <v>45809</v>
      </c>
      <c r="B40" t="s">
        <v>40</v>
      </c>
      <c r="C40">
        <v>4</v>
      </c>
      <c r="D40">
        <v>667791</v>
      </c>
      <c r="E40">
        <v>887940</v>
      </c>
      <c r="F40">
        <v>-220149</v>
      </c>
      <c r="G40">
        <v>-0.32969999999999999</v>
      </c>
      <c r="H40" t="str">
        <f t="shared" si="0"/>
        <v>OK</v>
      </c>
    </row>
    <row r="41" spans="1:8" x14ac:dyDescent="0.3">
      <c r="A41" s="1">
        <v>45839</v>
      </c>
      <c r="B41" t="s">
        <v>40</v>
      </c>
      <c r="C41">
        <v>4</v>
      </c>
      <c r="D41">
        <v>779685</v>
      </c>
      <c r="E41">
        <v>1208880</v>
      </c>
      <c r="F41">
        <v>-429195</v>
      </c>
      <c r="G41">
        <v>-0.55049999999999999</v>
      </c>
      <c r="H41" t="str">
        <f t="shared" si="0"/>
        <v>OK</v>
      </c>
    </row>
    <row r="42" spans="1:8" x14ac:dyDescent="0.3">
      <c r="A42" s="1">
        <v>45870</v>
      </c>
      <c r="B42" t="s">
        <v>40</v>
      </c>
      <c r="C42">
        <v>4</v>
      </c>
      <c r="D42">
        <v>581677</v>
      </c>
      <c r="E42">
        <v>834270</v>
      </c>
      <c r="F42">
        <v>-252593</v>
      </c>
      <c r="G42">
        <v>-0.43419999999999997</v>
      </c>
      <c r="H42" t="str">
        <f t="shared" si="0"/>
        <v>OK</v>
      </c>
    </row>
    <row r="43" spans="1:8" x14ac:dyDescent="0.3">
      <c r="A43" s="1">
        <v>45901</v>
      </c>
      <c r="B43" t="s">
        <v>40</v>
      </c>
      <c r="C43">
        <v>4</v>
      </c>
      <c r="D43">
        <v>587854</v>
      </c>
      <c r="E43">
        <v>597360</v>
      </c>
      <c r="F43">
        <v>-9506</v>
      </c>
      <c r="G43">
        <v>-1.6199999999999999E-2</v>
      </c>
      <c r="H43" t="str">
        <f t="shared" si="0"/>
        <v>OK</v>
      </c>
    </row>
    <row r="44" spans="1:8" x14ac:dyDescent="0.3">
      <c r="A44" s="1">
        <v>45931</v>
      </c>
      <c r="B44" t="s">
        <v>40</v>
      </c>
      <c r="C44">
        <v>4</v>
      </c>
      <c r="D44">
        <v>188431</v>
      </c>
      <c r="E44">
        <v>237390</v>
      </c>
      <c r="F44">
        <v>-48959</v>
      </c>
      <c r="G44">
        <v>-0.25979999999999998</v>
      </c>
      <c r="H44" t="str">
        <f t="shared" si="0"/>
        <v>OK</v>
      </c>
    </row>
    <row r="45" spans="1:8" x14ac:dyDescent="0.3">
      <c r="A45" s="1">
        <v>45962</v>
      </c>
      <c r="B45" t="s">
        <v>40</v>
      </c>
      <c r="C45">
        <v>4</v>
      </c>
      <c r="D45">
        <v>100086</v>
      </c>
      <c r="E45">
        <v>150810</v>
      </c>
      <c r="F45">
        <v>-50724</v>
      </c>
      <c r="G45">
        <v>-0.50680000000000003</v>
      </c>
      <c r="H45" t="str">
        <f t="shared" si="0"/>
        <v>OK</v>
      </c>
    </row>
    <row r="46" spans="1:8" x14ac:dyDescent="0.3">
      <c r="A46" s="1">
        <v>45992</v>
      </c>
      <c r="B46" t="s">
        <v>40</v>
      </c>
      <c r="C46">
        <v>4</v>
      </c>
      <c r="D46">
        <v>70010</v>
      </c>
      <c r="E46">
        <v>175080</v>
      </c>
      <c r="F46">
        <v>-105070</v>
      </c>
      <c r="G46">
        <v>-1.5007999999999999</v>
      </c>
      <c r="H46" t="str">
        <f t="shared" si="0"/>
        <v>OK</v>
      </c>
    </row>
    <row r="47" spans="1:8" x14ac:dyDescent="0.3">
      <c r="A47" s="1">
        <v>46023</v>
      </c>
      <c r="B47" t="s">
        <v>40</v>
      </c>
      <c r="C47">
        <v>4</v>
      </c>
      <c r="D47">
        <v>88593</v>
      </c>
      <c r="E47">
        <v>200040</v>
      </c>
      <c r="F47">
        <v>-111447</v>
      </c>
      <c r="G47">
        <v>-1.258</v>
      </c>
      <c r="H47" t="str">
        <f t="shared" si="0"/>
        <v>OK</v>
      </c>
    </row>
    <row r="48" spans="1:8" x14ac:dyDescent="0.3">
      <c r="A48" s="1">
        <v>46054</v>
      </c>
      <c r="B48" t="s">
        <v>40</v>
      </c>
      <c r="C48">
        <v>4</v>
      </c>
      <c r="D48">
        <v>86588</v>
      </c>
      <c r="E48">
        <v>155580</v>
      </c>
      <c r="F48">
        <v>-68992</v>
      </c>
      <c r="G48">
        <v>-0.79679999999999995</v>
      </c>
      <c r="H48" t="str">
        <f t="shared" si="0"/>
        <v>OK</v>
      </c>
    </row>
    <row r="49" spans="1:8" x14ac:dyDescent="0.3">
      <c r="A49" s="1">
        <v>46082</v>
      </c>
      <c r="B49" t="s">
        <v>40</v>
      </c>
      <c r="C49">
        <v>4</v>
      </c>
      <c r="D49">
        <v>71840</v>
      </c>
      <c r="E49">
        <v>160590</v>
      </c>
      <c r="F49">
        <v>-88750</v>
      </c>
      <c r="G49">
        <v>-1.2354000000000001</v>
      </c>
      <c r="H49" t="str">
        <f t="shared" si="0"/>
        <v>OK</v>
      </c>
    </row>
    <row r="50" spans="1:8" hidden="1" x14ac:dyDescent="0.3">
      <c r="A50" s="1">
        <v>45748</v>
      </c>
      <c r="B50" t="s">
        <v>40</v>
      </c>
      <c r="C50">
        <v>5</v>
      </c>
      <c r="D50">
        <v>109526</v>
      </c>
      <c r="E50">
        <v>110052</v>
      </c>
      <c r="F50">
        <v>-526</v>
      </c>
      <c r="G50">
        <v>-4.7999999999999996E-3</v>
      </c>
      <c r="H50" t="str">
        <f t="shared" si="0"/>
        <v>OK</v>
      </c>
    </row>
    <row r="51" spans="1:8" hidden="1" x14ac:dyDescent="0.3">
      <c r="A51" s="1">
        <v>45778</v>
      </c>
      <c r="B51" t="s">
        <v>40</v>
      </c>
      <c r="C51">
        <v>5</v>
      </c>
      <c r="D51">
        <v>230066</v>
      </c>
      <c r="E51">
        <v>224220</v>
      </c>
      <c r="F51">
        <v>5846</v>
      </c>
      <c r="G51">
        <v>2.5399999999999999E-2</v>
      </c>
      <c r="H51" t="str">
        <f t="shared" si="0"/>
        <v>OK</v>
      </c>
    </row>
    <row r="52" spans="1:8" hidden="1" x14ac:dyDescent="0.3">
      <c r="A52" s="1">
        <v>45809</v>
      </c>
      <c r="B52" t="s">
        <v>40</v>
      </c>
      <c r="C52">
        <v>5</v>
      </c>
      <c r="D52">
        <v>315371</v>
      </c>
      <c r="E52">
        <v>309600</v>
      </c>
      <c r="F52">
        <v>5771</v>
      </c>
      <c r="G52">
        <v>1.83E-2</v>
      </c>
      <c r="H52" t="str">
        <f t="shared" si="0"/>
        <v>OK</v>
      </c>
    </row>
    <row r="53" spans="1:8" hidden="1" x14ac:dyDescent="0.3">
      <c r="A53" s="1">
        <v>45839</v>
      </c>
      <c r="B53" t="s">
        <v>40</v>
      </c>
      <c r="C53">
        <v>5</v>
      </c>
      <c r="D53">
        <v>489014</v>
      </c>
      <c r="E53">
        <v>484140</v>
      </c>
      <c r="F53">
        <v>4874</v>
      </c>
      <c r="G53">
        <v>0.01</v>
      </c>
      <c r="H53" t="str">
        <f t="shared" si="0"/>
        <v>OK</v>
      </c>
    </row>
    <row r="54" spans="1:8" hidden="1" x14ac:dyDescent="0.3">
      <c r="A54" s="1">
        <v>45870</v>
      </c>
      <c r="B54" t="s">
        <v>40</v>
      </c>
      <c r="C54">
        <v>5</v>
      </c>
      <c r="D54">
        <v>356587</v>
      </c>
      <c r="E54">
        <v>358464</v>
      </c>
      <c r="F54">
        <v>-1877</v>
      </c>
      <c r="G54">
        <v>-5.3E-3</v>
      </c>
      <c r="H54" t="str">
        <f t="shared" si="0"/>
        <v>OK</v>
      </c>
    </row>
    <row r="55" spans="1:8" hidden="1" x14ac:dyDescent="0.3">
      <c r="A55" s="1">
        <v>45901</v>
      </c>
      <c r="B55" t="s">
        <v>40</v>
      </c>
      <c r="C55">
        <v>5</v>
      </c>
      <c r="D55">
        <v>310040</v>
      </c>
      <c r="E55">
        <v>304452</v>
      </c>
      <c r="F55">
        <v>5588</v>
      </c>
      <c r="G55">
        <v>1.7999999999999999E-2</v>
      </c>
      <c r="H55" t="str">
        <f t="shared" si="0"/>
        <v>OK</v>
      </c>
    </row>
    <row r="56" spans="1:8" hidden="1" x14ac:dyDescent="0.3">
      <c r="A56" s="1">
        <v>45931</v>
      </c>
      <c r="B56" t="s">
        <v>40</v>
      </c>
      <c r="C56">
        <v>5</v>
      </c>
      <c r="D56">
        <v>137425</v>
      </c>
      <c r="E56">
        <v>130080</v>
      </c>
      <c r="F56">
        <v>7345</v>
      </c>
      <c r="G56">
        <v>5.3400000000000003E-2</v>
      </c>
      <c r="H56" t="str">
        <f t="shared" si="0"/>
        <v>OK</v>
      </c>
    </row>
    <row r="57" spans="1:8" hidden="1" x14ac:dyDescent="0.3">
      <c r="A57" s="1">
        <v>45962</v>
      </c>
      <c r="B57" t="s">
        <v>40</v>
      </c>
      <c r="C57">
        <v>5</v>
      </c>
      <c r="D57">
        <v>113870</v>
      </c>
      <c r="E57">
        <v>109752</v>
      </c>
      <c r="F57">
        <v>4118</v>
      </c>
      <c r="G57">
        <v>3.6200000000000003E-2</v>
      </c>
      <c r="H57" t="str">
        <f t="shared" si="0"/>
        <v>OK</v>
      </c>
    </row>
    <row r="58" spans="1:8" hidden="1" x14ac:dyDescent="0.3">
      <c r="A58" s="1">
        <v>45992</v>
      </c>
      <c r="B58" t="s">
        <v>40</v>
      </c>
      <c r="C58">
        <v>5</v>
      </c>
      <c r="D58">
        <v>120513</v>
      </c>
      <c r="E58">
        <v>119412</v>
      </c>
      <c r="F58">
        <v>1101</v>
      </c>
      <c r="G58">
        <v>9.1000000000000004E-3</v>
      </c>
      <c r="H58" t="str">
        <f t="shared" si="0"/>
        <v>OK</v>
      </c>
    </row>
    <row r="59" spans="1:8" hidden="1" x14ac:dyDescent="0.3">
      <c r="A59" s="1">
        <v>46023</v>
      </c>
      <c r="B59" t="s">
        <v>40</v>
      </c>
      <c r="C59">
        <v>5</v>
      </c>
      <c r="D59">
        <v>138253</v>
      </c>
      <c r="E59">
        <v>137700</v>
      </c>
      <c r="F59">
        <v>553</v>
      </c>
      <c r="G59">
        <v>4.0000000000000001E-3</v>
      </c>
      <c r="H59" t="str">
        <f t="shared" si="0"/>
        <v>OK</v>
      </c>
    </row>
    <row r="60" spans="1:8" hidden="1" x14ac:dyDescent="0.3">
      <c r="A60" s="1">
        <v>46054</v>
      </c>
      <c r="B60" t="s">
        <v>40</v>
      </c>
      <c r="C60">
        <v>5</v>
      </c>
      <c r="D60">
        <v>90650</v>
      </c>
      <c r="E60">
        <v>89196</v>
      </c>
      <c r="F60">
        <v>1454</v>
      </c>
      <c r="G60">
        <v>1.6E-2</v>
      </c>
      <c r="H60" t="str">
        <f t="shared" si="0"/>
        <v>OK</v>
      </c>
    </row>
    <row r="61" spans="1:8" hidden="1" x14ac:dyDescent="0.3">
      <c r="A61" s="1">
        <v>46082</v>
      </c>
      <c r="B61" t="s">
        <v>40</v>
      </c>
      <c r="C61">
        <v>5</v>
      </c>
      <c r="D61">
        <v>78798</v>
      </c>
      <c r="E61">
        <v>79152</v>
      </c>
      <c r="F61">
        <v>-354</v>
      </c>
      <c r="G61">
        <v>-4.4999999999999997E-3</v>
      </c>
      <c r="H61" t="str">
        <f t="shared" si="0"/>
        <v>OK</v>
      </c>
    </row>
    <row r="62" spans="1:8" hidden="1" x14ac:dyDescent="0.3">
      <c r="A62" s="1">
        <v>45748</v>
      </c>
      <c r="B62" t="s">
        <v>40</v>
      </c>
      <c r="C62">
        <v>6</v>
      </c>
      <c r="D62">
        <v>331644</v>
      </c>
      <c r="E62">
        <v>323682</v>
      </c>
      <c r="F62">
        <v>7962</v>
      </c>
      <c r="G62">
        <v>2.4E-2</v>
      </c>
      <c r="H62" t="str">
        <f t="shared" si="0"/>
        <v>OK</v>
      </c>
    </row>
    <row r="63" spans="1:8" hidden="1" x14ac:dyDescent="0.3">
      <c r="A63" s="1">
        <v>45778</v>
      </c>
      <c r="B63" t="s">
        <v>40</v>
      </c>
      <c r="C63">
        <v>6</v>
      </c>
      <c r="D63">
        <v>264323</v>
      </c>
      <c r="E63">
        <v>255734</v>
      </c>
      <c r="F63">
        <v>8589</v>
      </c>
      <c r="G63">
        <v>3.2500000000000001E-2</v>
      </c>
      <c r="H63" t="str">
        <f t="shared" si="0"/>
        <v>OK</v>
      </c>
    </row>
    <row r="64" spans="1:8" hidden="1" x14ac:dyDescent="0.3">
      <c r="A64" s="1">
        <v>45809</v>
      </c>
      <c r="B64" t="s">
        <v>40</v>
      </c>
      <c r="C64">
        <v>6</v>
      </c>
      <c r="D64">
        <v>529853</v>
      </c>
      <c r="E64">
        <v>517407</v>
      </c>
      <c r="F64">
        <v>12446</v>
      </c>
      <c r="G64">
        <v>2.35E-2</v>
      </c>
      <c r="H64" t="str">
        <f t="shared" si="0"/>
        <v>OK</v>
      </c>
    </row>
    <row r="65" spans="1:8" hidden="1" x14ac:dyDescent="0.3">
      <c r="A65" s="1">
        <v>45839</v>
      </c>
      <c r="B65" t="s">
        <v>40</v>
      </c>
      <c r="C65">
        <v>6</v>
      </c>
      <c r="D65">
        <v>492003</v>
      </c>
      <c r="E65">
        <v>480028</v>
      </c>
      <c r="F65">
        <v>11975</v>
      </c>
      <c r="G65">
        <v>2.4299999999999999E-2</v>
      </c>
      <c r="H65" t="str">
        <f t="shared" si="0"/>
        <v>OK</v>
      </c>
    </row>
    <row r="66" spans="1:8" hidden="1" x14ac:dyDescent="0.3">
      <c r="A66" s="1">
        <v>45870</v>
      </c>
      <c r="B66" t="s">
        <v>40</v>
      </c>
      <c r="C66">
        <v>6</v>
      </c>
      <c r="D66">
        <v>384444</v>
      </c>
      <c r="E66">
        <v>373756</v>
      </c>
      <c r="F66">
        <v>10688</v>
      </c>
      <c r="G66">
        <v>2.7799999999999998E-2</v>
      </c>
      <c r="H66" t="str">
        <f t="shared" ref="H66:H129" si="1">IF(ROUND(F65/D65,4)=ROUND(G65,4),"OK","Review")</f>
        <v>OK</v>
      </c>
    </row>
    <row r="67" spans="1:8" hidden="1" x14ac:dyDescent="0.3">
      <c r="A67" s="1">
        <v>45901</v>
      </c>
      <c r="B67" t="s">
        <v>40</v>
      </c>
      <c r="C67">
        <v>6</v>
      </c>
      <c r="D67">
        <v>285516</v>
      </c>
      <c r="E67">
        <v>276438</v>
      </c>
      <c r="F67">
        <v>9078</v>
      </c>
      <c r="G67">
        <v>3.1800000000000002E-2</v>
      </c>
      <c r="H67" t="str">
        <f t="shared" si="1"/>
        <v>OK</v>
      </c>
    </row>
    <row r="68" spans="1:8" hidden="1" x14ac:dyDescent="0.3">
      <c r="A68" s="1">
        <v>45931</v>
      </c>
      <c r="B68" t="s">
        <v>40</v>
      </c>
      <c r="C68">
        <v>6</v>
      </c>
      <c r="D68">
        <v>95973</v>
      </c>
      <c r="E68">
        <v>88630</v>
      </c>
      <c r="F68">
        <v>7343</v>
      </c>
      <c r="G68">
        <v>7.6499999999999999E-2</v>
      </c>
      <c r="H68" t="str">
        <f t="shared" si="1"/>
        <v>OK</v>
      </c>
    </row>
    <row r="69" spans="1:8" hidden="1" x14ac:dyDescent="0.3">
      <c r="A69" s="1">
        <v>45962</v>
      </c>
      <c r="B69" t="s">
        <v>40</v>
      </c>
      <c r="C69">
        <v>6</v>
      </c>
      <c r="D69">
        <v>78835</v>
      </c>
      <c r="E69">
        <v>73745</v>
      </c>
      <c r="F69">
        <v>5090</v>
      </c>
      <c r="G69">
        <v>6.4600000000000005E-2</v>
      </c>
      <c r="H69" t="str">
        <f t="shared" si="1"/>
        <v>OK</v>
      </c>
    </row>
    <row r="70" spans="1:8" hidden="1" x14ac:dyDescent="0.3">
      <c r="A70" s="1">
        <v>45992</v>
      </c>
      <c r="B70" t="s">
        <v>40</v>
      </c>
      <c r="C70">
        <v>6</v>
      </c>
      <c r="D70">
        <v>88592</v>
      </c>
      <c r="E70">
        <v>82779</v>
      </c>
      <c r="F70">
        <v>5813</v>
      </c>
      <c r="G70">
        <v>6.5600000000000006E-2</v>
      </c>
      <c r="H70" t="str">
        <f t="shared" si="1"/>
        <v>OK</v>
      </c>
    </row>
    <row r="71" spans="1:8" hidden="1" x14ac:dyDescent="0.3">
      <c r="A71" s="1">
        <v>46023</v>
      </c>
      <c r="B71" t="s">
        <v>40</v>
      </c>
      <c r="C71">
        <v>6</v>
      </c>
      <c r="D71">
        <v>73156</v>
      </c>
      <c r="E71">
        <v>68041</v>
      </c>
      <c r="F71">
        <v>5115</v>
      </c>
      <c r="G71">
        <v>6.9900000000000004E-2</v>
      </c>
      <c r="H71" t="str">
        <f t="shared" si="1"/>
        <v>OK</v>
      </c>
    </row>
    <row r="72" spans="1:8" hidden="1" x14ac:dyDescent="0.3">
      <c r="A72" s="1">
        <v>46054</v>
      </c>
      <c r="B72" t="s">
        <v>40</v>
      </c>
      <c r="C72">
        <v>6</v>
      </c>
      <c r="D72">
        <v>63235</v>
      </c>
      <c r="E72">
        <v>58988</v>
      </c>
      <c r="F72">
        <v>4247</v>
      </c>
      <c r="G72">
        <v>6.7199999999999996E-2</v>
      </c>
      <c r="H72" t="str">
        <f t="shared" si="1"/>
        <v>OK</v>
      </c>
    </row>
    <row r="73" spans="1:8" hidden="1" x14ac:dyDescent="0.3">
      <c r="A73" s="1">
        <v>46082</v>
      </c>
      <c r="B73" t="s">
        <v>40</v>
      </c>
      <c r="C73">
        <v>6</v>
      </c>
      <c r="D73">
        <v>151526</v>
      </c>
      <c r="E73">
        <v>145516</v>
      </c>
      <c r="F73">
        <v>6010</v>
      </c>
      <c r="G73">
        <v>3.9699999999999999E-2</v>
      </c>
      <c r="H73" t="str">
        <f t="shared" si="1"/>
        <v>OK</v>
      </c>
    </row>
    <row r="74" spans="1:8" hidden="1" x14ac:dyDescent="0.3">
      <c r="A74" s="1">
        <v>45748</v>
      </c>
      <c r="B74" t="s">
        <v>40</v>
      </c>
      <c r="C74">
        <v>7</v>
      </c>
      <c r="D74">
        <v>219282</v>
      </c>
      <c r="E74">
        <v>207898</v>
      </c>
      <c r="F74">
        <v>11384</v>
      </c>
      <c r="G74">
        <v>5.1900000000000002E-2</v>
      </c>
      <c r="H74" t="str">
        <f t="shared" si="1"/>
        <v>OK</v>
      </c>
    </row>
    <row r="75" spans="1:8" hidden="1" x14ac:dyDescent="0.3">
      <c r="A75" s="1">
        <v>45778</v>
      </c>
      <c r="B75" t="s">
        <v>40</v>
      </c>
      <c r="C75">
        <v>7</v>
      </c>
      <c r="D75">
        <v>300591</v>
      </c>
      <c r="E75">
        <v>286144</v>
      </c>
      <c r="F75">
        <v>14447</v>
      </c>
      <c r="G75">
        <v>4.8099999999999997E-2</v>
      </c>
      <c r="H75" t="str">
        <f t="shared" si="1"/>
        <v>OK</v>
      </c>
    </row>
    <row r="76" spans="1:8" hidden="1" x14ac:dyDescent="0.3">
      <c r="A76" s="1">
        <v>45809</v>
      </c>
      <c r="B76" t="s">
        <v>40</v>
      </c>
      <c r="C76">
        <v>7</v>
      </c>
      <c r="D76">
        <v>728153</v>
      </c>
      <c r="E76">
        <v>694213</v>
      </c>
      <c r="F76">
        <v>33940</v>
      </c>
      <c r="G76">
        <v>4.6600000000000003E-2</v>
      </c>
      <c r="H76" t="str">
        <f t="shared" si="1"/>
        <v>OK</v>
      </c>
    </row>
    <row r="77" spans="1:8" hidden="1" x14ac:dyDescent="0.3">
      <c r="A77" s="1">
        <v>45839</v>
      </c>
      <c r="B77" t="s">
        <v>40</v>
      </c>
      <c r="C77">
        <v>7</v>
      </c>
      <c r="D77">
        <v>906149</v>
      </c>
      <c r="E77">
        <v>864747</v>
      </c>
      <c r="F77">
        <v>41402</v>
      </c>
      <c r="G77">
        <v>4.5699999999999998E-2</v>
      </c>
      <c r="H77" t="str">
        <f t="shared" si="1"/>
        <v>OK</v>
      </c>
    </row>
    <row r="78" spans="1:8" hidden="1" x14ac:dyDescent="0.3">
      <c r="A78" s="1">
        <v>45870</v>
      </c>
      <c r="B78" t="s">
        <v>40</v>
      </c>
      <c r="C78">
        <v>7</v>
      </c>
      <c r="D78">
        <v>563218</v>
      </c>
      <c r="E78">
        <v>537907</v>
      </c>
      <c r="F78">
        <v>25311</v>
      </c>
      <c r="G78">
        <v>4.4900000000000002E-2</v>
      </c>
      <c r="H78" t="str">
        <f t="shared" si="1"/>
        <v>OK</v>
      </c>
    </row>
    <row r="79" spans="1:8" hidden="1" x14ac:dyDescent="0.3">
      <c r="A79" s="1">
        <v>45901</v>
      </c>
      <c r="B79" t="s">
        <v>40</v>
      </c>
      <c r="C79">
        <v>7</v>
      </c>
      <c r="D79">
        <v>353039</v>
      </c>
      <c r="E79">
        <v>337010</v>
      </c>
      <c r="F79">
        <v>16029</v>
      </c>
      <c r="G79">
        <v>4.5400000000000003E-2</v>
      </c>
      <c r="H79" t="str">
        <f t="shared" si="1"/>
        <v>OK</v>
      </c>
    </row>
    <row r="80" spans="1:8" hidden="1" x14ac:dyDescent="0.3">
      <c r="A80" s="1">
        <v>45931</v>
      </c>
      <c r="B80" t="s">
        <v>40</v>
      </c>
      <c r="C80">
        <v>7</v>
      </c>
      <c r="D80">
        <v>251084</v>
      </c>
      <c r="E80">
        <v>239036</v>
      </c>
      <c r="F80">
        <v>12048</v>
      </c>
      <c r="G80">
        <v>4.8000000000000001E-2</v>
      </c>
      <c r="H80" t="str">
        <f t="shared" si="1"/>
        <v>OK</v>
      </c>
    </row>
    <row r="81" spans="1:8" hidden="1" x14ac:dyDescent="0.3">
      <c r="A81" s="1">
        <v>45962</v>
      </c>
      <c r="B81" t="s">
        <v>40</v>
      </c>
      <c r="C81">
        <v>7</v>
      </c>
      <c r="D81">
        <v>240813</v>
      </c>
      <c r="E81">
        <v>230110</v>
      </c>
      <c r="F81">
        <v>10703</v>
      </c>
      <c r="G81">
        <v>4.4400000000000002E-2</v>
      </c>
      <c r="H81" t="str">
        <f t="shared" si="1"/>
        <v>OK</v>
      </c>
    </row>
    <row r="82" spans="1:8" hidden="1" x14ac:dyDescent="0.3">
      <c r="A82" s="1">
        <v>45992</v>
      </c>
      <c r="B82" t="s">
        <v>40</v>
      </c>
      <c r="C82">
        <v>7</v>
      </c>
      <c r="D82">
        <v>262489</v>
      </c>
      <c r="E82">
        <v>251404</v>
      </c>
      <c r="F82">
        <v>11085</v>
      </c>
      <c r="G82">
        <v>4.2200000000000001E-2</v>
      </c>
      <c r="H82" t="str">
        <f t="shared" si="1"/>
        <v>OK</v>
      </c>
    </row>
    <row r="83" spans="1:8" hidden="1" x14ac:dyDescent="0.3">
      <c r="A83" s="1">
        <v>46023</v>
      </c>
      <c r="B83" t="s">
        <v>40</v>
      </c>
      <c r="C83">
        <v>7</v>
      </c>
      <c r="D83">
        <v>164933</v>
      </c>
      <c r="E83">
        <v>155774</v>
      </c>
      <c r="F83">
        <v>9159</v>
      </c>
      <c r="G83">
        <v>5.5500000000000001E-2</v>
      </c>
      <c r="H83" t="str">
        <f t="shared" si="1"/>
        <v>OK</v>
      </c>
    </row>
    <row r="84" spans="1:8" hidden="1" x14ac:dyDescent="0.3">
      <c r="A84" s="1">
        <v>46054</v>
      </c>
      <c r="B84" t="s">
        <v>40</v>
      </c>
      <c r="C84">
        <v>7</v>
      </c>
      <c r="D84">
        <v>108487</v>
      </c>
      <c r="E84">
        <v>101237</v>
      </c>
      <c r="F84">
        <v>7250</v>
      </c>
      <c r="G84">
        <v>6.6799999999999998E-2</v>
      </c>
      <c r="H84" t="str">
        <f t="shared" si="1"/>
        <v>OK</v>
      </c>
    </row>
    <row r="85" spans="1:8" hidden="1" x14ac:dyDescent="0.3">
      <c r="A85" s="1">
        <v>46082</v>
      </c>
      <c r="B85" t="s">
        <v>40</v>
      </c>
      <c r="C85">
        <v>7</v>
      </c>
      <c r="D85">
        <v>159730</v>
      </c>
      <c r="E85">
        <v>150263</v>
      </c>
      <c r="F85">
        <v>9467</v>
      </c>
      <c r="G85">
        <v>5.9299999999999999E-2</v>
      </c>
      <c r="H85" t="str">
        <f t="shared" si="1"/>
        <v>OK</v>
      </c>
    </row>
    <row r="86" spans="1:8" hidden="1" x14ac:dyDescent="0.3">
      <c r="A86" s="1">
        <v>45748</v>
      </c>
      <c r="B86" t="s">
        <v>40</v>
      </c>
      <c r="C86">
        <v>8</v>
      </c>
      <c r="D86">
        <v>476289</v>
      </c>
      <c r="E86">
        <v>441827</v>
      </c>
      <c r="F86">
        <v>34462</v>
      </c>
      <c r="G86">
        <v>7.2400000000000006E-2</v>
      </c>
      <c r="H86" t="str">
        <f t="shared" si="1"/>
        <v>OK</v>
      </c>
    </row>
    <row r="87" spans="1:8" hidden="1" x14ac:dyDescent="0.3">
      <c r="A87" s="1">
        <v>45778</v>
      </c>
      <c r="B87" t="s">
        <v>40</v>
      </c>
      <c r="C87">
        <v>8</v>
      </c>
      <c r="D87">
        <v>658404</v>
      </c>
      <c r="E87">
        <v>626816</v>
      </c>
      <c r="F87">
        <v>31588</v>
      </c>
      <c r="G87">
        <v>4.8000000000000001E-2</v>
      </c>
      <c r="H87" t="str">
        <f t="shared" si="1"/>
        <v>OK</v>
      </c>
    </row>
    <row r="88" spans="1:8" hidden="1" x14ac:dyDescent="0.3">
      <c r="A88" s="1">
        <v>45809</v>
      </c>
      <c r="B88" t="s">
        <v>40</v>
      </c>
      <c r="C88">
        <v>8</v>
      </c>
      <c r="D88">
        <v>1676253</v>
      </c>
      <c r="E88">
        <v>1655025</v>
      </c>
      <c r="F88">
        <v>21228</v>
      </c>
      <c r="G88">
        <v>1.2699999999999999E-2</v>
      </c>
      <c r="H88" t="str">
        <f t="shared" si="1"/>
        <v>OK</v>
      </c>
    </row>
    <row r="89" spans="1:8" hidden="1" x14ac:dyDescent="0.3">
      <c r="A89" s="1">
        <v>45839</v>
      </c>
      <c r="B89" t="s">
        <v>40</v>
      </c>
      <c r="C89">
        <v>8</v>
      </c>
      <c r="D89">
        <v>1761245</v>
      </c>
      <c r="E89">
        <v>1651751</v>
      </c>
      <c r="F89">
        <v>109494</v>
      </c>
      <c r="G89">
        <v>6.2199999999999998E-2</v>
      </c>
      <c r="H89" t="str">
        <f t="shared" si="1"/>
        <v>OK</v>
      </c>
    </row>
    <row r="90" spans="1:8" hidden="1" x14ac:dyDescent="0.3">
      <c r="A90" s="1">
        <v>45870</v>
      </c>
      <c r="B90" t="s">
        <v>40</v>
      </c>
      <c r="C90">
        <v>8</v>
      </c>
      <c r="D90">
        <v>1029272</v>
      </c>
      <c r="E90">
        <v>993951</v>
      </c>
      <c r="F90">
        <v>35321</v>
      </c>
      <c r="G90">
        <v>3.4299999999999997E-2</v>
      </c>
      <c r="H90" t="str">
        <f t="shared" si="1"/>
        <v>OK</v>
      </c>
    </row>
    <row r="91" spans="1:8" hidden="1" x14ac:dyDescent="0.3">
      <c r="A91" s="1">
        <v>45901</v>
      </c>
      <c r="B91" t="s">
        <v>40</v>
      </c>
      <c r="C91">
        <v>8</v>
      </c>
      <c r="D91">
        <v>714955</v>
      </c>
      <c r="E91">
        <v>691147</v>
      </c>
      <c r="F91">
        <v>23808</v>
      </c>
      <c r="G91">
        <v>3.3300000000000003E-2</v>
      </c>
      <c r="H91" t="str">
        <f t="shared" si="1"/>
        <v>OK</v>
      </c>
    </row>
    <row r="92" spans="1:8" hidden="1" x14ac:dyDescent="0.3">
      <c r="A92" s="1">
        <v>45931</v>
      </c>
      <c r="B92" t="s">
        <v>40</v>
      </c>
      <c r="C92">
        <v>8</v>
      </c>
      <c r="D92">
        <v>389363</v>
      </c>
      <c r="E92">
        <v>380298</v>
      </c>
      <c r="F92">
        <v>9065</v>
      </c>
      <c r="G92">
        <v>2.3300000000000001E-2</v>
      </c>
      <c r="H92" t="str">
        <f t="shared" si="1"/>
        <v>OK</v>
      </c>
    </row>
    <row r="93" spans="1:8" hidden="1" x14ac:dyDescent="0.3">
      <c r="A93" s="1">
        <v>45962</v>
      </c>
      <c r="B93" t="s">
        <v>40</v>
      </c>
      <c r="C93">
        <v>8</v>
      </c>
      <c r="D93">
        <v>626254</v>
      </c>
      <c r="E93">
        <v>590454</v>
      </c>
      <c r="F93">
        <v>35800</v>
      </c>
      <c r="G93">
        <v>5.7200000000000001E-2</v>
      </c>
      <c r="H93" t="str">
        <f t="shared" si="1"/>
        <v>OK</v>
      </c>
    </row>
    <row r="94" spans="1:8" hidden="1" x14ac:dyDescent="0.3">
      <c r="A94" s="1">
        <v>45992</v>
      </c>
      <c r="B94" t="s">
        <v>40</v>
      </c>
      <c r="C94">
        <v>8</v>
      </c>
      <c r="D94">
        <v>770756</v>
      </c>
      <c r="E94">
        <v>753687</v>
      </c>
      <c r="F94">
        <v>17069</v>
      </c>
      <c r="G94">
        <v>2.2100000000000002E-2</v>
      </c>
      <c r="H94" t="str">
        <f t="shared" si="1"/>
        <v>OK</v>
      </c>
    </row>
    <row r="95" spans="1:8" hidden="1" x14ac:dyDescent="0.3">
      <c r="A95" s="1">
        <v>46023</v>
      </c>
      <c r="B95" t="s">
        <v>40</v>
      </c>
      <c r="C95">
        <v>8</v>
      </c>
      <c r="D95">
        <v>300125</v>
      </c>
      <c r="E95">
        <v>282805</v>
      </c>
      <c r="F95">
        <v>17320</v>
      </c>
      <c r="G95">
        <v>5.7700000000000001E-2</v>
      </c>
      <c r="H95" t="str">
        <f t="shared" si="1"/>
        <v>OK</v>
      </c>
    </row>
    <row r="96" spans="1:8" hidden="1" x14ac:dyDescent="0.3">
      <c r="A96" s="1">
        <v>46054</v>
      </c>
      <c r="B96" t="s">
        <v>40</v>
      </c>
      <c r="C96">
        <v>8</v>
      </c>
      <c r="D96">
        <v>243955</v>
      </c>
      <c r="E96">
        <v>232502</v>
      </c>
      <c r="F96">
        <v>11453</v>
      </c>
      <c r="G96">
        <v>4.6899999999999997E-2</v>
      </c>
      <c r="H96" t="str">
        <f t="shared" si="1"/>
        <v>OK</v>
      </c>
    </row>
    <row r="97" spans="1:8" hidden="1" x14ac:dyDescent="0.3">
      <c r="A97" s="1">
        <v>46082</v>
      </c>
      <c r="B97" t="s">
        <v>40</v>
      </c>
      <c r="C97">
        <v>8</v>
      </c>
      <c r="D97">
        <v>372611</v>
      </c>
      <c r="E97">
        <v>360310</v>
      </c>
      <c r="F97">
        <v>12301</v>
      </c>
      <c r="G97">
        <v>3.3000000000000002E-2</v>
      </c>
      <c r="H97" t="str">
        <f t="shared" si="1"/>
        <v>OK</v>
      </c>
    </row>
    <row r="98" spans="1:8" hidden="1" x14ac:dyDescent="0.3">
      <c r="A98" s="1">
        <v>45748</v>
      </c>
      <c r="B98" t="s">
        <v>40</v>
      </c>
      <c r="C98">
        <v>9</v>
      </c>
      <c r="D98">
        <v>140572</v>
      </c>
      <c r="E98">
        <v>137022</v>
      </c>
      <c r="F98">
        <v>3550</v>
      </c>
      <c r="G98">
        <v>2.53E-2</v>
      </c>
      <c r="H98" t="str">
        <f t="shared" si="1"/>
        <v>OK</v>
      </c>
    </row>
    <row r="99" spans="1:8" hidden="1" x14ac:dyDescent="0.3">
      <c r="A99" s="1">
        <v>45778</v>
      </c>
      <c r="B99" t="s">
        <v>40</v>
      </c>
      <c r="C99">
        <v>9</v>
      </c>
      <c r="D99">
        <v>269319</v>
      </c>
      <c r="E99">
        <v>264196</v>
      </c>
      <c r="F99">
        <v>5123</v>
      </c>
      <c r="G99">
        <v>1.9E-2</v>
      </c>
      <c r="H99" t="str">
        <f t="shared" si="1"/>
        <v>OK</v>
      </c>
    </row>
    <row r="100" spans="1:8" hidden="1" x14ac:dyDescent="0.3">
      <c r="A100" s="1">
        <v>45809</v>
      </c>
      <c r="B100" t="s">
        <v>40</v>
      </c>
      <c r="C100">
        <v>9</v>
      </c>
      <c r="D100">
        <v>429863</v>
      </c>
      <c r="E100">
        <v>423789</v>
      </c>
      <c r="F100">
        <v>6074</v>
      </c>
      <c r="G100">
        <v>1.41E-2</v>
      </c>
      <c r="H100" t="str">
        <f t="shared" si="1"/>
        <v>OK</v>
      </c>
    </row>
    <row r="101" spans="1:8" hidden="1" x14ac:dyDescent="0.3">
      <c r="A101" s="1">
        <v>45839</v>
      </c>
      <c r="B101" t="s">
        <v>40</v>
      </c>
      <c r="C101">
        <v>9</v>
      </c>
      <c r="D101">
        <v>640519</v>
      </c>
      <c r="E101">
        <v>615882</v>
      </c>
      <c r="F101">
        <v>24637</v>
      </c>
      <c r="G101">
        <v>3.85E-2</v>
      </c>
      <c r="H101" t="str">
        <f t="shared" si="1"/>
        <v>OK</v>
      </c>
    </row>
    <row r="102" spans="1:8" hidden="1" x14ac:dyDescent="0.3">
      <c r="A102" s="1">
        <v>45870</v>
      </c>
      <c r="B102" t="s">
        <v>40</v>
      </c>
      <c r="C102">
        <v>9</v>
      </c>
      <c r="D102">
        <v>509323</v>
      </c>
      <c r="E102">
        <v>508221</v>
      </c>
      <c r="F102">
        <v>1102</v>
      </c>
      <c r="G102">
        <v>2.2000000000000001E-3</v>
      </c>
      <c r="H102" t="str">
        <f t="shared" si="1"/>
        <v>OK</v>
      </c>
    </row>
    <row r="103" spans="1:8" hidden="1" x14ac:dyDescent="0.3">
      <c r="A103" s="1">
        <v>45901</v>
      </c>
      <c r="B103" t="s">
        <v>40</v>
      </c>
      <c r="C103">
        <v>9</v>
      </c>
      <c r="D103">
        <v>313122</v>
      </c>
      <c r="E103">
        <v>315109</v>
      </c>
      <c r="F103">
        <v>-1987</v>
      </c>
      <c r="G103">
        <v>-6.3E-3</v>
      </c>
      <c r="H103" t="str">
        <f t="shared" si="1"/>
        <v>OK</v>
      </c>
    </row>
    <row r="104" spans="1:8" hidden="1" x14ac:dyDescent="0.3">
      <c r="A104" s="1">
        <v>45931</v>
      </c>
      <c r="B104" t="s">
        <v>40</v>
      </c>
      <c r="C104">
        <v>9</v>
      </c>
      <c r="D104">
        <v>236352</v>
      </c>
      <c r="E104">
        <v>227708</v>
      </c>
      <c r="F104">
        <v>8644</v>
      </c>
      <c r="G104">
        <v>3.6600000000000001E-2</v>
      </c>
      <c r="H104" t="str">
        <f t="shared" si="1"/>
        <v>OK</v>
      </c>
    </row>
    <row r="105" spans="1:8" hidden="1" x14ac:dyDescent="0.3">
      <c r="A105" s="1">
        <v>45962</v>
      </c>
      <c r="B105" t="s">
        <v>40</v>
      </c>
      <c r="C105">
        <v>9</v>
      </c>
      <c r="D105">
        <v>196029</v>
      </c>
      <c r="E105">
        <v>191891</v>
      </c>
      <c r="F105">
        <v>4138</v>
      </c>
      <c r="G105">
        <v>2.1100000000000001E-2</v>
      </c>
      <c r="H105" t="str">
        <f t="shared" si="1"/>
        <v>OK</v>
      </c>
    </row>
    <row r="106" spans="1:8" hidden="1" x14ac:dyDescent="0.3">
      <c r="A106" s="1">
        <v>45992</v>
      </c>
      <c r="B106" t="s">
        <v>40</v>
      </c>
      <c r="C106">
        <v>9</v>
      </c>
      <c r="D106">
        <v>254096</v>
      </c>
      <c r="E106">
        <v>250326</v>
      </c>
      <c r="F106">
        <v>3770</v>
      </c>
      <c r="G106">
        <v>1.4800000000000001E-2</v>
      </c>
      <c r="H106" t="str">
        <f t="shared" si="1"/>
        <v>OK</v>
      </c>
    </row>
    <row r="107" spans="1:8" hidden="1" x14ac:dyDescent="0.3">
      <c r="A107" s="1">
        <v>46023</v>
      </c>
      <c r="B107" t="s">
        <v>40</v>
      </c>
      <c r="C107">
        <v>9</v>
      </c>
      <c r="D107">
        <v>117357</v>
      </c>
      <c r="E107">
        <v>114966</v>
      </c>
      <c r="F107">
        <v>2391</v>
      </c>
      <c r="G107">
        <v>2.0400000000000001E-2</v>
      </c>
      <c r="H107" t="str">
        <f t="shared" si="1"/>
        <v>OK</v>
      </c>
    </row>
    <row r="108" spans="1:8" hidden="1" x14ac:dyDescent="0.3">
      <c r="A108" s="1">
        <v>46054</v>
      </c>
      <c r="B108" t="s">
        <v>40</v>
      </c>
      <c r="C108">
        <v>9</v>
      </c>
      <c r="D108">
        <v>103604</v>
      </c>
      <c r="E108">
        <v>101644</v>
      </c>
      <c r="F108">
        <v>1960</v>
      </c>
      <c r="G108">
        <v>1.89E-2</v>
      </c>
      <c r="H108" t="str">
        <f t="shared" si="1"/>
        <v>OK</v>
      </c>
    </row>
    <row r="109" spans="1:8" hidden="1" x14ac:dyDescent="0.3">
      <c r="A109" s="1">
        <v>46082</v>
      </c>
      <c r="B109" t="s">
        <v>40</v>
      </c>
      <c r="C109">
        <v>9</v>
      </c>
      <c r="D109">
        <v>96127</v>
      </c>
      <c r="E109">
        <v>94005</v>
      </c>
      <c r="F109">
        <v>2122</v>
      </c>
      <c r="G109">
        <v>2.2100000000000002E-2</v>
      </c>
      <c r="H109" t="str">
        <f t="shared" si="1"/>
        <v>OK</v>
      </c>
    </row>
    <row r="110" spans="1:8" hidden="1" x14ac:dyDescent="0.3">
      <c r="A110" s="1">
        <v>45748</v>
      </c>
      <c r="B110" t="s">
        <v>40</v>
      </c>
      <c r="C110">
        <v>10</v>
      </c>
      <c r="D110">
        <v>258780</v>
      </c>
      <c r="E110">
        <v>250800</v>
      </c>
      <c r="F110">
        <v>7980</v>
      </c>
      <c r="G110">
        <v>3.0800000000000001E-2</v>
      </c>
      <c r="H110" t="str">
        <f t="shared" si="1"/>
        <v>OK</v>
      </c>
    </row>
    <row r="111" spans="1:8" hidden="1" x14ac:dyDescent="0.3">
      <c r="A111" s="1">
        <v>45778</v>
      </c>
      <c r="B111" t="s">
        <v>40</v>
      </c>
      <c r="C111">
        <v>10</v>
      </c>
      <c r="D111">
        <v>714965</v>
      </c>
      <c r="E111">
        <v>695400</v>
      </c>
      <c r="F111">
        <v>19565</v>
      </c>
      <c r="G111">
        <v>2.7400000000000001E-2</v>
      </c>
      <c r="H111" t="str">
        <f t="shared" si="1"/>
        <v>OK</v>
      </c>
    </row>
    <row r="112" spans="1:8" hidden="1" x14ac:dyDescent="0.3">
      <c r="A112" s="1">
        <v>45809</v>
      </c>
      <c r="B112" t="s">
        <v>40</v>
      </c>
      <c r="C112">
        <v>10</v>
      </c>
      <c r="D112">
        <v>1094593</v>
      </c>
      <c r="E112">
        <v>1079100</v>
      </c>
      <c r="F112">
        <v>15493</v>
      </c>
      <c r="G112">
        <v>1.4200000000000001E-2</v>
      </c>
      <c r="H112" t="str">
        <f t="shared" si="1"/>
        <v>OK</v>
      </c>
    </row>
    <row r="113" spans="1:8" hidden="1" x14ac:dyDescent="0.3">
      <c r="A113" s="1">
        <v>45839</v>
      </c>
      <c r="B113" t="s">
        <v>40</v>
      </c>
      <c r="C113">
        <v>10</v>
      </c>
      <c r="D113">
        <v>1264772</v>
      </c>
      <c r="E113">
        <v>1250700</v>
      </c>
      <c r="F113">
        <v>14072</v>
      </c>
      <c r="G113">
        <v>1.11E-2</v>
      </c>
      <c r="H113" t="str">
        <f t="shared" si="1"/>
        <v>OK</v>
      </c>
    </row>
    <row r="114" spans="1:8" hidden="1" x14ac:dyDescent="0.3">
      <c r="A114" s="1">
        <v>45870</v>
      </c>
      <c r="B114" t="s">
        <v>40</v>
      </c>
      <c r="C114">
        <v>10</v>
      </c>
      <c r="D114">
        <v>786909</v>
      </c>
      <c r="E114">
        <v>775500</v>
      </c>
      <c r="F114">
        <v>11409</v>
      </c>
      <c r="G114">
        <v>1.4500000000000001E-2</v>
      </c>
      <c r="H114" t="str">
        <f t="shared" si="1"/>
        <v>OK</v>
      </c>
    </row>
    <row r="115" spans="1:8" hidden="1" x14ac:dyDescent="0.3">
      <c r="A115" s="1">
        <v>45901</v>
      </c>
      <c r="B115" t="s">
        <v>40</v>
      </c>
      <c r="C115">
        <v>10</v>
      </c>
      <c r="D115">
        <v>582525</v>
      </c>
      <c r="E115">
        <v>572100</v>
      </c>
      <c r="F115">
        <v>10425</v>
      </c>
      <c r="G115">
        <v>1.7899999999999999E-2</v>
      </c>
      <c r="H115" t="str">
        <f t="shared" si="1"/>
        <v>OK</v>
      </c>
    </row>
    <row r="116" spans="1:8" hidden="1" x14ac:dyDescent="0.3">
      <c r="A116" s="1">
        <v>45931</v>
      </c>
      <c r="B116" t="s">
        <v>40</v>
      </c>
      <c r="C116">
        <v>10</v>
      </c>
      <c r="D116">
        <v>389248</v>
      </c>
      <c r="E116">
        <v>354900</v>
      </c>
      <c r="F116">
        <v>34348</v>
      </c>
      <c r="G116">
        <v>8.8200000000000001E-2</v>
      </c>
      <c r="H116" t="str">
        <f t="shared" si="1"/>
        <v>OK</v>
      </c>
    </row>
    <row r="117" spans="1:8" hidden="1" x14ac:dyDescent="0.3">
      <c r="A117" s="1">
        <v>45962</v>
      </c>
      <c r="B117" t="s">
        <v>40</v>
      </c>
      <c r="C117">
        <v>10</v>
      </c>
      <c r="D117">
        <v>363582</v>
      </c>
      <c r="E117">
        <v>326700</v>
      </c>
      <c r="F117">
        <v>36882</v>
      </c>
      <c r="G117">
        <v>0.1014</v>
      </c>
      <c r="H117" t="str">
        <f t="shared" si="1"/>
        <v>OK</v>
      </c>
    </row>
    <row r="118" spans="1:8" hidden="1" x14ac:dyDescent="0.3">
      <c r="A118" s="1">
        <v>45992</v>
      </c>
      <c r="B118" t="s">
        <v>40</v>
      </c>
      <c r="C118">
        <v>10</v>
      </c>
      <c r="D118">
        <v>511622</v>
      </c>
      <c r="E118">
        <v>462000</v>
      </c>
      <c r="F118">
        <v>49622</v>
      </c>
      <c r="G118">
        <v>9.7000000000000003E-2</v>
      </c>
      <c r="H118" t="str">
        <f t="shared" si="1"/>
        <v>OK</v>
      </c>
    </row>
    <row r="119" spans="1:8" hidden="1" x14ac:dyDescent="0.3">
      <c r="A119" s="1">
        <v>46023</v>
      </c>
      <c r="B119" t="s">
        <v>40</v>
      </c>
      <c r="C119">
        <v>10</v>
      </c>
      <c r="D119">
        <v>478778</v>
      </c>
      <c r="E119">
        <v>431700</v>
      </c>
      <c r="F119">
        <v>47078</v>
      </c>
      <c r="G119">
        <v>9.8299999999999998E-2</v>
      </c>
      <c r="H119" t="str">
        <f t="shared" si="1"/>
        <v>OK</v>
      </c>
    </row>
    <row r="120" spans="1:8" hidden="1" x14ac:dyDescent="0.3">
      <c r="A120" s="1">
        <v>46054</v>
      </c>
      <c r="B120" t="s">
        <v>40</v>
      </c>
      <c r="C120">
        <v>10</v>
      </c>
      <c r="D120">
        <v>361358</v>
      </c>
      <c r="E120">
        <v>323100</v>
      </c>
      <c r="F120">
        <v>38258</v>
      </c>
      <c r="G120">
        <v>0.10589999999999999</v>
      </c>
      <c r="H120" t="str">
        <f t="shared" si="1"/>
        <v>OK</v>
      </c>
    </row>
    <row r="121" spans="1:8" hidden="1" x14ac:dyDescent="0.3">
      <c r="A121" s="1">
        <v>46082</v>
      </c>
      <c r="B121" t="s">
        <v>40</v>
      </c>
      <c r="C121">
        <v>10</v>
      </c>
      <c r="D121">
        <v>270088</v>
      </c>
      <c r="E121">
        <v>249900</v>
      </c>
      <c r="F121">
        <v>20188</v>
      </c>
      <c r="G121">
        <v>7.4700000000000003E-2</v>
      </c>
      <c r="H121" t="str">
        <f t="shared" si="1"/>
        <v>OK</v>
      </c>
    </row>
    <row r="122" spans="1:8" hidden="1" x14ac:dyDescent="0.3">
      <c r="A122" s="1">
        <v>45748</v>
      </c>
      <c r="B122" t="s">
        <v>40</v>
      </c>
      <c r="C122">
        <v>11</v>
      </c>
      <c r="D122">
        <v>171974</v>
      </c>
      <c r="E122">
        <v>168457</v>
      </c>
      <c r="F122">
        <v>3517</v>
      </c>
      <c r="G122">
        <v>2.0500000000000001E-2</v>
      </c>
      <c r="H122" t="str">
        <f t="shared" si="1"/>
        <v>OK</v>
      </c>
    </row>
    <row r="123" spans="1:8" hidden="1" x14ac:dyDescent="0.3">
      <c r="A123" s="1">
        <v>45778</v>
      </c>
      <c r="B123" t="s">
        <v>40</v>
      </c>
      <c r="C123">
        <v>11</v>
      </c>
      <c r="D123">
        <v>196519</v>
      </c>
      <c r="E123">
        <v>191144</v>
      </c>
      <c r="F123">
        <v>5375</v>
      </c>
      <c r="G123">
        <v>2.7400000000000001E-2</v>
      </c>
      <c r="H123" t="str">
        <f t="shared" si="1"/>
        <v>OK</v>
      </c>
    </row>
    <row r="124" spans="1:8" hidden="1" x14ac:dyDescent="0.3">
      <c r="A124" s="1">
        <v>45809</v>
      </c>
      <c r="B124" t="s">
        <v>40</v>
      </c>
      <c r="C124">
        <v>11</v>
      </c>
      <c r="D124">
        <v>381766</v>
      </c>
      <c r="E124">
        <v>370909</v>
      </c>
      <c r="F124">
        <v>10857</v>
      </c>
      <c r="G124">
        <v>2.8400000000000002E-2</v>
      </c>
      <c r="H124" t="str">
        <f t="shared" si="1"/>
        <v>OK</v>
      </c>
    </row>
    <row r="125" spans="1:8" hidden="1" x14ac:dyDescent="0.3">
      <c r="A125" s="1">
        <v>45839</v>
      </c>
      <c r="B125" t="s">
        <v>40</v>
      </c>
      <c r="C125">
        <v>11</v>
      </c>
      <c r="D125">
        <v>409543</v>
      </c>
      <c r="E125">
        <v>406505</v>
      </c>
      <c r="F125">
        <v>3038</v>
      </c>
      <c r="G125">
        <v>7.4000000000000003E-3</v>
      </c>
      <c r="H125" t="str">
        <f t="shared" si="1"/>
        <v>OK</v>
      </c>
    </row>
    <row r="126" spans="1:8" hidden="1" x14ac:dyDescent="0.3">
      <c r="A126" s="1">
        <v>45870</v>
      </c>
      <c r="B126" t="s">
        <v>40</v>
      </c>
      <c r="C126">
        <v>11</v>
      </c>
      <c r="D126">
        <v>241576</v>
      </c>
      <c r="E126">
        <v>239028</v>
      </c>
      <c r="F126">
        <v>2548</v>
      </c>
      <c r="G126">
        <v>1.0500000000000001E-2</v>
      </c>
      <c r="H126" t="str">
        <f t="shared" si="1"/>
        <v>OK</v>
      </c>
    </row>
    <row r="127" spans="1:8" hidden="1" x14ac:dyDescent="0.3">
      <c r="A127" s="1">
        <v>45901</v>
      </c>
      <c r="B127" t="s">
        <v>40</v>
      </c>
      <c r="C127">
        <v>11</v>
      </c>
      <c r="D127">
        <v>189969</v>
      </c>
      <c r="E127">
        <v>203462</v>
      </c>
      <c r="F127">
        <v>-13493</v>
      </c>
      <c r="G127">
        <v>-7.0999999999999994E-2</v>
      </c>
      <c r="H127" t="str">
        <f t="shared" si="1"/>
        <v>OK</v>
      </c>
    </row>
    <row r="128" spans="1:8" hidden="1" x14ac:dyDescent="0.3">
      <c r="A128" s="1">
        <v>45931</v>
      </c>
      <c r="B128" t="s">
        <v>40</v>
      </c>
      <c r="C128">
        <v>11</v>
      </c>
      <c r="D128">
        <v>150448</v>
      </c>
      <c r="E128">
        <v>152718</v>
      </c>
      <c r="F128">
        <v>-2270</v>
      </c>
      <c r="G128">
        <v>-1.5100000000000001E-2</v>
      </c>
      <c r="H128" t="str">
        <f t="shared" si="1"/>
        <v>OK</v>
      </c>
    </row>
    <row r="129" spans="1:8" hidden="1" x14ac:dyDescent="0.3">
      <c r="A129" s="1">
        <v>45962</v>
      </c>
      <c r="B129" t="s">
        <v>40</v>
      </c>
      <c r="C129">
        <v>11</v>
      </c>
      <c r="D129">
        <v>143294</v>
      </c>
      <c r="E129">
        <v>144096</v>
      </c>
      <c r="F129">
        <v>-802</v>
      </c>
      <c r="G129">
        <v>-5.5999999999999999E-3</v>
      </c>
      <c r="H129" t="str">
        <f t="shared" si="1"/>
        <v>OK</v>
      </c>
    </row>
    <row r="130" spans="1:8" hidden="1" x14ac:dyDescent="0.3">
      <c r="A130" s="1">
        <v>45992</v>
      </c>
      <c r="B130" t="s">
        <v>40</v>
      </c>
      <c r="C130">
        <v>11</v>
      </c>
      <c r="D130">
        <v>199338</v>
      </c>
      <c r="E130">
        <v>197919</v>
      </c>
      <c r="F130">
        <v>1419</v>
      </c>
      <c r="G130">
        <v>7.1000000000000004E-3</v>
      </c>
      <c r="H130" t="str">
        <f t="shared" ref="H130:H193" si="2">IF(ROUND(F129/D129,4)=ROUND(G129,4),"OK","Review")</f>
        <v>OK</v>
      </c>
    </row>
    <row r="131" spans="1:8" hidden="1" x14ac:dyDescent="0.3">
      <c r="A131" s="1">
        <v>46023</v>
      </c>
      <c r="B131" t="s">
        <v>40</v>
      </c>
      <c r="C131">
        <v>11</v>
      </c>
      <c r="D131">
        <v>90253</v>
      </c>
      <c r="E131">
        <v>87138</v>
      </c>
      <c r="F131">
        <v>3115</v>
      </c>
      <c r="G131">
        <v>3.4500000000000003E-2</v>
      </c>
      <c r="H131" t="str">
        <f t="shared" si="2"/>
        <v>OK</v>
      </c>
    </row>
    <row r="132" spans="1:8" hidden="1" x14ac:dyDescent="0.3">
      <c r="A132" s="1">
        <v>46054</v>
      </c>
      <c r="B132" t="s">
        <v>40</v>
      </c>
      <c r="C132">
        <v>11</v>
      </c>
      <c r="D132">
        <v>64874</v>
      </c>
      <c r="E132">
        <v>62945</v>
      </c>
      <c r="F132">
        <v>1929</v>
      </c>
      <c r="G132">
        <v>2.9700000000000001E-2</v>
      </c>
      <c r="H132" t="str">
        <f t="shared" si="2"/>
        <v>OK</v>
      </c>
    </row>
    <row r="133" spans="1:8" hidden="1" x14ac:dyDescent="0.3">
      <c r="A133" s="1">
        <v>46082</v>
      </c>
      <c r="B133" t="s">
        <v>40</v>
      </c>
      <c r="C133">
        <v>11</v>
      </c>
      <c r="D133">
        <v>78518</v>
      </c>
      <c r="E133">
        <v>76165</v>
      </c>
      <c r="F133">
        <v>2353</v>
      </c>
      <c r="G133">
        <v>0.03</v>
      </c>
      <c r="H133" t="str">
        <f t="shared" si="2"/>
        <v>OK</v>
      </c>
    </row>
    <row r="134" spans="1:8" hidden="1" x14ac:dyDescent="0.3">
      <c r="A134" s="1">
        <v>45748</v>
      </c>
      <c r="B134" t="s">
        <v>40</v>
      </c>
      <c r="C134">
        <v>12</v>
      </c>
      <c r="D134">
        <v>97303</v>
      </c>
      <c r="E134">
        <v>95760</v>
      </c>
      <c r="F134">
        <v>1543</v>
      </c>
      <c r="G134">
        <v>1.5900000000000001E-2</v>
      </c>
      <c r="H134" t="str">
        <f t="shared" si="2"/>
        <v>OK</v>
      </c>
    </row>
    <row r="135" spans="1:8" hidden="1" x14ac:dyDescent="0.3">
      <c r="A135" s="1">
        <v>45778</v>
      </c>
      <c r="B135" t="s">
        <v>40</v>
      </c>
      <c r="C135">
        <v>12</v>
      </c>
      <c r="D135">
        <v>333321</v>
      </c>
      <c r="E135">
        <v>329640</v>
      </c>
      <c r="F135">
        <v>3681</v>
      </c>
      <c r="G135">
        <v>1.0999999999999999E-2</v>
      </c>
      <c r="H135" t="str">
        <f t="shared" si="2"/>
        <v>OK</v>
      </c>
    </row>
    <row r="136" spans="1:8" hidden="1" x14ac:dyDescent="0.3">
      <c r="A136" s="1">
        <v>45809</v>
      </c>
      <c r="B136" t="s">
        <v>40</v>
      </c>
      <c r="C136">
        <v>12</v>
      </c>
      <c r="D136">
        <v>512447</v>
      </c>
      <c r="E136">
        <v>507120</v>
      </c>
      <c r="F136">
        <v>5327</v>
      </c>
      <c r="G136">
        <v>1.04E-2</v>
      </c>
      <c r="H136" t="str">
        <f t="shared" si="2"/>
        <v>OK</v>
      </c>
    </row>
    <row r="137" spans="1:8" hidden="1" x14ac:dyDescent="0.3">
      <c r="A137" s="1">
        <v>45839</v>
      </c>
      <c r="B137" t="s">
        <v>40</v>
      </c>
      <c r="C137">
        <v>12</v>
      </c>
      <c r="D137">
        <v>565152</v>
      </c>
      <c r="E137">
        <v>557640</v>
      </c>
      <c r="F137">
        <v>7512</v>
      </c>
      <c r="G137">
        <v>1.3299999999999999E-2</v>
      </c>
      <c r="H137" t="str">
        <f t="shared" si="2"/>
        <v>OK</v>
      </c>
    </row>
    <row r="138" spans="1:8" hidden="1" x14ac:dyDescent="0.3">
      <c r="A138" s="1">
        <v>45870</v>
      </c>
      <c r="B138" t="s">
        <v>40</v>
      </c>
      <c r="C138">
        <v>12</v>
      </c>
      <c r="D138">
        <v>370267</v>
      </c>
      <c r="E138">
        <v>366120</v>
      </c>
      <c r="F138">
        <v>4147</v>
      </c>
      <c r="G138">
        <v>1.12E-2</v>
      </c>
      <c r="H138" t="str">
        <f t="shared" si="2"/>
        <v>OK</v>
      </c>
    </row>
    <row r="139" spans="1:8" hidden="1" x14ac:dyDescent="0.3">
      <c r="A139" s="1">
        <v>45901</v>
      </c>
      <c r="B139" t="s">
        <v>40</v>
      </c>
      <c r="C139">
        <v>12</v>
      </c>
      <c r="D139">
        <v>328380</v>
      </c>
      <c r="E139">
        <v>324480</v>
      </c>
      <c r="F139">
        <v>3900</v>
      </c>
      <c r="G139">
        <v>1.1900000000000001E-2</v>
      </c>
      <c r="H139" t="str">
        <f t="shared" si="2"/>
        <v>OK</v>
      </c>
    </row>
    <row r="140" spans="1:8" hidden="1" x14ac:dyDescent="0.3">
      <c r="A140" s="1">
        <v>45931</v>
      </c>
      <c r="B140" t="s">
        <v>40</v>
      </c>
      <c r="C140">
        <v>12</v>
      </c>
      <c r="D140">
        <v>214405</v>
      </c>
      <c r="E140">
        <v>211560</v>
      </c>
      <c r="F140">
        <v>2845</v>
      </c>
      <c r="G140">
        <v>1.3299999999999999E-2</v>
      </c>
      <c r="H140" t="str">
        <f t="shared" si="2"/>
        <v>OK</v>
      </c>
    </row>
    <row r="141" spans="1:8" hidden="1" x14ac:dyDescent="0.3">
      <c r="A141" s="1">
        <v>45962</v>
      </c>
      <c r="B141" t="s">
        <v>40</v>
      </c>
      <c r="C141">
        <v>12</v>
      </c>
      <c r="D141">
        <v>114972</v>
      </c>
      <c r="E141">
        <v>112920</v>
      </c>
      <c r="F141">
        <v>2052</v>
      </c>
      <c r="G141">
        <v>1.78E-2</v>
      </c>
      <c r="H141" t="str">
        <f t="shared" si="2"/>
        <v>OK</v>
      </c>
    </row>
    <row r="142" spans="1:8" hidden="1" x14ac:dyDescent="0.3">
      <c r="A142" s="1">
        <v>45992</v>
      </c>
      <c r="B142" t="s">
        <v>40</v>
      </c>
      <c r="C142">
        <v>12</v>
      </c>
      <c r="D142">
        <v>151310</v>
      </c>
      <c r="E142">
        <v>148800</v>
      </c>
      <c r="F142">
        <v>2510</v>
      </c>
      <c r="G142">
        <v>1.66E-2</v>
      </c>
      <c r="H142" t="str">
        <f t="shared" si="2"/>
        <v>OK</v>
      </c>
    </row>
    <row r="143" spans="1:8" hidden="1" x14ac:dyDescent="0.3">
      <c r="A143" s="1">
        <v>46023</v>
      </c>
      <c r="B143" t="s">
        <v>40</v>
      </c>
      <c r="C143">
        <v>12</v>
      </c>
      <c r="D143">
        <v>167433</v>
      </c>
      <c r="E143">
        <v>164880</v>
      </c>
      <c r="F143">
        <v>2553</v>
      </c>
      <c r="G143">
        <v>1.52E-2</v>
      </c>
      <c r="H143" t="str">
        <f t="shared" si="2"/>
        <v>OK</v>
      </c>
    </row>
    <row r="144" spans="1:8" hidden="1" x14ac:dyDescent="0.3">
      <c r="A144" s="1">
        <v>46054</v>
      </c>
      <c r="B144" t="s">
        <v>40</v>
      </c>
      <c r="C144">
        <v>12</v>
      </c>
      <c r="D144">
        <v>122785</v>
      </c>
      <c r="E144">
        <v>120840</v>
      </c>
      <c r="F144">
        <v>1945</v>
      </c>
      <c r="G144">
        <v>1.5800000000000002E-2</v>
      </c>
      <c r="H144" t="str">
        <f t="shared" si="2"/>
        <v>OK</v>
      </c>
    </row>
    <row r="145" spans="1:8" hidden="1" x14ac:dyDescent="0.3">
      <c r="A145" s="1">
        <v>46082</v>
      </c>
      <c r="B145" t="s">
        <v>40</v>
      </c>
      <c r="C145">
        <v>12</v>
      </c>
      <c r="D145">
        <v>107521</v>
      </c>
      <c r="E145">
        <v>105720</v>
      </c>
      <c r="F145">
        <v>1801</v>
      </c>
      <c r="G145">
        <v>1.6799999999999999E-2</v>
      </c>
      <c r="H145" t="str">
        <f t="shared" si="2"/>
        <v>OK</v>
      </c>
    </row>
    <row r="146" spans="1:8" hidden="1" x14ac:dyDescent="0.3">
      <c r="A146" s="1">
        <v>45748</v>
      </c>
      <c r="B146" t="s">
        <v>40</v>
      </c>
      <c r="C146">
        <v>13</v>
      </c>
      <c r="D146">
        <v>79898</v>
      </c>
      <c r="E146">
        <v>78720</v>
      </c>
      <c r="F146">
        <v>1178</v>
      </c>
      <c r="G146">
        <v>1.47E-2</v>
      </c>
      <c r="H146" t="str">
        <f t="shared" si="2"/>
        <v>OK</v>
      </c>
    </row>
    <row r="147" spans="1:8" hidden="1" x14ac:dyDescent="0.3">
      <c r="A147" s="1">
        <v>45778</v>
      </c>
      <c r="B147" t="s">
        <v>40</v>
      </c>
      <c r="C147">
        <v>13</v>
      </c>
      <c r="D147">
        <v>303507</v>
      </c>
      <c r="E147">
        <v>300480</v>
      </c>
      <c r="F147">
        <v>3027</v>
      </c>
      <c r="G147">
        <v>0.01</v>
      </c>
      <c r="H147" t="str">
        <f t="shared" si="2"/>
        <v>OK</v>
      </c>
    </row>
    <row r="148" spans="1:8" hidden="1" x14ac:dyDescent="0.3">
      <c r="A148" s="1">
        <v>45809</v>
      </c>
      <c r="B148" t="s">
        <v>40</v>
      </c>
      <c r="C148">
        <v>13</v>
      </c>
      <c r="D148">
        <v>451797</v>
      </c>
      <c r="E148">
        <v>447600</v>
      </c>
      <c r="F148">
        <v>4197</v>
      </c>
      <c r="G148">
        <v>9.2999999999999992E-3</v>
      </c>
      <c r="H148" t="str">
        <f t="shared" si="2"/>
        <v>OK</v>
      </c>
    </row>
    <row r="149" spans="1:8" hidden="1" x14ac:dyDescent="0.3">
      <c r="A149" s="1">
        <v>45839</v>
      </c>
      <c r="B149" t="s">
        <v>40</v>
      </c>
      <c r="C149">
        <v>13</v>
      </c>
      <c r="D149">
        <v>576227</v>
      </c>
      <c r="E149">
        <v>570960</v>
      </c>
      <c r="F149">
        <v>5267</v>
      </c>
      <c r="G149">
        <v>9.1000000000000004E-3</v>
      </c>
      <c r="H149" t="str">
        <f t="shared" si="2"/>
        <v>OK</v>
      </c>
    </row>
    <row r="150" spans="1:8" hidden="1" x14ac:dyDescent="0.3">
      <c r="A150" s="1">
        <v>45870</v>
      </c>
      <c r="B150" t="s">
        <v>40</v>
      </c>
      <c r="C150">
        <v>13</v>
      </c>
      <c r="D150">
        <v>334623</v>
      </c>
      <c r="E150">
        <v>331320</v>
      </c>
      <c r="F150">
        <v>3303</v>
      </c>
      <c r="G150">
        <v>9.9000000000000008E-3</v>
      </c>
      <c r="H150" t="str">
        <f t="shared" si="2"/>
        <v>OK</v>
      </c>
    </row>
    <row r="151" spans="1:8" hidden="1" x14ac:dyDescent="0.3">
      <c r="A151" s="1">
        <v>45901</v>
      </c>
      <c r="B151" t="s">
        <v>40</v>
      </c>
      <c r="C151">
        <v>13</v>
      </c>
      <c r="D151">
        <v>280705</v>
      </c>
      <c r="E151">
        <v>282960</v>
      </c>
      <c r="F151">
        <v>-2255</v>
      </c>
      <c r="G151">
        <v>-8.0000000000000002E-3</v>
      </c>
      <c r="H151" t="str">
        <f t="shared" si="2"/>
        <v>OK</v>
      </c>
    </row>
    <row r="152" spans="1:8" hidden="1" x14ac:dyDescent="0.3">
      <c r="A152" s="1">
        <v>45931</v>
      </c>
      <c r="B152" t="s">
        <v>40</v>
      </c>
      <c r="C152">
        <v>13</v>
      </c>
      <c r="D152">
        <v>172176</v>
      </c>
      <c r="E152">
        <v>190920</v>
      </c>
      <c r="F152">
        <v>-18744</v>
      </c>
      <c r="G152">
        <v>-0.1089</v>
      </c>
      <c r="H152" t="str">
        <f t="shared" si="2"/>
        <v>OK</v>
      </c>
    </row>
    <row r="153" spans="1:8" hidden="1" x14ac:dyDescent="0.3">
      <c r="A153" s="1">
        <v>45962</v>
      </c>
      <c r="B153" t="s">
        <v>40</v>
      </c>
      <c r="C153">
        <v>13</v>
      </c>
      <c r="D153">
        <v>110067</v>
      </c>
      <c r="E153">
        <v>121920</v>
      </c>
      <c r="F153">
        <v>-11853</v>
      </c>
      <c r="G153">
        <v>-0.1077</v>
      </c>
      <c r="H153" t="str">
        <f t="shared" si="2"/>
        <v>OK</v>
      </c>
    </row>
    <row r="154" spans="1:8" hidden="1" x14ac:dyDescent="0.3">
      <c r="A154" s="1">
        <v>45992</v>
      </c>
      <c r="B154" t="s">
        <v>40</v>
      </c>
      <c r="C154">
        <v>13</v>
      </c>
      <c r="D154">
        <v>169891</v>
      </c>
      <c r="E154">
        <v>188520</v>
      </c>
      <c r="F154">
        <v>-18629</v>
      </c>
      <c r="G154">
        <v>-0.10970000000000001</v>
      </c>
      <c r="H154" t="str">
        <f t="shared" si="2"/>
        <v>OK</v>
      </c>
    </row>
    <row r="155" spans="1:8" hidden="1" x14ac:dyDescent="0.3">
      <c r="A155" s="1">
        <v>46023</v>
      </c>
      <c r="B155" t="s">
        <v>40</v>
      </c>
      <c r="C155">
        <v>13</v>
      </c>
      <c r="D155">
        <v>156341</v>
      </c>
      <c r="E155">
        <v>174000</v>
      </c>
      <c r="F155">
        <v>-17659</v>
      </c>
      <c r="G155">
        <v>-0.113</v>
      </c>
      <c r="H155" t="str">
        <f t="shared" si="2"/>
        <v>OK</v>
      </c>
    </row>
    <row r="156" spans="1:8" hidden="1" x14ac:dyDescent="0.3">
      <c r="A156" s="1">
        <v>46054</v>
      </c>
      <c r="B156" t="s">
        <v>40</v>
      </c>
      <c r="C156">
        <v>13</v>
      </c>
      <c r="D156">
        <v>119286</v>
      </c>
      <c r="E156">
        <v>132240</v>
      </c>
      <c r="F156">
        <v>-12954</v>
      </c>
      <c r="G156">
        <v>-0.1086</v>
      </c>
      <c r="H156" t="str">
        <f t="shared" si="2"/>
        <v>OK</v>
      </c>
    </row>
    <row r="157" spans="1:8" hidden="1" x14ac:dyDescent="0.3">
      <c r="A157" s="1">
        <v>46082</v>
      </c>
      <c r="B157" t="s">
        <v>40</v>
      </c>
      <c r="C157">
        <v>13</v>
      </c>
      <c r="D157">
        <v>92824</v>
      </c>
      <c r="E157">
        <v>92880</v>
      </c>
      <c r="F157">
        <v>-56</v>
      </c>
      <c r="G157">
        <v>-5.9999999999999995E-4</v>
      </c>
      <c r="H157" t="str">
        <f t="shared" si="2"/>
        <v>OK</v>
      </c>
    </row>
    <row r="158" spans="1:8" hidden="1" x14ac:dyDescent="0.3">
      <c r="A158" s="1">
        <v>45748</v>
      </c>
      <c r="B158" t="s">
        <v>40</v>
      </c>
      <c r="C158">
        <v>14</v>
      </c>
      <c r="D158">
        <v>74156</v>
      </c>
      <c r="E158">
        <v>72960</v>
      </c>
      <c r="F158">
        <v>1196</v>
      </c>
      <c r="G158">
        <v>1.61E-2</v>
      </c>
      <c r="H158" t="str">
        <f t="shared" si="2"/>
        <v>OK</v>
      </c>
    </row>
    <row r="159" spans="1:8" hidden="1" x14ac:dyDescent="0.3">
      <c r="A159" s="1">
        <v>45778</v>
      </c>
      <c r="B159" t="s">
        <v>40</v>
      </c>
      <c r="C159">
        <v>14</v>
      </c>
      <c r="D159">
        <v>268448</v>
      </c>
      <c r="E159">
        <v>265800</v>
      </c>
      <c r="F159">
        <v>2648</v>
      </c>
      <c r="G159">
        <v>9.9000000000000008E-3</v>
      </c>
      <c r="H159" t="str">
        <f t="shared" si="2"/>
        <v>OK</v>
      </c>
    </row>
    <row r="160" spans="1:8" hidden="1" x14ac:dyDescent="0.3">
      <c r="A160" s="1">
        <v>45809</v>
      </c>
      <c r="B160" t="s">
        <v>40</v>
      </c>
      <c r="C160">
        <v>14</v>
      </c>
      <c r="D160">
        <v>440627</v>
      </c>
      <c r="E160">
        <v>436680</v>
      </c>
      <c r="F160">
        <v>3947</v>
      </c>
      <c r="G160">
        <v>8.9999999999999993E-3</v>
      </c>
      <c r="H160" t="str">
        <f t="shared" si="2"/>
        <v>OK</v>
      </c>
    </row>
    <row r="161" spans="1:8" hidden="1" x14ac:dyDescent="0.3">
      <c r="A161" s="1">
        <v>45839</v>
      </c>
      <c r="B161" t="s">
        <v>40</v>
      </c>
      <c r="C161">
        <v>14</v>
      </c>
      <c r="D161">
        <v>548812</v>
      </c>
      <c r="E161">
        <v>543960</v>
      </c>
      <c r="F161">
        <v>4852</v>
      </c>
      <c r="G161">
        <v>8.8000000000000005E-3</v>
      </c>
      <c r="H161" t="str">
        <f t="shared" si="2"/>
        <v>OK</v>
      </c>
    </row>
    <row r="162" spans="1:8" hidden="1" x14ac:dyDescent="0.3">
      <c r="A162" s="1">
        <v>45870</v>
      </c>
      <c r="B162" t="s">
        <v>40</v>
      </c>
      <c r="C162">
        <v>14</v>
      </c>
      <c r="D162">
        <v>317894</v>
      </c>
      <c r="E162">
        <v>314760</v>
      </c>
      <c r="F162">
        <v>3134</v>
      </c>
      <c r="G162">
        <v>9.9000000000000008E-3</v>
      </c>
      <c r="H162" t="str">
        <f t="shared" si="2"/>
        <v>OK</v>
      </c>
    </row>
    <row r="163" spans="1:8" hidden="1" x14ac:dyDescent="0.3">
      <c r="A163" s="1">
        <v>45901</v>
      </c>
      <c r="B163" t="s">
        <v>40</v>
      </c>
      <c r="C163">
        <v>14</v>
      </c>
      <c r="D163">
        <v>297333</v>
      </c>
      <c r="E163">
        <v>293880</v>
      </c>
      <c r="F163">
        <v>3453</v>
      </c>
      <c r="G163">
        <v>1.1599999999999999E-2</v>
      </c>
      <c r="H163" t="str">
        <f t="shared" si="2"/>
        <v>OK</v>
      </c>
    </row>
    <row r="164" spans="1:8" hidden="1" x14ac:dyDescent="0.3">
      <c r="A164" s="1">
        <v>45931</v>
      </c>
      <c r="B164" t="s">
        <v>40</v>
      </c>
      <c r="C164">
        <v>14</v>
      </c>
      <c r="D164">
        <v>162441</v>
      </c>
      <c r="E164">
        <v>160320</v>
      </c>
      <c r="F164">
        <v>2121</v>
      </c>
      <c r="G164">
        <v>1.3100000000000001E-2</v>
      </c>
      <c r="H164" t="str">
        <f t="shared" si="2"/>
        <v>OK</v>
      </c>
    </row>
    <row r="165" spans="1:8" hidden="1" x14ac:dyDescent="0.3">
      <c r="A165" s="1">
        <v>45962</v>
      </c>
      <c r="B165" t="s">
        <v>40</v>
      </c>
      <c r="C165">
        <v>14</v>
      </c>
      <c r="D165">
        <v>82963</v>
      </c>
      <c r="E165">
        <v>81600</v>
      </c>
      <c r="F165">
        <v>1363</v>
      </c>
      <c r="G165">
        <v>1.6400000000000001E-2</v>
      </c>
      <c r="H165" t="str">
        <f t="shared" si="2"/>
        <v>OK</v>
      </c>
    </row>
    <row r="166" spans="1:8" hidden="1" x14ac:dyDescent="0.3">
      <c r="A166" s="1">
        <v>45992</v>
      </c>
      <c r="B166" t="s">
        <v>40</v>
      </c>
      <c r="C166">
        <v>14</v>
      </c>
      <c r="D166">
        <v>122817</v>
      </c>
      <c r="E166">
        <v>120960</v>
      </c>
      <c r="F166">
        <v>1857</v>
      </c>
      <c r="G166">
        <v>1.5100000000000001E-2</v>
      </c>
      <c r="H166" t="str">
        <f t="shared" si="2"/>
        <v>OK</v>
      </c>
    </row>
    <row r="167" spans="1:8" hidden="1" x14ac:dyDescent="0.3">
      <c r="A167" s="1">
        <v>46023</v>
      </c>
      <c r="B167" t="s">
        <v>40</v>
      </c>
      <c r="C167">
        <v>14</v>
      </c>
      <c r="D167">
        <v>131967</v>
      </c>
      <c r="E167">
        <v>130320</v>
      </c>
      <c r="F167">
        <v>1647</v>
      </c>
      <c r="G167">
        <v>1.2500000000000001E-2</v>
      </c>
      <c r="H167" t="str">
        <f t="shared" si="2"/>
        <v>OK</v>
      </c>
    </row>
    <row r="168" spans="1:8" hidden="1" x14ac:dyDescent="0.3">
      <c r="A168" s="1">
        <v>46054</v>
      </c>
      <c r="B168" t="s">
        <v>40</v>
      </c>
      <c r="C168">
        <v>14</v>
      </c>
      <c r="D168">
        <v>94547</v>
      </c>
      <c r="E168">
        <v>93240</v>
      </c>
      <c r="F168">
        <v>1307</v>
      </c>
      <c r="G168">
        <v>1.38E-2</v>
      </c>
      <c r="H168" t="str">
        <f t="shared" si="2"/>
        <v>OK</v>
      </c>
    </row>
    <row r="169" spans="1:8" hidden="1" x14ac:dyDescent="0.3">
      <c r="A169" s="1">
        <v>46082</v>
      </c>
      <c r="B169" t="s">
        <v>40</v>
      </c>
      <c r="C169">
        <v>14</v>
      </c>
      <c r="D169">
        <v>79458</v>
      </c>
      <c r="E169">
        <v>78120</v>
      </c>
      <c r="F169">
        <v>1338</v>
      </c>
      <c r="G169">
        <v>1.6799999999999999E-2</v>
      </c>
      <c r="H169" t="str">
        <f t="shared" si="2"/>
        <v>OK</v>
      </c>
    </row>
    <row r="170" spans="1:8" hidden="1" x14ac:dyDescent="0.3">
      <c r="A170" s="1">
        <v>45748</v>
      </c>
      <c r="B170" t="s">
        <v>40</v>
      </c>
      <c r="C170">
        <v>15</v>
      </c>
      <c r="D170">
        <v>65681</v>
      </c>
      <c r="E170">
        <v>65022</v>
      </c>
      <c r="F170">
        <v>659</v>
      </c>
      <c r="G170">
        <v>0.01</v>
      </c>
      <c r="H170" t="str">
        <f t="shared" si="2"/>
        <v>OK</v>
      </c>
    </row>
    <row r="171" spans="1:8" hidden="1" x14ac:dyDescent="0.3">
      <c r="A171" s="1">
        <v>45778</v>
      </c>
      <c r="B171" t="s">
        <v>40</v>
      </c>
      <c r="C171">
        <v>15</v>
      </c>
      <c r="D171">
        <v>410674</v>
      </c>
      <c r="E171">
        <v>413562</v>
      </c>
      <c r="F171">
        <v>-2888</v>
      </c>
      <c r="G171">
        <v>-7.0000000000000001E-3</v>
      </c>
      <c r="H171" t="str">
        <f t="shared" si="2"/>
        <v>OK</v>
      </c>
    </row>
    <row r="172" spans="1:8" hidden="1" x14ac:dyDescent="0.3">
      <c r="A172" s="1">
        <v>45809</v>
      </c>
      <c r="B172" t="s">
        <v>40</v>
      </c>
      <c r="C172">
        <v>15</v>
      </c>
      <c r="D172">
        <v>693305</v>
      </c>
      <c r="E172">
        <v>698968</v>
      </c>
      <c r="F172">
        <v>-5663</v>
      </c>
      <c r="G172">
        <v>-8.2000000000000007E-3</v>
      </c>
      <c r="H172" t="str">
        <f t="shared" si="2"/>
        <v>OK</v>
      </c>
    </row>
    <row r="173" spans="1:8" hidden="1" x14ac:dyDescent="0.3">
      <c r="A173" s="1">
        <v>45839</v>
      </c>
      <c r="B173" t="s">
        <v>40</v>
      </c>
      <c r="C173">
        <v>15</v>
      </c>
      <c r="D173">
        <v>776700</v>
      </c>
      <c r="E173">
        <v>774886</v>
      </c>
      <c r="F173">
        <v>1814</v>
      </c>
      <c r="G173">
        <v>2.3E-3</v>
      </c>
      <c r="H173" t="str">
        <f t="shared" si="2"/>
        <v>OK</v>
      </c>
    </row>
    <row r="174" spans="1:8" hidden="1" x14ac:dyDescent="0.3">
      <c r="A174" s="1">
        <v>45870</v>
      </c>
      <c r="B174" t="s">
        <v>40</v>
      </c>
      <c r="C174">
        <v>15</v>
      </c>
      <c r="D174">
        <v>555312</v>
      </c>
      <c r="E174">
        <v>553290</v>
      </c>
      <c r="F174">
        <v>2022</v>
      </c>
      <c r="G174">
        <v>3.5999999999999999E-3</v>
      </c>
      <c r="H174" t="str">
        <f t="shared" si="2"/>
        <v>OK</v>
      </c>
    </row>
    <row r="175" spans="1:8" hidden="1" x14ac:dyDescent="0.3">
      <c r="A175" s="1">
        <v>45901</v>
      </c>
      <c r="B175" t="s">
        <v>40</v>
      </c>
      <c r="C175">
        <v>15</v>
      </c>
      <c r="D175">
        <v>538512</v>
      </c>
      <c r="E175">
        <v>535034</v>
      </c>
      <c r="F175">
        <v>3478</v>
      </c>
      <c r="G175">
        <v>6.4999999999999997E-3</v>
      </c>
      <c r="H175" t="str">
        <f t="shared" si="2"/>
        <v>OK</v>
      </c>
    </row>
    <row r="176" spans="1:8" hidden="1" x14ac:dyDescent="0.3">
      <c r="A176" s="1">
        <v>45931</v>
      </c>
      <c r="B176" t="s">
        <v>40</v>
      </c>
      <c r="C176">
        <v>15</v>
      </c>
      <c r="D176">
        <v>182395</v>
      </c>
      <c r="E176">
        <v>180214</v>
      </c>
      <c r="F176">
        <v>2181</v>
      </c>
      <c r="G176">
        <v>1.2E-2</v>
      </c>
      <c r="H176" t="str">
        <f t="shared" si="2"/>
        <v>OK</v>
      </c>
    </row>
    <row r="177" spans="1:8" hidden="1" x14ac:dyDescent="0.3">
      <c r="A177" s="1">
        <v>45962</v>
      </c>
      <c r="B177" t="s">
        <v>40</v>
      </c>
      <c r="C177">
        <v>15</v>
      </c>
      <c r="D177">
        <v>64982</v>
      </c>
      <c r="E177">
        <v>62608</v>
      </c>
      <c r="F177">
        <v>2374</v>
      </c>
      <c r="G177">
        <v>3.6499999999999998E-2</v>
      </c>
      <c r="H177" t="str">
        <f t="shared" si="2"/>
        <v>OK</v>
      </c>
    </row>
    <row r="178" spans="1:8" hidden="1" x14ac:dyDescent="0.3">
      <c r="A178" s="1">
        <v>45992</v>
      </c>
      <c r="B178" t="s">
        <v>40</v>
      </c>
      <c r="C178">
        <v>15</v>
      </c>
      <c r="D178">
        <v>46591</v>
      </c>
      <c r="E178">
        <v>44072</v>
      </c>
      <c r="F178">
        <v>2519</v>
      </c>
      <c r="G178">
        <v>5.4100000000000002E-2</v>
      </c>
      <c r="H178" t="str">
        <f t="shared" si="2"/>
        <v>OK</v>
      </c>
    </row>
    <row r="179" spans="1:8" hidden="1" x14ac:dyDescent="0.3">
      <c r="A179" s="1">
        <v>46023</v>
      </c>
      <c r="B179" t="s">
        <v>40</v>
      </c>
      <c r="C179">
        <v>15</v>
      </c>
      <c r="D179">
        <v>53796</v>
      </c>
      <c r="E179">
        <v>51382</v>
      </c>
      <c r="F179">
        <v>2414</v>
      </c>
      <c r="G179">
        <v>4.4900000000000002E-2</v>
      </c>
      <c r="H179" t="str">
        <f t="shared" si="2"/>
        <v>OK</v>
      </c>
    </row>
    <row r="180" spans="1:8" hidden="1" x14ac:dyDescent="0.3">
      <c r="A180" s="1">
        <v>46054</v>
      </c>
      <c r="B180" t="s">
        <v>40</v>
      </c>
      <c r="C180">
        <v>15</v>
      </c>
      <c r="D180">
        <v>46699</v>
      </c>
      <c r="E180">
        <v>44156</v>
      </c>
      <c r="F180">
        <v>2543</v>
      </c>
      <c r="G180">
        <v>5.45E-2</v>
      </c>
      <c r="H180" t="str">
        <f t="shared" si="2"/>
        <v>OK</v>
      </c>
    </row>
    <row r="181" spans="1:8" hidden="1" x14ac:dyDescent="0.3">
      <c r="A181" s="1">
        <v>46082</v>
      </c>
      <c r="B181" t="s">
        <v>40</v>
      </c>
      <c r="C181">
        <v>15</v>
      </c>
      <c r="D181">
        <v>38273</v>
      </c>
      <c r="E181">
        <v>35926</v>
      </c>
      <c r="F181">
        <v>2347</v>
      </c>
      <c r="G181">
        <v>6.13E-2</v>
      </c>
      <c r="H181" t="str">
        <f t="shared" si="2"/>
        <v>OK</v>
      </c>
    </row>
    <row r="182" spans="1:8" hidden="1" x14ac:dyDescent="0.3">
      <c r="A182" s="1">
        <v>45748</v>
      </c>
      <c r="B182" t="s">
        <v>40</v>
      </c>
      <c r="C182">
        <v>16</v>
      </c>
      <c r="D182">
        <v>73091</v>
      </c>
      <c r="E182">
        <v>71310</v>
      </c>
      <c r="F182">
        <v>1781</v>
      </c>
      <c r="G182">
        <v>2.4400000000000002E-2</v>
      </c>
      <c r="H182" t="str">
        <f t="shared" si="2"/>
        <v>OK</v>
      </c>
    </row>
    <row r="183" spans="1:8" hidden="1" x14ac:dyDescent="0.3">
      <c r="A183" s="1">
        <v>45778</v>
      </c>
      <c r="B183" t="s">
        <v>40</v>
      </c>
      <c r="C183">
        <v>16</v>
      </c>
      <c r="D183">
        <v>428322</v>
      </c>
      <c r="E183">
        <v>426274</v>
      </c>
      <c r="F183">
        <v>2048</v>
      </c>
      <c r="G183">
        <v>4.7999999999999996E-3</v>
      </c>
      <c r="H183" t="str">
        <f t="shared" si="2"/>
        <v>OK</v>
      </c>
    </row>
    <row r="184" spans="1:8" hidden="1" x14ac:dyDescent="0.3">
      <c r="A184" s="1">
        <v>45809</v>
      </c>
      <c r="B184" t="s">
        <v>40</v>
      </c>
      <c r="C184">
        <v>16</v>
      </c>
      <c r="D184">
        <v>727064</v>
      </c>
      <c r="E184">
        <v>725368</v>
      </c>
      <c r="F184">
        <v>1696</v>
      </c>
      <c r="G184">
        <v>2.3E-3</v>
      </c>
      <c r="H184" t="str">
        <f t="shared" si="2"/>
        <v>OK</v>
      </c>
    </row>
    <row r="185" spans="1:8" hidden="1" x14ac:dyDescent="0.3">
      <c r="A185" s="1">
        <v>45839</v>
      </c>
      <c r="B185" t="s">
        <v>40</v>
      </c>
      <c r="C185">
        <v>16</v>
      </c>
      <c r="D185">
        <v>805352</v>
      </c>
      <c r="E185">
        <v>806478</v>
      </c>
      <c r="F185">
        <v>-1126</v>
      </c>
      <c r="G185">
        <v>-1.4E-3</v>
      </c>
      <c r="H185" t="str">
        <f t="shared" si="2"/>
        <v>OK</v>
      </c>
    </row>
    <row r="186" spans="1:8" hidden="1" x14ac:dyDescent="0.3">
      <c r="A186" s="1">
        <v>45870</v>
      </c>
      <c r="B186" t="s">
        <v>40</v>
      </c>
      <c r="C186">
        <v>16</v>
      </c>
      <c r="D186">
        <v>580775</v>
      </c>
      <c r="E186">
        <v>581134</v>
      </c>
      <c r="F186">
        <v>-359</v>
      </c>
      <c r="G186">
        <v>-5.9999999999999995E-4</v>
      </c>
      <c r="H186" t="str">
        <f t="shared" si="2"/>
        <v>OK</v>
      </c>
    </row>
    <row r="187" spans="1:8" hidden="1" x14ac:dyDescent="0.3">
      <c r="A187" s="1">
        <v>45901</v>
      </c>
      <c r="B187" t="s">
        <v>40</v>
      </c>
      <c r="C187">
        <v>16</v>
      </c>
      <c r="D187">
        <v>567000</v>
      </c>
      <c r="E187">
        <v>567424</v>
      </c>
      <c r="F187">
        <v>-424</v>
      </c>
      <c r="G187">
        <v>-6.9999999999999999E-4</v>
      </c>
      <c r="H187" t="str">
        <f t="shared" si="2"/>
        <v>OK</v>
      </c>
    </row>
    <row r="188" spans="1:8" hidden="1" x14ac:dyDescent="0.3">
      <c r="A188" s="1">
        <v>45931</v>
      </c>
      <c r="B188" t="s">
        <v>40</v>
      </c>
      <c r="C188">
        <v>16</v>
      </c>
      <c r="D188">
        <v>191935</v>
      </c>
      <c r="E188">
        <v>190720</v>
      </c>
      <c r="F188">
        <v>1215</v>
      </c>
      <c r="G188">
        <v>6.3E-3</v>
      </c>
      <c r="H188" t="str">
        <f t="shared" si="2"/>
        <v>OK</v>
      </c>
    </row>
    <row r="189" spans="1:8" hidden="1" x14ac:dyDescent="0.3">
      <c r="A189" s="1">
        <v>45962</v>
      </c>
      <c r="B189" t="s">
        <v>40</v>
      </c>
      <c r="C189">
        <v>16</v>
      </c>
      <c r="D189">
        <v>67539</v>
      </c>
      <c r="E189">
        <v>65346</v>
      </c>
      <c r="F189">
        <v>2193</v>
      </c>
      <c r="G189">
        <v>3.2500000000000001E-2</v>
      </c>
      <c r="H189" t="str">
        <f t="shared" si="2"/>
        <v>OK</v>
      </c>
    </row>
    <row r="190" spans="1:8" hidden="1" x14ac:dyDescent="0.3">
      <c r="A190" s="1">
        <v>45992</v>
      </c>
      <c r="B190" t="s">
        <v>40</v>
      </c>
      <c r="C190">
        <v>16</v>
      </c>
      <c r="D190">
        <v>53908</v>
      </c>
      <c r="E190">
        <v>51492</v>
      </c>
      <c r="F190">
        <v>2416</v>
      </c>
      <c r="G190">
        <v>4.48E-2</v>
      </c>
      <c r="H190" t="str">
        <f t="shared" si="2"/>
        <v>OK</v>
      </c>
    </row>
    <row r="191" spans="1:8" hidden="1" x14ac:dyDescent="0.3">
      <c r="A191" s="1">
        <v>46023</v>
      </c>
      <c r="B191" t="s">
        <v>40</v>
      </c>
      <c r="C191">
        <v>16</v>
      </c>
      <c r="D191">
        <v>55229</v>
      </c>
      <c r="E191">
        <v>52996</v>
      </c>
      <c r="F191">
        <v>2233</v>
      </c>
      <c r="G191">
        <v>4.0399999999999998E-2</v>
      </c>
      <c r="H191" t="str">
        <f t="shared" si="2"/>
        <v>OK</v>
      </c>
    </row>
    <row r="192" spans="1:8" hidden="1" x14ac:dyDescent="0.3">
      <c r="A192" s="1">
        <v>46054</v>
      </c>
      <c r="B192" t="s">
        <v>40</v>
      </c>
      <c r="C192">
        <v>16</v>
      </c>
      <c r="D192">
        <v>48371</v>
      </c>
      <c r="E192">
        <v>46190</v>
      </c>
      <c r="F192">
        <v>2181</v>
      </c>
      <c r="G192">
        <v>4.5100000000000001E-2</v>
      </c>
      <c r="H192" t="str">
        <f t="shared" si="2"/>
        <v>OK</v>
      </c>
    </row>
    <row r="193" spans="1:8" hidden="1" x14ac:dyDescent="0.3">
      <c r="A193" s="1">
        <v>46082</v>
      </c>
      <c r="B193" t="s">
        <v>40</v>
      </c>
      <c r="C193">
        <v>16</v>
      </c>
      <c r="D193">
        <v>36737</v>
      </c>
      <c r="E193">
        <v>34570</v>
      </c>
      <c r="F193">
        <v>2167</v>
      </c>
      <c r="G193">
        <v>5.8999999999999997E-2</v>
      </c>
      <c r="H193" t="str">
        <f t="shared" si="2"/>
        <v>OK</v>
      </c>
    </row>
    <row r="194" spans="1:8" hidden="1" x14ac:dyDescent="0.3">
      <c r="A194" s="1">
        <v>45748</v>
      </c>
      <c r="B194" t="s">
        <v>40</v>
      </c>
      <c r="C194">
        <v>17</v>
      </c>
      <c r="D194">
        <v>63668</v>
      </c>
      <c r="E194">
        <v>64986</v>
      </c>
      <c r="F194">
        <v>-1318</v>
      </c>
      <c r="G194">
        <v>-2.07E-2</v>
      </c>
      <c r="H194" t="str">
        <f t="shared" ref="H194:H257" si="3">IF(ROUND(F193/D193,4)=ROUND(G193,4),"OK","Review")</f>
        <v>OK</v>
      </c>
    </row>
    <row r="195" spans="1:8" hidden="1" x14ac:dyDescent="0.3">
      <c r="A195" s="1">
        <v>45778</v>
      </c>
      <c r="B195" t="s">
        <v>40</v>
      </c>
      <c r="C195">
        <v>17</v>
      </c>
      <c r="D195">
        <v>409122</v>
      </c>
      <c r="E195">
        <v>420252</v>
      </c>
      <c r="F195">
        <v>-11130</v>
      </c>
      <c r="G195">
        <v>-2.7199999999999998E-2</v>
      </c>
      <c r="H195" t="str">
        <f t="shared" si="3"/>
        <v>OK</v>
      </c>
    </row>
    <row r="196" spans="1:8" hidden="1" x14ac:dyDescent="0.3">
      <c r="A196" s="1">
        <v>45809</v>
      </c>
      <c r="B196" t="s">
        <v>40</v>
      </c>
      <c r="C196">
        <v>17</v>
      </c>
      <c r="D196">
        <v>700960</v>
      </c>
      <c r="E196">
        <v>711634</v>
      </c>
      <c r="F196">
        <v>-10674</v>
      </c>
      <c r="G196">
        <v>-1.52E-2</v>
      </c>
      <c r="H196" t="str">
        <f t="shared" si="3"/>
        <v>OK</v>
      </c>
    </row>
    <row r="197" spans="1:8" hidden="1" x14ac:dyDescent="0.3">
      <c r="A197" s="1">
        <v>45839</v>
      </c>
      <c r="B197" t="s">
        <v>40</v>
      </c>
      <c r="C197">
        <v>17</v>
      </c>
      <c r="D197">
        <v>801871</v>
      </c>
      <c r="E197">
        <v>815826</v>
      </c>
      <c r="F197">
        <v>-13955</v>
      </c>
      <c r="G197">
        <v>-1.7399999999999999E-2</v>
      </c>
      <c r="H197" t="str">
        <f t="shared" si="3"/>
        <v>OK</v>
      </c>
    </row>
    <row r="198" spans="1:8" hidden="1" x14ac:dyDescent="0.3">
      <c r="A198" s="1">
        <v>45870</v>
      </c>
      <c r="B198" t="s">
        <v>40</v>
      </c>
      <c r="C198">
        <v>17</v>
      </c>
      <c r="D198">
        <v>568713</v>
      </c>
      <c r="E198">
        <v>568096</v>
      </c>
      <c r="F198">
        <v>617</v>
      </c>
      <c r="G198">
        <v>1.1000000000000001E-3</v>
      </c>
      <c r="H198" t="str">
        <f t="shared" si="3"/>
        <v>OK</v>
      </c>
    </row>
    <row r="199" spans="1:8" hidden="1" x14ac:dyDescent="0.3">
      <c r="A199" s="1">
        <v>45901</v>
      </c>
      <c r="B199" t="s">
        <v>40</v>
      </c>
      <c r="C199">
        <v>17</v>
      </c>
      <c r="D199">
        <v>519121</v>
      </c>
      <c r="E199">
        <v>517522</v>
      </c>
      <c r="F199">
        <v>1599</v>
      </c>
      <c r="G199">
        <v>3.0999999999999999E-3</v>
      </c>
      <c r="H199" t="str">
        <f t="shared" si="3"/>
        <v>OK</v>
      </c>
    </row>
    <row r="200" spans="1:8" hidden="1" x14ac:dyDescent="0.3">
      <c r="A200" s="1">
        <v>45931</v>
      </c>
      <c r="B200" t="s">
        <v>40</v>
      </c>
      <c r="C200">
        <v>17</v>
      </c>
      <c r="D200">
        <v>184179</v>
      </c>
      <c r="E200">
        <v>182192</v>
      </c>
      <c r="F200">
        <v>1987</v>
      </c>
      <c r="G200">
        <v>1.0800000000000001E-2</v>
      </c>
      <c r="H200" t="str">
        <f t="shared" si="3"/>
        <v>OK</v>
      </c>
    </row>
    <row r="201" spans="1:8" hidden="1" x14ac:dyDescent="0.3">
      <c r="A201" s="1">
        <v>45962</v>
      </c>
      <c r="B201" t="s">
        <v>40</v>
      </c>
      <c r="C201">
        <v>17</v>
      </c>
      <c r="D201">
        <v>72612</v>
      </c>
      <c r="E201">
        <v>70412</v>
      </c>
      <c r="F201">
        <v>2200</v>
      </c>
      <c r="G201">
        <v>3.0300000000000001E-2</v>
      </c>
      <c r="H201" t="str">
        <f t="shared" si="3"/>
        <v>OK</v>
      </c>
    </row>
    <row r="202" spans="1:8" hidden="1" x14ac:dyDescent="0.3">
      <c r="A202" s="1">
        <v>45992</v>
      </c>
      <c r="B202" t="s">
        <v>40</v>
      </c>
      <c r="C202">
        <v>17</v>
      </c>
      <c r="D202">
        <v>53654</v>
      </c>
      <c r="E202">
        <v>51260</v>
      </c>
      <c r="F202">
        <v>2394</v>
      </c>
      <c r="G202">
        <v>4.4600000000000001E-2</v>
      </c>
      <c r="H202" t="str">
        <f t="shared" si="3"/>
        <v>OK</v>
      </c>
    </row>
    <row r="203" spans="1:8" hidden="1" x14ac:dyDescent="0.3">
      <c r="A203" s="1">
        <v>46023</v>
      </c>
      <c r="B203" t="s">
        <v>40</v>
      </c>
      <c r="C203">
        <v>17</v>
      </c>
      <c r="D203">
        <v>69259</v>
      </c>
      <c r="E203">
        <v>66704</v>
      </c>
      <c r="F203">
        <v>2555</v>
      </c>
      <c r="G203">
        <v>3.6900000000000002E-2</v>
      </c>
      <c r="H203" t="str">
        <f t="shared" si="3"/>
        <v>OK</v>
      </c>
    </row>
    <row r="204" spans="1:8" hidden="1" x14ac:dyDescent="0.3">
      <c r="A204" s="1">
        <v>46054</v>
      </c>
      <c r="B204" t="s">
        <v>40</v>
      </c>
      <c r="C204">
        <v>17</v>
      </c>
      <c r="D204">
        <v>51832</v>
      </c>
      <c r="E204">
        <v>49396</v>
      </c>
      <c r="F204">
        <v>2436</v>
      </c>
      <c r="G204">
        <v>4.7E-2</v>
      </c>
      <c r="H204" t="str">
        <f t="shared" si="3"/>
        <v>OK</v>
      </c>
    </row>
    <row r="205" spans="1:8" hidden="1" x14ac:dyDescent="0.3">
      <c r="A205" s="1">
        <v>46082</v>
      </c>
      <c r="B205" t="s">
        <v>40</v>
      </c>
      <c r="C205">
        <v>17</v>
      </c>
      <c r="D205">
        <v>40449</v>
      </c>
      <c r="E205">
        <v>38300</v>
      </c>
      <c r="F205">
        <v>2149</v>
      </c>
      <c r="G205">
        <v>5.3100000000000001E-2</v>
      </c>
      <c r="H205" t="str">
        <f t="shared" si="3"/>
        <v>OK</v>
      </c>
    </row>
    <row r="206" spans="1:8" hidden="1" x14ac:dyDescent="0.3">
      <c r="A206" s="1">
        <v>45748</v>
      </c>
      <c r="B206" t="s">
        <v>40</v>
      </c>
      <c r="C206">
        <v>18</v>
      </c>
      <c r="D206">
        <v>73049</v>
      </c>
      <c r="E206">
        <v>70940</v>
      </c>
      <c r="F206">
        <v>2109</v>
      </c>
      <c r="G206">
        <v>2.8899999999999999E-2</v>
      </c>
      <c r="H206" t="str">
        <f t="shared" si="3"/>
        <v>OK</v>
      </c>
    </row>
    <row r="207" spans="1:8" hidden="1" x14ac:dyDescent="0.3">
      <c r="A207" s="1">
        <v>45778</v>
      </c>
      <c r="B207" t="s">
        <v>40</v>
      </c>
      <c r="C207">
        <v>18</v>
      </c>
      <c r="D207">
        <v>154355</v>
      </c>
      <c r="E207">
        <v>150951</v>
      </c>
      <c r="F207">
        <v>3404</v>
      </c>
      <c r="G207">
        <v>2.2100000000000002E-2</v>
      </c>
      <c r="H207" t="str">
        <f t="shared" si="3"/>
        <v>OK</v>
      </c>
    </row>
    <row r="208" spans="1:8" hidden="1" x14ac:dyDescent="0.3">
      <c r="A208" s="1">
        <v>45809</v>
      </c>
      <c r="B208" t="s">
        <v>40</v>
      </c>
      <c r="C208">
        <v>18</v>
      </c>
      <c r="D208">
        <v>306695</v>
      </c>
      <c r="E208">
        <v>300171</v>
      </c>
      <c r="F208">
        <v>6524</v>
      </c>
      <c r="G208">
        <v>2.1299999999999999E-2</v>
      </c>
      <c r="H208" t="str">
        <f t="shared" si="3"/>
        <v>OK</v>
      </c>
    </row>
    <row r="209" spans="1:8" hidden="1" x14ac:dyDescent="0.3">
      <c r="A209" s="1">
        <v>45839</v>
      </c>
      <c r="B209" t="s">
        <v>40</v>
      </c>
      <c r="C209">
        <v>18</v>
      </c>
      <c r="D209">
        <v>438606</v>
      </c>
      <c r="E209">
        <v>430253</v>
      </c>
      <c r="F209">
        <v>8353</v>
      </c>
      <c r="G209">
        <v>1.9E-2</v>
      </c>
      <c r="H209" t="str">
        <f t="shared" si="3"/>
        <v>OK</v>
      </c>
    </row>
    <row r="210" spans="1:8" hidden="1" x14ac:dyDescent="0.3">
      <c r="A210" s="1">
        <v>45870</v>
      </c>
      <c r="B210" t="s">
        <v>40</v>
      </c>
      <c r="C210">
        <v>18</v>
      </c>
      <c r="D210">
        <v>406878</v>
      </c>
      <c r="E210">
        <v>398629</v>
      </c>
      <c r="F210">
        <v>8249</v>
      </c>
      <c r="G210">
        <v>2.0299999999999999E-2</v>
      </c>
      <c r="H210" t="str">
        <f t="shared" si="3"/>
        <v>OK</v>
      </c>
    </row>
    <row r="211" spans="1:8" hidden="1" x14ac:dyDescent="0.3">
      <c r="A211" s="1">
        <v>45901</v>
      </c>
      <c r="B211" t="s">
        <v>40</v>
      </c>
      <c r="C211">
        <v>18</v>
      </c>
      <c r="D211">
        <v>248114</v>
      </c>
      <c r="E211">
        <v>243049</v>
      </c>
      <c r="F211">
        <v>5065</v>
      </c>
      <c r="G211">
        <v>2.0400000000000001E-2</v>
      </c>
      <c r="H211" t="str">
        <f t="shared" si="3"/>
        <v>OK</v>
      </c>
    </row>
    <row r="212" spans="1:8" hidden="1" x14ac:dyDescent="0.3">
      <c r="A212" s="1">
        <v>45931</v>
      </c>
      <c r="B212" t="s">
        <v>40</v>
      </c>
      <c r="C212">
        <v>18</v>
      </c>
      <c r="D212">
        <v>134565</v>
      </c>
      <c r="E212">
        <v>131227</v>
      </c>
      <c r="F212">
        <v>3338</v>
      </c>
      <c r="G212">
        <v>2.4799999999999999E-2</v>
      </c>
      <c r="H212" t="str">
        <f t="shared" si="3"/>
        <v>OK</v>
      </c>
    </row>
    <row r="213" spans="1:8" hidden="1" x14ac:dyDescent="0.3">
      <c r="A213" s="1">
        <v>45962</v>
      </c>
      <c r="B213" t="s">
        <v>40</v>
      </c>
      <c r="C213">
        <v>18</v>
      </c>
      <c r="D213">
        <v>118513</v>
      </c>
      <c r="E213">
        <v>115746</v>
      </c>
      <c r="F213">
        <v>2767</v>
      </c>
      <c r="G213">
        <v>2.3300000000000001E-2</v>
      </c>
      <c r="H213" t="str">
        <f t="shared" si="3"/>
        <v>OK</v>
      </c>
    </row>
    <row r="214" spans="1:8" hidden="1" x14ac:dyDescent="0.3">
      <c r="A214" s="1">
        <v>45992</v>
      </c>
      <c r="B214" t="s">
        <v>40</v>
      </c>
      <c r="C214">
        <v>18</v>
      </c>
      <c r="D214">
        <v>194705</v>
      </c>
      <c r="E214">
        <v>191232</v>
      </c>
      <c r="F214">
        <v>3473</v>
      </c>
      <c r="G214">
        <v>1.78E-2</v>
      </c>
      <c r="H214" t="str">
        <f t="shared" si="3"/>
        <v>OK</v>
      </c>
    </row>
    <row r="215" spans="1:8" hidden="1" x14ac:dyDescent="0.3">
      <c r="A215" s="1">
        <v>46023</v>
      </c>
      <c r="B215" t="s">
        <v>40</v>
      </c>
      <c r="C215">
        <v>18</v>
      </c>
      <c r="D215">
        <v>64339</v>
      </c>
      <c r="E215">
        <v>61840</v>
      </c>
      <c r="F215">
        <v>2499</v>
      </c>
      <c r="G215">
        <v>3.8800000000000001E-2</v>
      </c>
      <c r="H215" t="str">
        <f t="shared" si="3"/>
        <v>OK</v>
      </c>
    </row>
    <row r="216" spans="1:8" hidden="1" x14ac:dyDescent="0.3">
      <c r="A216" s="1">
        <v>46054</v>
      </c>
      <c r="B216" t="s">
        <v>40</v>
      </c>
      <c r="C216">
        <v>18</v>
      </c>
      <c r="D216">
        <v>43925</v>
      </c>
      <c r="E216">
        <v>42031</v>
      </c>
      <c r="F216">
        <v>1894</v>
      </c>
      <c r="G216">
        <v>4.3099999999999999E-2</v>
      </c>
      <c r="H216" t="str">
        <f t="shared" si="3"/>
        <v>OK</v>
      </c>
    </row>
    <row r="217" spans="1:8" hidden="1" x14ac:dyDescent="0.3">
      <c r="A217" s="1">
        <v>46082</v>
      </c>
      <c r="B217" t="s">
        <v>40</v>
      </c>
      <c r="C217">
        <v>18</v>
      </c>
      <c r="D217">
        <v>61228</v>
      </c>
      <c r="E217">
        <v>58870</v>
      </c>
      <c r="F217">
        <v>2358</v>
      </c>
      <c r="G217">
        <v>3.85E-2</v>
      </c>
      <c r="H217" t="str">
        <f t="shared" si="3"/>
        <v>OK</v>
      </c>
    </row>
    <row r="218" spans="1:8" hidden="1" x14ac:dyDescent="0.3">
      <c r="A218" s="1">
        <v>45748</v>
      </c>
      <c r="B218" t="s">
        <v>40</v>
      </c>
      <c r="C218">
        <v>19</v>
      </c>
      <c r="D218">
        <v>144094</v>
      </c>
      <c r="E218">
        <v>150910</v>
      </c>
      <c r="F218">
        <v>-6816</v>
      </c>
      <c r="G218">
        <v>-4.7300000000000002E-2</v>
      </c>
      <c r="H218" t="str">
        <f t="shared" si="3"/>
        <v>OK</v>
      </c>
    </row>
    <row r="219" spans="1:8" hidden="1" x14ac:dyDescent="0.3">
      <c r="A219" s="1">
        <v>45778</v>
      </c>
      <c r="B219" t="s">
        <v>40</v>
      </c>
      <c r="C219">
        <v>19</v>
      </c>
      <c r="D219">
        <v>289033</v>
      </c>
      <c r="E219">
        <v>297003</v>
      </c>
      <c r="F219">
        <v>-7970</v>
      </c>
      <c r="G219">
        <v>-2.76E-2</v>
      </c>
      <c r="H219" t="str">
        <f t="shared" si="3"/>
        <v>OK</v>
      </c>
    </row>
    <row r="220" spans="1:8" hidden="1" x14ac:dyDescent="0.3">
      <c r="A220" s="1">
        <v>45809</v>
      </c>
      <c r="B220" t="s">
        <v>40</v>
      </c>
      <c r="C220">
        <v>19</v>
      </c>
      <c r="D220">
        <v>896088</v>
      </c>
      <c r="E220">
        <v>912130</v>
      </c>
      <c r="F220">
        <v>-16042</v>
      </c>
      <c r="G220">
        <v>-1.7899999999999999E-2</v>
      </c>
      <c r="H220" t="str">
        <f t="shared" si="3"/>
        <v>OK</v>
      </c>
    </row>
    <row r="221" spans="1:8" hidden="1" x14ac:dyDescent="0.3">
      <c r="A221" s="1">
        <v>45839</v>
      </c>
      <c r="B221" t="s">
        <v>40</v>
      </c>
      <c r="C221">
        <v>19</v>
      </c>
      <c r="D221">
        <v>1143510</v>
      </c>
      <c r="E221">
        <v>1162156</v>
      </c>
      <c r="F221">
        <v>-18646</v>
      </c>
      <c r="G221">
        <v>-1.6299999999999999E-2</v>
      </c>
      <c r="H221" t="str">
        <f t="shared" si="3"/>
        <v>OK</v>
      </c>
    </row>
    <row r="222" spans="1:8" hidden="1" x14ac:dyDescent="0.3">
      <c r="A222" s="1">
        <v>45870</v>
      </c>
      <c r="B222" t="s">
        <v>40</v>
      </c>
      <c r="C222">
        <v>19</v>
      </c>
      <c r="D222">
        <v>712766</v>
      </c>
      <c r="E222">
        <v>725434</v>
      </c>
      <c r="F222">
        <v>-12668</v>
      </c>
      <c r="G222">
        <v>-1.78E-2</v>
      </c>
      <c r="H222" t="str">
        <f t="shared" si="3"/>
        <v>OK</v>
      </c>
    </row>
    <row r="223" spans="1:8" hidden="1" x14ac:dyDescent="0.3">
      <c r="A223" s="1">
        <v>45901</v>
      </c>
      <c r="B223" t="s">
        <v>40</v>
      </c>
      <c r="C223">
        <v>19</v>
      </c>
      <c r="D223">
        <v>413154</v>
      </c>
      <c r="E223">
        <v>422571</v>
      </c>
      <c r="F223">
        <v>-9417</v>
      </c>
      <c r="G223">
        <v>-2.2800000000000001E-2</v>
      </c>
      <c r="H223" t="str">
        <f t="shared" si="3"/>
        <v>OK</v>
      </c>
    </row>
    <row r="224" spans="1:8" hidden="1" x14ac:dyDescent="0.3">
      <c r="A224" s="1">
        <v>45931</v>
      </c>
      <c r="B224" t="s">
        <v>40</v>
      </c>
      <c r="C224">
        <v>19</v>
      </c>
      <c r="D224">
        <v>234365</v>
      </c>
      <c r="E224">
        <v>241172</v>
      </c>
      <c r="F224">
        <v>-6807</v>
      </c>
      <c r="G224">
        <v>-2.9000000000000001E-2</v>
      </c>
      <c r="H224" t="str">
        <f t="shared" si="3"/>
        <v>OK</v>
      </c>
    </row>
    <row r="225" spans="1:8" hidden="1" x14ac:dyDescent="0.3">
      <c r="A225" s="1">
        <v>45962</v>
      </c>
      <c r="B225" t="s">
        <v>40</v>
      </c>
      <c r="C225">
        <v>19</v>
      </c>
      <c r="D225">
        <v>230171</v>
      </c>
      <c r="E225">
        <v>236136</v>
      </c>
      <c r="F225">
        <v>-5965</v>
      </c>
      <c r="G225">
        <v>-2.5899999999999999E-2</v>
      </c>
      <c r="H225" t="str">
        <f t="shared" si="3"/>
        <v>OK</v>
      </c>
    </row>
    <row r="226" spans="1:8" hidden="1" x14ac:dyDescent="0.3">
      <c r="A226" s="1">
        <v>45992</v>
      </c>
      <c r="B226" t="s">
        <v>40</v>
      </c>
      <c r="C226">
        <v>19</v>
      </c>
      <c r="D226">
        <v>364063</v>
      </c>
      <c r="E226">
        <v>370684</v>
      </c>
      <c r="F226">
        <v>-6621</v>
      </c>
      <c r="G226">
        <v>-1.8200000000000001E-2</v>
      </c>
      <c r="H226" t="str">
        <f t="shared" si="3"/>
        <v>OK</v>
      </c>
    </row>
    <row r="227" spans="1:8" hidden="1" x14ac:dyDescent="0.3">
      <c r="A227" s="1">
        <v>46023</v>
      </c>
      <c r="B227" t="s">
        <v>40</v>
      </c>
      <c r="C227">
        <v>19</v>
      </c>
      <c r="D227">
        <v>138437</v>
      </c>
      <c r="E227">
        <v>144683</v>
      </c>
      <c r="F227">
        <v>-6246</v>
      </c>
      <c r="G227">
        <v>-4.5100000000000001E-2</v>
      </c>
      <c r="H227" t="str">
        <f t="shared" si="3"/>
        <v>OK</v>
      </c>
    </row>
    <row r="228" spans="1:8" hidden="1" x14ac:dyDescent="0.3">
      <c r="A228" s="1">
        <v>46054</v>
      </c>
      <c r="B228" t="s">
        <v>40</v>
      </c>
      <c r="C228">
        <v>19</v>
      </c>
      <c r="D228">
        <v>94205</v>
      </c>
      <c r="E228">
        <v>100234</v>
      </c>
      <c r="F228">
        <v>-6029</v>
      </c>
      <c r="G228">
        <v>-6.4000000000000001E-2</v>
      </c>
      <c r="H228" t="str">
        <f t="shared" si="3"/>
        <v>OK</v>
      </c>
    </row>
    <row r="229" spans="1:8" hidden="1" x14ac:dyDescent="0.3">
      <c r="A229" s="1">
        <v>46082</v>
      </c>
      <c r="B229" t="s">
        <v>40</v>
      </c>
      <c r="C229">
        <v>19</v>
      </c>
      <c r="D229">
        <v>120404</v>
      </c>
      <c r="E229">
        <v>126585</v>
      </c>
      <c r="F229">
        <v>-6181</v>
      </c>
      <c r="G229">
        <v>-5.1299999999999998E-2</v>
      </c>
      <c r="H229" t="str">
        <f t="shared" si="3"/>
        <v>OK</v>
      </c>
    </row>
    <row r="230" spans="1:8" hidden="1" x14ac:dyDescent="0.3">
      <c r="A230" s="1">
        <v>45748</v>
      </c>
      <c r="B230" t="s">
        <v>40</v>
      </c>
      <c r="C230">
        <v>20</v>
      </c>
      <c r="D230">
        <v>50670</v>
      </c>
      <c r="E230">
        <v>55212</v>
      </c>
      <c r="F230">
        <v>-4542</v>
      </c>
      <c r="G230">
        <v>-8.9599999999999999E-2</v>
      </c>
      <c r="H230" t="str">
        <f t="shared" si="3"/>
        <v>OK</v>
      </c>
    </row>
    <row r="231" spans="1:8" hidden="1" x14ac:dyDescent="0.3">
      <c r="A231" s="1">
        <v>45778</v>
      </c>
      <c r="B231" t="s">
        <v>40</v>
      </c>
      <c r="C231">
        <v>20</v>
      </c>
      <c r="D231">
        <v>251507</v>
      </c>
      <c r="E231">
        <v>246334</v>
      </c>
      <c r="F231">
        <v>5173</v>
      </c>
      <c r="G231">
        <v>2.06E-2</v>
      </c>
      <c r="H231" t="str">
        <f t="shared" si="3"/>
        <v>OK</v>
      </c>
    </row>
    <row r="232" spans="1:8" hidden="1" x14ac:dyDescent="0.3">
      <c r="A232" s="1">
        <v>45809</v>
      </c>
      <c r="B232" t="s">
        <v>40</v>
      </c>
      <c r="C232">
        <v>20</v>
      </c>
      <c r="D232">
        <v>413424</v>
      </c>
      <c r="E232">
        <v>405863</v>
      </c>
      <c r="F232">
        <v>7561</v>
      </c>
      <c r="G232">
        <v>1.83E-2</v>
      </c>
      <c r="H232" t="str">
        <f t="shared" si="3"/>
        <v>OK</v>
      </c>
    </row>
    <row r="233" spans="1:8" hidden="1" x14ac:dyDescent="0.3">
      <c r="A233" s="1">
        <v>45839</v>
      </c>
      <c r="B233" t="s">
        <v>40</v>
      </c>
      <c r="C233">
        <v>20</v>
      </c>
      <c r="D233">
        <v>519827</v>
      </c>
      <c r="E233">
        <v>510362</v>
      </c>
      <c r="F233">
        <v>9465</v>
      </c>
      <c r="G233">
        <v>1.8200000000000001E-2</v>
      </c>
      <c r="H233" t="str">
        <f t="shared" si="3"/>
        <v>OK</v>
      </c>
    </row>
    <row r="234" spans="1:8" hidden="1" x14ac:dyDescent="0.3">
      <c r="A234" s="1">
        <v>45870</v>
      </c>
      <c r="B234" t="s">
        <v>40</v>
      </c>
      <c r="C234">
        <v>20</v>
      </c>
      <c r="D234">
        <v>346487</v>
      </c>
      <c r="E234">
        <v>339781</v>
      </c>
      <c r="F234">
        <v>6706</v>
      </c>
      <c r="G234">
        <v>1.9400000000000001E-2</v>
      </c>
      <c r="H234" t="str">
        <f t="shared" si="3"/>
        <v>OK</v>
      </c>
    </row>
    <row r="235" spans="1:8" hidden="1" x14ac:dyDescent="0.3">
      <c r="A235" s="1">
        <v>45901</v>
      </c>
      <c r="B235" t="s">
        <v>40</v>
      </c>
      <c r="C235">
        <v>20</v>
      </c>
      <c r="D235">
        <v>350327</v>
      </c>
      <c r="E235">
        <v>343584</v>
      </c>
      <c r="F235">
        <v>6743</v>
      </c>
      <c r="G235">
        <v>1.9199999999999998E-2</v>
      </c>
      <c r="H235" t="str">
        <f t="shared" si="3"/>
        <v>OK</v>
      </c>
    </row>
    <row r="236" spans="1:8" hidden="1" x14ac:dyDescent="0.3">
      <c r="A236" s="1">
        <v>45931</v>
      </c>
      <c r="B236" t="s">
        <v>40</v>
      </c>
      <c r="C236">
        <v>20</v>
      </c>
      <c r="D236">
        <v>103871</v>
      </c>
      <c r="E236">
        <v>101218</v>
      </c>
      <c r="F236">
        <v>2653</v>
      </c>
      <c r="G236">
        <v>2.5499999999999998E-2</v>
      </c>
      <c r="H236" t="str">
        <f t="shared" si="3"/>
        <v>OK</v>
      </c>
    </row>
    <row r="237" spans="1:8" hidden="1" x14ac:dyDescent="0.3">
      <c r="A237" s="1">
        <v>45962</v>
      </c>
      <c r="B237" t="s">
        <v>40</v>
      </c>
      <c r="C237">
        <v>20</v>
      </c>
      <c r="D237">
        <v>21762</v>
      </c>
      <c r="E237">
        <v>20852</v>
      </c>
      <c r="F237">
        <v>910</v>
      </c>
      <c r="G237">
        <v>4.1799999999999997E-2</v>
      </c>
      <c r="H237" t="str">
        <f t="shared" si="3"/>
        <v>OK</v>
      </c>
    </row>
    <row r="238" spans="1:8" hidden="1" x14ac:dyDescent="0.3">
      <c r="A238" s="1">
        <v>45992</v>
      </c>
      <c r="B238" t="s">
        <v>40</v>
      </c>
      <c r="C238">
        <v>20</v>
      </c>
      <c r="D238">
        <v>13222</v>
      </c>
      <c r="E238">
        <v>12645</v>
      </c>
      <c r="F238">
        <v>577</v>
      </c>
      <c r="G238">
        <v>4.36E-2</v>
      </c>
      <c r="H238" t="str">
        <f t="shared" si="3"/>
        <v>OK</v>
      </c>
    </row>
    <row r="239" spans="1:8" hidden="1" x14ac:dyDescent="0.3">
      <c r="A239" s="1">
        <v>46023</v>
      </c>
      <c r="B239" t="s">
        <v>40</v>
      </c>
      <c r="C239">
        <v>20</v>
      </c>
      <c r="D239">
        <v>20538</v>
      </c>
      <c r="E239">
        <v>19720</v>
      </c>
      <c r="F239">
        <v>818</v>
      </c>
      <c r="G239">
        <v>3.9800000000000002E-2</v>
      </c>
      <c r="H239" t="str">
        <f t="shared" si="3"/>
        <v>OK</v>
      </c>
    </row>
    <row r="240" spans="1:8" hidden="1" x14ac:dyDescent="0.3">
      <c r="A240" s="1">
        <v>46054</v>
      </c>
      <c r="B240" t="s">
        <v>40</v>
      </c>
      <c r="C240">
        <v>20</v>
      </c>
      <c r="D240">
        <v>27208</v>
      </c>
      <c r="E240">
        <v>26233</v>
      </c>
      <c r="F240">
        <v>975</v>
      </c>
      <c r="G240">
        <v>3.5799999999999998E-2</v>
      </c>
      <c r="H240" t="str">
        <f t="shared" si="3"/>
        <v>OK</v>
      </c>
    </row>
    <row r="241" spans="1:8" hidden="1" x14ac:dyDescent="0.3">
      <c r="A241" s="1">
        <v>46082</v>
      </c>
      <c r="B241" t="s">
        <v>40</v>
      </c>
      <c r="C241">
        <v>20</v>
      </c>
      <c r="D241">
        <v>24203</v>
      </c>
      <c r="E241">
        <v>23291</v>
      </c>
      <c r="F241">
        <v>912</v>
      </c>
      <c r="G241">
        <v>3.7699999999999997E-2</v>
      </c>
      <c r="H241" t="str">
        <f t="shared" si="3"/>
        <v>OK</v>
      </c>
    </row>
    <row r="242" spans="1:8" hidden="1" x14ac:dyDescent="0.3">
      <c r="A242" s="1">
        <v>45748</v>
      </c>
      <c r="B242" t="s">
        <v>40</v>
      </c>
      <c r="C242">
        <v>21</v>
      </c>
      <c r="D242">
        <v>50540</v>
      </c>
      <c r="E242">
        <v>49032</v>
      </c>
      <c r="F242">
        <v>1508</v>
      </c>
      <c r="G242">
        <v>2.98E-2</v>
      </c>
      <c r="H242" t="str">
        <f t="shared" si="3"/>
        <v>OK</v>
      </c>
    </row>
    <row r="243" spans="1:8" hidden="1" x14ac:dyDescent="0.3">
      <c r="A243" s="1">
        <v>45778</v>
      </c>
      <c r="B243" t="s">
        <v>40</v>
      </c>
      <c r="C243">
        <v>21</v>
      </c>
      <c r="D243">
        <v>222317</v>
      </c>
      <c r="E243">
        <v>217894</v>
      </c>
      <c r="F243">
        <v>4423</v>
      </c>
      <c r="G243">
        <v>1.9900000000000001E-2</v>
      </c>
      <c r="H243" t="str">
        <f t="shared" si="3"/>
        <v>OK</v>
      </c>
    </row>
    <row r="244" spans="1:8" hidden="1" x14ac:dyDescent="0.3">
      <c r="A244" s="1">
        <v>45809</v>
      </c>
      <c r="B244" t="s">
        <v>40</v>
      </c>
      <c r="C244">
        <v>21</v>
      </c>
      <c r="D244">
        <v>348898</v>
      </c>
      <c r="E244">
        <v>343038</v>
      </c>
      <c r="F244">
        <v>5860</v>
      </c>
      <c r="G244">
        <v>1.6799999999999999E-2</v>
      </c>
      <c r="H244" t="str">
        <f t="shared" si="3"/>
        <v>OK</v>
      </c>
    </row>
    <row r="245" spans="1:8" hidden="1" x14ac:dyDescent="0.3">
      <c r="A245" s="1">
        <v>45839</v>
      </c>
      <c r="B245" t="s">
        <v>40</v>
      </c>
      <c r="C245">
        <v>21</v>
      </c>
      <c r="D245">
        <v>460469</v>
      </c>
      <c r="E245">
        <v>453002</v>
      </c>
      <c r="F245">
        <v>7467</v>
      </c>
      <c r="G245">
        <v>1.6199999999999999E-2</v>
      </c>
      <c r="H245" t="str">
        <f t="shared" si="3"/>
        <v>OK</v>
      </c>
    </row>
    <row r="246" spans="1:8" hidden="1" x14ac:dyDescent="0.3">
      <c r="A246" s="1">
        <v>45870</v>
      </c>
      <c r="B246" t="s">
        <v>40</v>
      </c>
      <c r="C246">
        <v>21</v>
      </c>
      <c r="D246">
        <v>327055</v>
      </c>
      <c r="E246">
        <v>321516</v>
      </c>
      <c r="F246">
        <v>5539</v>
      </c>
      <c r="G246">
        <v>1.6899999999999998E-2</v>
      </c>
      <c r="H246" t="str">
        <f t="shared" si="3"/>
        <v>OK</v>
      </c>
    </row>
    <row r="247" spans="1:8" hidden="1" x14ac:dyDescent="0.3">
      <c r="A247" s="1">
        <v>45901</v>
      </c>
      <c r="B247" t="s">
        <v>40</v>
      </c>
      <c r="C247">
        <v>21</v>
      </c>
      <c r="D247">
        <v>320352</v>
      </c>
      <c r="E247">
        <v>315162</v>
      </c>
      <c r="F247">
        <v>5190</v>
      </c>
      <c r="G247">
        <v>1.6199999999999999E-2</v>
      </c>
      <c r="H247" t="str">
        <f t="shared" si="3"/>
        <v>OK</v>
      </c>
    </row>
    <row r="248" spans="1:8" hidden="1" x14ac:dyDescent="0.3">
      <c r="A248" s="1">
        <v>45931</v>
      </c>
      <c r="B248" t="s">
        <v>40</v>
      </c>
      <c r="C248">
        <v>21</v>
      </c>
      <c r="D248">
        <v>78126</v>
      </c>
      <c r="E248">
        <v>76485</v>
      </c>
      <c r="F248">
        <v>1641</v>
      </c>
      <c r="G248">
        <v>2.1000000000000001E-2</v>
      </c>
      <c r="H248" t="str">
        <f t="shared" si="3"/>
        <v>OK</v>
      </c>
    </row>
    <row r="249" spans="1:8" hidden="1" x14ac:dyDescent="0.3">
      <c r="A249" s="1">
        <v>45962</v>
      </c>
      <c r="B249" t="s">
        <v>40</v>
      </c>
      <c r="C249">
        <v>21</v>
      </c>
      <c r="D249">
        <v>22053</v>
      </c>
      <c r="E249">
        <v>21226</v>
      </c>
      <c r="F249">
        <v>827</v>
      </c>
      <c r="G249">
        <v>3.7499999999999999E-2</v>
      </c>
      <c r="H249" t="str">
        <f t="shared" si="3"/>
        <v>OK</v>
      </c>
    </row>
    <row r="250" spans="1:8" hidden="1" x14ac:dyDescent="0.3">
      <c r="A250" s="1">
        <v>45992</v>
      </c>
      <c r="B250" t="s">
        <v>40</v>
      </c>
      <c r="C250">
        <v>21</v>
      </c>
      <c r="D250">
        <v>11986</v>
      </c>
      <c r="E250">
        <v>11446</v>
      </c>
      <c r="F250">
        <v>540</v>
      </c>
      <c r="G250">
        <v>4.5100000000000001E-2</v>
      </c>
      <c r="H250" t="str">
        <f t="shared" si="3"/>
        <v>OK</v>
      </c>
    </row>
    <row r="251" spans="1:8" hidden="1" x14ac:dyDescent="0.3">
      <c r="A251" s="1">
        <v>46023</v>
      </c>
      <c r="B251" t="s">
        <v>40</v>
      </c>
      <c r="C251">
        <v>21</v>
      </c>
      <c r="D251">
        <v>18441</v>
      </c>
      <c r="E251">
        <v>17667</v>
      </c>
      <c r="F251">
        <v>774</v>
      </c>
      <c r="G251">
        <v>4.2000000000000003E-2</v>
      </c>
      <c r="H251" t="str">
        <f t="shared" si="3"/>
        <v>OK</v>
      </c>
    </row>
    <row r="252" spans="1:8" hidden="1" x14ac:dyDescent="0.3">
      <c r="A252" s="1">
        <v>46054</v>
      </c>
      <c r="B252" t="s">
        <v>40</v>
      </c>
      <c r="C252">
        <v>21</v>
      </c>
      <c r="D252">
        <v>25740</v>
      </c>
      <c r="E252">
        <v>24744</v>
      </c>
      <c r="F252">
        <v>996</v>
      </c>
      <c r="G252">
        <v>3.8699999999999998E-2</v>
      </c>
      <c r="H252" t="str">
        <f t="shared" si="3"/>
        <v>OK</v>
      </c>
    </row>
    <row r="253" spans="1:8" hidden="1" x14ac:dyDescent="0.3">
      <c r="A253" s="1">
        <v>46082</v>
      </c>
      <c r="B253" t="s">
        <v>40</v>
      </c>
      <c r="C253">
        <v>21</v>
      </c>
      <c r="D253">
        <v>23679</v>
      </c>
      <c r="E253">
        <v>22730</v>
      </c>
      <c r="F253">
        <v>949</v>
      </c>
      <c r="G253">
        <v>4.0099999999999997E-2</v>
      </c>
      <c r="H253" t="str">
        <f t="shared" si="3"/>
        <v>OK</v>
      </c>
    </row>
    <row r="254" spans="1:8" hidden="1" x14ac:dyDescent="0.3">
      <c r="A254" s="1">
        <v>45748</v>
      </c>
      <c r="B254" t="s">
        <v>40</v>
      </c>
      <c r="C254">
        <v>22</v>
      </c>
      <c r="D254">
        <v>57100</v>
      </c>
      <c r="E254">
        <v>55212</v>
      </c>
      <c r="F254">
        <v>1888</v>
      </c>
      <c r="G254">
        <v>3.3099999999999997E-2</v>
      </c>
      <c r="H254" t="str">
        <f t="shared" si="3"/>
        <v>OK</v>
      </c>
    </row>
    <row r="255" spans="1:8" hidden="1" x14ac:dyDescent="0.3">
      <c r="A255" s="1">
        <v>45778</v>
      </c>
      <c r="B255" t="s">
        <v>40</v>
      </c>
      <c r="C255">
        <v>22</v>
      </c>
      <c r="D255">
        <v>171724</v>
      </c>
      <c r="E255">
        <v>169017</v>
      </c>
      <c r="F255">
        <v>2707</v>
      </c>
      <c r="G255">
        <v>1.5800000000000002E-2</v>
      </c>
      <c r="H255" t="str">
        <f t="shared" si="3"/>
        <v>OK</v>
      </c>
    </row>
    <row r="256" spans="1:8" hidden="1" x14ac:dyDescent="0.3">
      <c r="A256" s="1">
        <v>45809</v>
      </c>
      <c r="B256" t="s">
        <v>40</v>
      </c>
      <c r="C256">
        <v>22</v>
      </c>
      <c r="D256">
        <v>228064</v>
      </c>
      <c r="E256">
        <v>222654</v>
      </c>
      <c r="F256">
        <v>5410</v>
      </c>
      <c r="G256">
        <v>2.3699999999999999E-2</v>
      </c>
      <c r="H256" t="str">
        <f t="shared" si="3"/>
        <v>OK</v>
      </c>
    </row>
    <row r="257" spans="1:8" hidden="1" x14ac:dyDescent="0.3">
      <c r="A257" s="1">
        <v>45839</v>
      </c>
      <c r="B257" t="s">
        <v>40</v>
      </c>
      <c r="C257">
        <v>22</v>
      </c>
      <c r="D257">
        <v>271084</v>
      </c>
      <c r="E257">
        <v>267435</v>
      </c>
      <c r="F257">
        <v>3649</v>
      </c>
      <c r="G257">
        <v>1.35E-2</v>
      </c>
      <c r="H257" t="str">
        <f t="shared" si="3"/>
        <v>OK</v>
      </c>
    </row>
    <row r="258" spans="1:8" hidden="1" x14ac:dyDescent="0.3">
      <c r="A258" s="1">
        <v>45870</v>
      </c>
      <c r="B258" t="s">
        <v>40</v>
      </c>
      <c r="C258">
        <v>22</v>
      </c>
      <c r="D258">
        <v>228996</v>
      </c>
      <c r="E258">
        <v>225236</v>
      </c>
      <c r="F258">
        <v>3760</v>
      </c>
      <c r="G258">
        <v>1.6400000000000001E-2</v>
      </c>
      <c r="H258" t="str">
        <f t="shared" ref="H258:H301" si="4">IF(ROUND(F257/D257,4)=ROUND(G257,4),"OK","Review")</f>
        <v>OK</v>
      </c>
    </row>
    <row r="259" spans="1:8" hidden="1" x14ac:dyDescent="0.3">
      <c r="A259" s="1">
        <v>45901</v>
      </c>
      <c r="B259" t="s">
        <v>40</v>
      </c>
      <c r="C259">
        <v>22</v>
      </c>
      <c r="D259">
        <v>204970</v>
      </c>
      <c r="E259">
        <v>201857</v>
      </c>
      <c r="F259">
        <v>3113</v>
      </c>
      <c r="G259">
        <v>1.52E-2</v>
      </c>
      <c r="H259" t="str">
        <f t="shared" si="4"/>
        <v>OK</v>
      </c>
    </row>
    <row r="260" spans="1:8" hidden="1" x14ac:dyDescent="0.3">
      <c r="A260" s="1">
        <v>45931</v>
      </c>
      <c r="B260" t="s">
        <v>40</v>
      </c>
      <c r="C260">
        <v>22</v>
      </c>
      <c r="D260">
        <v>73840</v>
      </c>
      <c r="E260">
        <v>72194</v>
      </c>
      <c r="F260">
        <v>1646</v>
      </c>
      <c r="G260">
        <v>2.23E-2</v>
      </c>
      <c r="H260" t="str">
        <f t="shared" si="4"/>
        <v>OK</v>
      </c>
    </row>
    <row r="261" spans="1:8" hidden="1" x14ac:dyDescent="0.3">
      <c r="A261" s="1">
        <v>45962</v>
      </c>
      <c r="B261" t="s">
        <v>40</v>
      </c>
      <c r="C261">
        <v>22</v>
      </c>
      <c r="D261">
        <v>41982</v>
      </c>
      <c r="E261">
        <v>40403</v>
      </c>
      <c r="F261">
        <v>1579</v>
      </c>
      <c r="G261">
        <v>3.7600000000000001E-2</v>
      </c>
      <c r="H261" t="str">
        <f t="shared" si="4"/>
        <v>OK</v>
      </c>
    </row>
    <row r="262" spans="1:8" hidden="1" x14ac:dyDescent="0.3">
      <c r="A262" s="1">
        <v>45992</v>
      </c>
      <c r="B262" t="s">
        <v>40</v>
      </c>
      <c r="C262">
        <v>22</v>
      </c>
      <c r="D262">
        <v>54167</v>
      </c>
      <c r="E262">
        <v>52561</v>
      </c>
      <c r="F262">
        <v>1606</v>
      </c>
      <c r="G262">
        <v>2.9600000000000001E-2</v>
      </c>
      <c r="H262" t="str">
        <f t="shared" si="4"/>
        <v>OK</v>
      </c>
    </row>
    <row r="263" spans="1:8" hidden="1" x14ac:dyDescent="0.3">
      <c r="A263" s="1">
        <v>46023</v>
      </c>
      <c r="B263" t="s">
        <v>40</v>
      </c>
      <c r="C263">
        <v>22</v>
      </c>
      <c r="D263">
        <v>59175</v>
      </c>
      <c r="E263">
        <v>57832</v>
      </c>
      <c r="F263">
        <v>1343</v>
      </c>
      <c r="G263">
        <v>2.2700000000000001E-2</v>
      </c>
      <c r="H263" t="str">
        <f t="shared" si="4"/>
        <v>OK</v>
      </c>
    </row>
    <row r="264" spans="1:8" hidden="1" x14ac:dyDescent="0.3">
      <c r="A264" s="1">
        <v>46054</v>
      </c>
      <c r="B264" t="s">
        <v>40</v>
      </c>
      <c r="C264">
        <v>22</v>
      </c>
      <c r="D264">
        <v>50343</v>
      </c>
      <c r="E264">
        <v>49218</v>
      </c>
      <c r="F264">
        <v>1125</v>
      </c>
      <c r="G264">
        <v>2.23E-2</v>
      </c>
      <c r="H264" t="str">
        <f t="shared" si="4"/>
        <v>OK</v>
      </c>
    </row>
    <row r="265" spans="1:8" hidden="1" x14ac:dyDescent="0.3">
      <c r="A265" s="1">
        <v>46082</v>
      </c>
      <c r="B265" t="s">
        <v>40</v>
      </c>
      <c r="C265">
        <v>22</v>
      </c>
      <c r="D265">
        <v>30691</v>
      </c>
      <c r="E265">
        <v>29755</v>
      </c>
      <c r="F265">
        <v>936</v>
      </c>
      <c r="G265">
        <v>3.0499999999999999E-2</v>
      </c>
      <c r="H265" t="str">
        <f t="shared" si="4"/>
        <v>OK</v>
      </c>
    </row>
    <row r="266" spans="1:8" hidden="1" x14ac:dyDescent="0.3">
      <c r="A266" s="1">
        <v>45748</v>
      </c>
      <c r="B266" t="s">
        <v>40</v>
      </c>
      <c r="C266">
        <v>23</v>
      </c>
      <c r="D266">
        <v>70083</v>
      </c>
      <c r="E266">
        <v>68638</v>
      </c>
      <c r="F266">
        <v>1445</v>
      </c>
      <c r="G266">
        <v>2.06E-2</v>
      </c>
      <c r="H266" t="str">
        <f t="shared" si="4"/>
        <v>OK</v>
      </c>
    </row>
    <row r="267" spans="1:8" hidden="1" x14ac:dyDescent="0.3">
      <c r="A267" s="1">
        <v>45778</v>
      </c>
      <c r="B267" t="s">
        <v>40</v>
      </c>
      <c r="C267">
        <v>23</v>
      </c>
      <c r="D267">
        <v>210941</v>
      </c>
      <c r="E267">
        <v>207567</v>
      </c>
      <c r="F267">
        <v>3374</v>
      </c>
      <c r="G267">
        <v>1.6E-2</v>
      </c>
      <c r="H267" t="str">
        <f t="shared" si="4"/>
        <v>OK</v>
      </c>
    </row>
    <row r="268" spans="1:8" hidden="1" x14ac:dyDescent="0.3">
      <c r="A268" s="1">
        <v>45809</v>
      </c>
      <c r="B268" t="s">
        <v>40</v>
      </c>
      <c r="C268">
        <v>23</v>
      </c>
      <c r="D268">
        <v>279699</v>
      </c>
      <c r="E268">
        <v>278762</v>
      </c>
      <c r="F268">
        <v>937</v>
      </c>
      <c r="G268">
        <v>3.3999999999999998E-3</v>
      </c>
      <c r="H268" t="str">
        <f t="shared" si="4"/>
        <v>OK</v>
      </c>
    </row>
    <row r="269" spans="1:8" hidden="1" x14ac:dyDescent="0.3">
      <c r="A269" s="1">
        <v>45839</v>
      </c>
      <c r="B269" t="s">
        <v>40</v>
      </c>
      <c r="C269">
        <v>23</v>
      </c>
      <c r="D269">
        <v>337061</v>
      </c>
      <c r="E269">
        <v>322060</v>
      </c>
      <c r="F269">
        <v>15001</v>
      </c>
      <c r="G269">
        <v>4.4499999999999998E-2</v>
      </c>
      <c r="H269" t="str">
        <f t="shared" si="4"/>
        <v>OK</v>
      </c>
    </row>
    <row r="270" spans="1:8" hidden="1" x14ac:dyDescent="0.3">
      <c r="A270" s="1">
        <v>45870</v>
      </c>
      <c r="B270" t="s">
        <v>40</v>
      </c>
      <c r="C270">
        <v>23</v>
      </c>
      <c r="D270">
        <v>293213</v>
      </c>
      <c r="E270">
        <v>298180</v>
      </c>
      <c r="F270">
        <v>-4967</v>
      </c>
      <c r="G270">
        <v>-1.6899999999999998E-2</v>
      </c>
      <c r="H270" t="str">
        <f t="shared" si="4"/>
        <v>OK</v>
      </c>
    </row>
    <row r="271" spans="1:8" hidden="1" x14ac:dyDescent="0.3">
      <c r="A271" s="1">
        <v>45901</v>
      </c>
      <c r="B271" t="s">
        <v>40</v>
      </c>
      <c r="C271">
        <v>23</v>
      </c>
      <c r="D271">
        <v>265924</v>
      </c>
      <c r="E271">
        <v>259620</v>
      </c>
      <c r="F271">
        <v>6304</v>
      </c>
      <c r="G271">
        <v>2.3699999999999999E-2</v>
      </c>
      <c r="H271" t="str">
        <f t="shared" si="4"/>
        <v>OK</v>
      </c>
    </row>
    <row r="272" spans="1:8" hidden="1" x14ac:dyDescent="0.3">
      <c r="A272" s="1">
        <v>45931</v>
      </c>
      <c r="B272" t="s">
        <v>40</v>
      </c>
      <c r="C272">
        <v>23</v>
      </c>
      <c r="D272">
        <v>81058</v>
      </c>
      <c r="E272">
        <v>79220</v>
      </c>
      <c r="F272">
        <v>1838</v>
      </c>
      <c r="G272">
        <v>2.2700000000000001E-2</v>
      </c>
      <c r="H272" t="str">
        <f t="shared" si="4"/>
        <v>OK</v>
      </c>
    </row>
    <row r="273" spans="1:8" hidden="1" x14ac:dyDescent="0.3">
      <c r="A273" s="1">
        <v>45962</v>
      </c>
      <c r="B273" t="s">
        <v>40</v>
      </c>
      <c r="C273">
        <v>23</v>
      </c>
      <c r="D273">
        <v>46318</v>
      </c>
      <c r="E273">
        <v>45069</v>
      </c>
      <c r="F273">
        <v>1249</v>
      </c>
      <c r="G273">
        <v>2.7E-2</v>
      </c>
      <c r="H273" t="str">
        <f t="shared" si="4"/>
        <v>OK</v>
      </c>
    </row>
    <row r="274" spans="1:8" hidden="1" x14ac:dyDescent="0.3">
      <c r="A274" s="1">
        <v>45992</v>
      </c>
      <c r="B274" t="s">
        <v>40</v>
      </c>
      <c r="C274">
        <v>23</v>
      </c>
      <c r="D274">
        <v>64385</v>
      </c>
      <c r="E274">
        <v>62931</v>
      </c>
      <c r="F274">
        <v>1454</v>
      </c>
      <c r="G274">
        <v>2.2599999999999999E-2</v>
      </c>
      <c r="H274" t="str">
        <f t="shared" si="4"/>
        <v>OK</v>
      </c>
    </row>
    <row r="275" spans="1:8" hidden="1" x14ac:dyDescent="0.3">
      <c r="A275" s="1">
        <v>46023</v>
      </c>
      <c r="B275" t="s">
        <v>40</v>
      </c>
      <c r="C275">
        <v>23</v>
      </c>
      <c r="D275">
        <v>65293</v>
      </c>
      <c r="E275">
        <v>63880</v>
      </c>
      <c r="F275">
        <v>1413</v>
      </c>
      <c r="G275">
        <v>2.1600000000000001E-2</v>
      </c>
      <c r="H275" t="str">
        <f t="shared" si="4"/>
        <v>OK</v>
      </c>
    </row>
    <row r="276" spans="1:8" hidden="1" x14ac:dyDescent="0.3">
      <c r="A276" s="1">
        <v>46054</v>
      </c>
      <c r="B276" t="s">
        <v>40</v>
      </c>
      <c r="C276">
        <v>23</v>
      </c>
      <c r="D276">
        <v>55756</v>
      </c>
      <c r="E276">
        <v>54480</v>
      </c>
      <c r="F276">
        <v>1276</v>
      </c>
      <c r="G276">
        <v>2.29E-2</v>
      </c>
      <c r="H276" t="str">
        <f t="shared" si="4"/>
        <v>OK</v>
      </c>
    </row>
    <row r="277" spans="1:8" hidden="1" x14ac:dyDescent="0.3">
      <c r="A277" s="1">
        <v>46082</v>
      </c>
      <c r="B277" t="s">
        <v>40</v>
      </c>
      <c r="C277">
        <v>23</v>
      </c>
      <c r="D277">
        <v>32158</v>
      </c>
      <c r="E277">
        <v>31160</v>
      </c>
      <c r="F277">
        <v>998</v>
      </c>
      <c r="G277">
        <v>3.1E-2</v>
      </c>
      <c r="H277" t="str">
        <f t="shared" si="4"/>
        <v>OK</v>
      </c>
    </row>
    <row r="278" spans="1:8" hidden="1" x14ac:dyDescent="0.3">
      <c r="A278" s="1">
        <v>45748</v>
      </c>
      <c r="B278" t="s">
        <v>40</v>
      </c>
      <c r="C278">
        <v>24</v>
      </c>
      <c r="D278">
        <v>83272</v>
      </c>
      <c r="E278">
        <v>80100</v>
      </c>
      <c r="F278">
        <v>3172</v>
      </c>
      <c r="G278">
        <v>3.8100000000000002E-2</v>
      </c>
      <c r="H278" t="str">
        <f t="shared" si="4"/>
        <v>OK</v>
      </c>
    </row>
    <row r="279" spans="1:8" hidden="1" x14ac:dyDescent="0.3">
      <c r="A279" s="1">
        <v>45778</v>
      </c>
      <c r="B279" t="s">
        <v>40</v>
      </c>
      <c r="C279">
        <v>24</v>
      </c>
      <c r="D279">
        <v>153501</v>
      </c>
      <c r="E279">
        <v>150255</v>
      </c>
      <c r="F279">
        <v>3246</v>
      </c>
      <c r="G279">
        <v>2.1100000000000001E-2</v>
      </c>
      <c r="H279" t="str">
        <f t="shared" si="4"/>
        <v>OK</v>
      </c>
    </row>
    <row r="280" spans="1:8" hidden="1" x14ac:dyDescent="0.3">
      <c r="A280" s="1">
        <v>45809</v>
      </c>
      <c r="B280" t="s">
        <v>40</v>
      </c>
      <c r="C280">
        <v>24</v>
      </c>
      <c r="D280">
        <v>250536</v>
      </c>
      <c r="E280">
        <v>249495</v>
      </c>
      <c r="F280">
        <v>1041</v>
      </c>
      <c r="G280">
        <v>4.1999999999999997E-3</v>
      </c>
      <c r="H280" t="str">
        <f t="shared" si="4"/>
        <v>OK</v>
      </c>
    </row>
    <row r="281" spans="1:8" hidden="1" x14ac:dyDescent="0.3">
      <c r="A281" s="1">
        <v>45839</v>
      </c>
      <c r="B281" t="s">
        <v>40</v>
      </c>
      <c r="C281">
        <v>24</v>
      </c>
      <c r="D281">
        <v>345420</v>
      </c>
      <c r="E281">
        <v>337710</v>
      </c>
      <c r="F281">
        <v>7710</v>
      </c>
      <c r="G281">
        <v>2.23E-2</v>
      </c>
      <c r="H281" t="str">
        <f t="shared" si="4"/>
        <v>OK</v>
      </c>
    </row>
    <row r="282" spans="1:8" hidden="1" x14ac:dyDescent="0.3">
      <c r="A282" s="1">
        <v>45870</v>
      </c>
      <c r="B282" t="s">
        <v>40</v>
      </c>
      <c r="C282">
        <v>24</v>
      </c>
      <c r="D282">
        <v>227488</v>
      </c>
      <c r="E282">
        <v>224708</v>
      </c>
      <c r="F282">
        <v>2780</v>
      </c>
      <c r="G282">
        <v>1.2200000000000001E-2</v>
      </c>
      <c r="H282" t="str">
        <f t="shared" si="4"/>
        <v>OK</v>
      </c>
    </row>
    <row r="283" spans="1:8" hidden="1" x14ac:dyDescent="0.3">
      <c r="A283" s="1">
        <v>45901</v>
      </c>
      <c r="B283" t="s">
        <v>40</v>
      </c>
      <c r="C283">
        <v>24</v>
      </c>
      <c r="D283">
        <v>204536</v>
      </c>
      <c r="E283">
        <v>202133</v>
      </c>
      <c r="F283">
        <v>2403</v>
      </c>
      <c r="G283">
        <v>1.17E-2</v>
      </c>
      <c r="H283" t="str">
        <f t="shared" si="4"/>
        <v>OK</v>
      </c>
    </row>
    <row r="284" spans="1:8" hidden="1" x14ac:dyDescent="0.3">
      <c r="A284" s="1">
        <v>45931</v>
      </c>
      <c r="B284" t="s">
        <v>40</v>
      </c>
      <c r="C284">
        <v>24</v>
      </c>
      <c r="D284">
        <v>89306</v>
      </c>
      <c r="E284">
        <v>87578</v>
      </c>
      <c r="F284">
        <v>1728</v>
      </c>
      <c r="G284">
        <v>1.9300000000000001E-2</v>
      </c>
      <c r="H284" t="str">
        <f t="shared" si="4"/>
        <v>OK</v>
      </c>
    </row>
    <row r="285" spans="1:8" hidden="1" x14ac:dyDescent="0.3">
      <c r="A285" s="1">
        <v>45962</v>
      </c>
      <c r="B285" t="s">
        <v>40</v>
      </c>
      <c r="C285">
        <v>24</v>
      </c>
      <c r="D285">
        <v>65678</v>
      </c>
      <c r="E285">
        <v>65318</v>
      </c>
      <c r="F285">
        <v>360</v>
      </c>
      <c r="G285">
        <v>5.4999999999999997E-3</v>
      </c>
      <c r="H285" t="str">
        <f t="shared" si="4"/>
        <v>OK</v>
      </c>
    </row>
    <row r="286" spans="1:8" hidden="1" x14ac:dyDescent="0.3">
      <c r="A286" s="1">
        <v>45992</v>
      </c>
      <c r="B286" t="s">
        <v>40</v>
      </c>
      <c r="C286">
        <v>24</v>
      </c>
      <c r="D286">
        <v>70598</v>
      </c>
      <c r="E286">
        <v>66997</v>
      </c>
      <c r="F286">
        <v>3601</v>
      </c>
      <c r="G286">
        <v>5.0999999999999997E-2</v>
      </c>
      <c r="H286" t="str">
        <f t="shared" si="4"/>
        <v>OK</v>
      </c>
    </row>
    <row r="287" spans="1:8" hidden="1" x14ac:dyDescent="0.3">
      <c r="A287" s="1">
        <v>46023</v>
      </c>
      <c r="B287" t="s">
        <v>40</v>
      </c>
      <c r="C287">
        <v>24</v>
      </c>
      <c r="D287">
        <v>74438</v>
      </c>
      <c r="E287">
        <v>75143</v>
      </c>
      <c r="F287">
        <v>-705</v>
      </c>
      <c r="G287">
        <v>-9.4999999999999998E-3</v>
      </c>
      <c r="H287" t="str">
        <f t="shared" si="4"/>
        <v>OK</v>
      </c>
    </row>
    <row r="288" spans="1:8" hidden="1" x14ac:dyDescent="0.3">
      <c r="A288" s="1">
        <v>46054</v>
      </c>
      <c r="B288" t="s">
        <v>40</v>
      </c>
      <c r="C288">
        <v>24</v>
      </c>
      <c r="D288">
        <v>59183</v>
      </c>
      <c r="E288">
        <v>59160</v>
      </c>
      <c r="F288">
        <v>23</v>
      </c>
      <c r="G288">
        <v>4.0000000000000002E-4</v>
      </c>
      <c r="H288" t="str">
        <f t="shared" si="4"/>
        <v>OK</v>
      </c>
    </row>
    <row r="289" spans="1:8" hidden="1" x14ac:dyDescent="0.3">
      <c r="A289" s="1">
        <v>46082</v>
      </c>
      <c r="B289" t="s">
        <v>40</v>
      </c>
      <c r="C289">
        <v>24</v>
      </c>
      <c r="D289">
        <v>62143</v>
      </c>
      <c r="E289">
        <v>61950</v>
      </c>
      <c r="F289">
        <v>193</v>
      </c>
      <c r="G289">
        <v>3.0999999999999999E-3</v>
      </c>
      <c r="H289" t="str">
        <f t="shared" si="4"/>
        <v>OK</v>
      </c>
    </row>
    <row r="290" spans="1:8" hidden="1" x14ac:dyDescent="0.3">
      <c r="A290" s="1">
        <v>45748</v>
      </c>
      <c r="B290" t="s">
        <v>40</v>
      </c>
      <c r="C290">
        <v>25</v>
      </c>
      <c r="D290">
        <v>1009776</v>
      </c>
      <c r="E290">
        <v>970280</v>
      </c>
      <c r="F290">
        <v>39496</v>
      </c>
      <c r="G290">
        <v>3.9100000000000003E-2</v>
      </c>
      <c r="H290" t="str">
        <f t="shared" si="4"/>
        <v>OK</v>
      </c>
    </row>
    <row r="291" spans="1:8" hidden="1" x14ac:dyDescent="0.3">
      <c r="A291" s="1">
        <v>45778</v>
      </c>
      <c r="B291" t="s">
        <v>40</v>
      </c>
      <c r="C291">
        <v>25</v>
      </c>
      <c r="D291">
        <v>1399165</v>
      </c>
      <c r="E291">
        <v>1358748</v>
      </c>
      <c r="F291">
        <v>40417</v>
      </c>
      <c r="G291">
        <v>2.8899999999999999E-2</v>
      </c>
      <c r="H291" t="str">
        <f t="shared" si="4"/>
        <v>OK</v>
      </c>
    </row>
    <row r="292" spans="1:8" hidden="1" x14ac:dyDescent="0.3">
      <c r="A292" s="1">
        <v>45809</v>
      </c>
      <c r="B292" t="s">
        <v>40</v>
      </c>
      <c r="C292">
        <v>25</v>
      </c>
      <c r="D292">
        <v>2466331</v>
      </c>
      <c r="E292">
        <v>2403665</v>
      </c>
      <c r="F292">
        <v>62666</v>
      </c>
      <c r="G292">
        <v>2.5399999999999999E-2</v>
      </c>
      <c r="H292" t="str">
        <f t="shared" si="4"/>
        <v>OK</v>
      </c>
    </row>
    <row r="293" spans="1:8" hidden="1" x14ac:dyDescent="0.3">
      <c r="A293" s="1">
        <v>45839</v>
      </c>
      <c r="B293" t="s">
        <v>40</v>
      </c>
      <c r="C293">
        <v>25</v>
      </c>
      <c r="D293">
        <v>2993395</v>
      </c>
      <c r="E293">
        <v>2919780</v>
      </c>
      <c r="F293">
        <v>73615</v>
      </c>
      <c r="G293">
        <v>2.46E-2</v>
      </c>
      <c r="H293" t="str">
        <f t="shared" si="4"/>
        <v>OK</v>
      </c>
    </row>
    <row r="294" spans="1:8" hidden="1" x14ac:dyDescent="0.3">
      <c r="A294" s="1">
        <v>45870</v>
      </c>
      <c r="B294" t="s">
        <v>40</v>
      </c>
      <c r="C294">
        <v>25</v>
      </c>
      <c r="D294">
        <v>2148147</v>
      </c>
      <c r="E294">
        <v>2097476</v>
      </c>
      <c r="F294">
        <v>50671</v>
      </c>
      <c r="G294">
        <v>2.3599999999999999E-2</v>
      </c>
      <c r="H294" t="str">
        <f t="shared" si="4"/>
        <v>OK</v>
      </c>
    </row>
    <row r="295" spans="1:8" hidden="1" x14ac:dyDescent="0.3">
      <c r="A295" s="1">
        <v>45901</v>
      </c>
      <c r="B295" t="s">
        <v>40</v>
      </c>
      <c r="C295">
        <v>25</v>
      </c>
      <c r="D295">
        <v>1644366</v>
      </c>
      <c r="E295">
        <v>1600225</v>
      </c>
      <c r="F295">
        <v>44141</v>
      </c>
      <c r="G295">
        <v>2.6800000000000001E-2</v>
      </c>
      <c r="H295" t="str">
        <f t="shared" si="4"/>
        <v>OK</v>
      </c>
    </row>
    <row r="296" spans="1:8" hidden="1" x14ac:dyDescent="0.3">
      <c r="A296" s="1">
        <v>45931</v>
      </c>
      <c r="B296" t="s">
        <v>40</v>
      </c>
      <c r="C296">
        <v>25</v>
      </c>
      <c r="D296">
        <v>972341</v>
      </c>
      <c r="E296">
        <v>940703</v>
      </c>
      <c r="F296">
        <v>31638</v>
      </c>
      <c r="G296">
        <v>3.2500000000000001E-2</v>
      </c>
      <c r="H296" t="str">
        <f t="shared" si="4"/>
        <v>OK</v>
      </c>
    </row>
    <row r="297" spans="1:8" hidden="1" x14ac:dyDescent="0.3">
      <c r="A297" s="1">
        <v>45962</v>
      </c>
      <c r="B297" t="s">
        <v>40</v>
      </c>
      <c r="C297">
        <v>25</v>
      </c>
      <c r="D297">
        <v>740848</v>
      </c>
      <c r="E297">
        <v>708646</v>
      </c>
      <c r="F297">
        <v>32202</v>
      </c>
      <c r="G297">
        <v>4.3499999999999997E-2</v>
      </c>
      <c r="H297" t="str">
        <f t="shared" si="4"/>
        <v>OK</v>
      </c>
    </row>
    <row r="298" spans="1:8" hidden="1" x14ac:dyDescent="0.3">
      <c r="A298" s="1">
        <v>45992</v>
      </c>
      <c r="B298" t="s">
        <v>40</v>
      </c>
      <c r="C298">
        <v>25</v>
      </c>
      <c r="D298">
        <v>765627</v>
      </c>
      <c r="E298">
        <v>734937</v>
      </c>
      <c r="F298">
        <v>30690</v>
      </c>
      <c r="G298">
        <v>4.0099999999999997E-2</v>
      </c>
      <c r="H298" t="str">
        <f t="shared" si="4"/>
        <v>OK</v>
      </c>
    </row>
    <row r="299" spans="1:8" hidden="1" x14ac:dyDescent="0.3">
      <c r="A299" s="1">
        <v>46023</v>
      </c>
      <c r="B299" t="s">
        <v>40</v>
      </c>
      <c r="C299">
        <v>25</v>
      </c>
      <c r="D299">
        <v>494693</v>
      </c>
      <c r="E299">
        <v>469743</v>
      </c>
      <c r="F299">
        <v>24950</v>
      </c>
      <c r="G299">
        <v>5.04E-2</v>
      </c>
      <c r="H299" t="str">
        <f t="shared" si="4"/>
        <v>OK</v>
      </c>
    </row>
    <row r="300" spans="1:8" hidden="1" x14ac:dyDescent="0.3">
      <c r="A300" s="1">
        <v>46054</v>
      </c>
      <c r="B300" t="s">
        <v>40</v>
      </c>
      <c r="C300">
        <v>25</v>
      </c>
      <c r="D300">
        <v>439473</v>
      </c>
      <c r="E300">
        <v>414841</v>
      </c>
      <c r="F300">
        <v>24632</v>
      </c>
      <c r="G300">
        <v>5.6000000000000001E-2</v>
      </c>
      <c r="H300" t="str">
        <f t="shared" si="4"/>
        <v>OK</v>
      </c>
    </row>
    <row r="301" spans="1:8" hidden="1" x14ac:dyDescent="0.3">
      <c r="A301" s="1">
        <v>46082</v>
      </c>
      <c r="B301" t="s">
        <v>40</v>
      </c>
      <c r="C301">
        <v>25</v>
      </c>
      <c r="D301">
        <v>605307</v>
      </c>
      <c r="E301">
        <v>574430</v>
      </c>
      <c r="F301">
        <v>30877</v>
      </c>
      <c r="G301">
        <v>5.0999999999999997E-2</v>
      </c>
      <c r="H301" t="str">
        <f t="shared" si="4"/>
        <v>OK</v>
      </c>
    </row>
  </sheetData>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564B3-A9F7-486C-880D-F8A159E8C989}">
  <dimension ref="A1:H301"/>
  <sheetViews>
    <sheetView workbookViewId="0"/>
  </sheetViews>
  <sheetFormatPr defaultRowHeight="14.4" x14ac:dyDescent="0.3"/>
  <cols>
    <col min="1" max="1" width="14.33203125" bestFit="1" customWidth="1"/>
    <col min="2" max="2" width="15.44140625" bestFit="1" customWidth="1"/>
    <col min="3" max="3" width="10.109375" bestFit="1" customWidth="1"/>
    <col min="4" max="4" width="21.5546875" bestFit="1" customWidth="1"/>
    <col min="5" max="5" width="15.5546875" bestFit="1" customWidth="1"/>
    <col min="6" max="6" width="23.88671875" bestFit="1" customWidth="1"/>
    <col min="7" max="7" width="18.44140625" bestFit="1" customWidth="1"/>
    <col min="8" max="8" width="13.109375" bestFit="1" customWidth="1"/>
  </cols>
  <sheetData>
    <row r="1" spans="1:8" x14ac:dyDescent="0.3">
      <c r="A1" t="s">
        <v>43</v>
      </c>
      <c r="B1" t="s">
        <v>36</v>
      </c>
      <c r="C1" t="s">
        <v>0</v>
      </c>
      <c r="D1" t="s">
        <v>38</v>
      </c>
      <c r="E1" t="s">
        <v>74</v>
      </c>
      <c r="F1" t="s">
        <v>75</v>
      </c>
      <c r="G1" t="s">
        <v>76</v>
      </c>
      <c r="H1" t="s">
        <v>77</v>
      </c>
    </row>
    <row r="2" spans="1:8" x14ac:dyDescent="0.3">
      <c r="A2" s="1">
        <v>45748</v>
      </c>
      <c r="B2" t="s">
        <v>40</v>
      </c>
      <c r="C2">
        <v>1</v>
      </c>
      <c r="D2">
        <v>209819</v>
      </c>
      <c r="E2">
        <v>6952</v>
      </c>
      <c r="F2">
        <v>3.3000000000000002E-2</v>
      </c>
      <c r="G2">
        <v>0.05</v>
      </c>
      <c r="H2" t="s">
        <v>78</v>
      </c>
    </row>
    <row r="3" spans="1:8" x14ac:dyDescent="0.3">
      <c r="A3" s="1">
        <v>45778</v>
      </c>
      <c r="B3" t="s">
        <v>40</v>
      </c>
      <c r="C3">
        <v>1</v>
      </c>
      <c r="D3">
        <v>274677</v>
      </c>
      <c r="E3">
        <v>10097</v>
      </c>
      <c r="F3">
        <v>3.6999999999999998E-2</v>
      </c>
      <c r="G3">
        <v>0.05</v>
      </c>
      <c r="H3" t="s">
        <v>78</v>
      </c>
    </row>
    <row r="4" spans="1:8" x14ac:dyDescent="0.3">
      <c r="A4" s="1">
        <v>45809</v>
      </c>
      <c r="B4" t="s">
        <v>40</v>
      </c>
      <c r="C4">
        <v>1</v>
      </c>
      <c r="D4">
        <v>611235</v>
      </c>
      <c r="E4">
        <v>6460</v>
      </c>
      <c r="F4">
        <v>1.0999999999999999E-2</v>
      </c>
      <c r="G4">
        <v>0.05</v>
      </c>
      <c r="H4" t="s">
        <v>78</v>
      </c>
    </row>
    <row r="5" spans="1:8" x14ac:dyDescent="0.3">
      <c r="A5" s="1">
        <v>45839</v>
      </c>
      <c r="B5" t="s">
        <v>40</v>
      </c>
      <c r="C5">
        <v>1</v>
      </c>
      <c r="D5">
        <v>897647</v>
      </c>
      <c r="E5">
        <v>3103</v>
      </c>
      <c r="F5">
        <v>3.0000000000000001E-3</v>
      </c>
      <c r="G5">
        <v>0.05</v>
      </c>
      <c r="H5" t="s">
        <v>78</v>
      </c>
    </row>
    <row r="6" spans="1:8" x14ac:dyDescent="0.3">
      <c r="A6" s="1">
        <v>45870</v>
      </c>
      <c r="B6" t="s">
        <v>40</v>
      </c>
      <c r="C6">
        <v>1</v>
      </c>
      <c r="D6">
        <v>448823</v>
      </c>
      <c r="E6">
        <v>5392</v>
      </c>
      <c r="F6">
        <v>1.2E-2</v>
      </c>
      <c r="G6">
        <v>0.05</v>
      </c>
      <c r="H6" t="s">
        <v>78</v>
      </c>
    </row>
    <row r="7" spans="1:8" x14ac:dyDescent="0.3">
      <c r="A7" s="1">
        <v>45901</v>
      </c>
      <c r="B7" t="s">
        <v>40</v>
      </c>
      <c r="C7">
        <v>1</v>
      </c>
      <c r="D7">
        <v>217455</v>
      </c>
      <c r="E7">
        <v>9374</v>
      </c>
      <c r="F7">
        <v>4.2999999999999997E-2</v>
      </c>
      <c r="G7">
        <v>0.05</v>
      </c>
      <c r="H7" t="s">
        <v>78</v>
      </c>
    </row>
    <row r="8" spans="1:8" x14ac:dyDescent="0.3">
      <c r="A8" s="1">
        <v>45931</v>
      </c>
      <c r="B8" t="s">
        <v>40</v>
      </c>
      <c r="C8">
        <v>1</v>
      </c>
      <c r="D8">
        <v>152769</v>
      </c>
      <c r="E8">
        <v>8546</v>
      </c>
      <c r="F8">
        <v>5.6000000000000001E-2</v>
      </c>
      <c r="G8">
        <v>0.05</v>
      </c>
      <c r="H8" t="s">
        <v>79</v>
      </c>
    </row>
    <row r="9" spans="1:8" x14ac:dyDescent="0.3">
      <c r="A9" s="1">
        <v>45962</v>
      </c>
      <c r="B9" t="s">
        <v>40</v>
      </c>
      <c r="C9">
        <v>1</v>
      </c>
      <c r="D9">
        <v>216193</v>
      </c>
      <c r="E9">
        <v>23241</v>
      </c>
      <c r="F9">
        <v>0.107</v>
      </c>
      <c r="G9">
        <v>0.05</v>
      </c>
      <c r="H9" t="s">
        <v>79</v>
      </c>
    </row>
    <row r="10" spans="1:8" x14ac:dyDescent="0.3">
      <c r="A10" s="1">
        <v>45992</v>
      </c>
      <c r="B10" t="s">
        <v>40</v>
      </c>
      <c r="C10">
        <v>1</v>
      </c>
      <c r="D10">
        <v>355304</v>
      </c>
      <c r="E10">
        <v>5498</v>
      </c>
      <c r="F10">
        <v>1.4999999999999999E-2</v>
      </c>
      <c r="G10">
        <v>0.05</v>
      </c>
      <c r="H10" t="s">
        <v>78</v>
      </c>
    </row>
    <row r="11" spans="1:8" x14ac:dyDescent="0.3">
      <c r="A11" s="1">
        <v>46023</v>
      </c>
      <c r="B11" t="s">
        <v>40</v>
      </c>
      <c r="C11">
        <v>1</v>
      </c>
      <c r="D11">
        <v>83708</v>
      </c>
      <c r="E11">
        <v>38163</v>
      </c>
      <c r="F11">
        <v>0.45600000000000002</v>
      </c>
      <c r="G11">
        <v>0.05</v>
      </c>
      <c r="H11" t="s">
        <v>79</v>
      </c>
    </row>
    <row r="12" spans="1:8" x14ac:dyDescent="0.3">
      <c r="A12" s="1">
        <v>46054</v>
      </c>
      <c r="B12" t="s">
        <v>40</v>
      </c>
      <c r="C12">
        <v>1</v>
      </c>
      <c r="D12">
        <v>101267</v>
      </c>
      <c r="E12">
        <v>29018</v>
      </c>
      <c r="F12">
        <v>0.28699999999999998</v>
      </c>
      <c r="G12">
        <v>0.05</v>
      </c>
      <c r="H12" t="s">
        <v>79</v>
      </c>
    </row>
    <row r="13" spans="1:8" x14ac:dyDescent="0.3">
      <c r="A13" s="1">
        <v>46082</v>
      </c>
      <c r="B13" t="s">
        <v>40</v>
      </c>
      <c r="C13">
        <v>1</v>
      </c>
      <c r="D13">
        <v>95418</v>
      </c>
      <c r="E13">
        <v>30764</v>
      </c>
      <c r="F13">
        <v>0.32200000000000001</v>
      </c>
      <c r="G13">
        <v>0.05</v>
      </c>
      <c r="H13" t="s">
        <v>79</v>
      </c>
    </row>
    <row r="14" spans="1:8" x14ac:dyDescent="0.3">
      <c r="A14" s="1">
        <v>45748</v>
      </c>
      <c r="B14" t="s">
        <v>40</v>
      </c>
      <c r="C14">
        <v>2</v>
      </c>
      <c r="D14">
        <v>59664</v>
      </c>
      <c r="E14">
        <v>-30</v>
      </c>
      <c r="F14">
        <v>-1E-3</v>
      </c>
      <c r="G14">
        <v>0.05</v>
      </c>
      <c r="H14" t="s">
        <v>78</v>
      </c>
    </row>
    <row r="15" spans="1:8" x14ac:dyDescent="0.3">
      <c r="A15" s="1">
        <v>45778</v>
      </c>
      <c r="B15" t="s">
        <v>40</v>
      </c>
      <c r="C15">
        <v>2</v>
      </c>
      <c r="D15">
        <v>142434</v>
      </c>
      <c r="E15">
        <v>3432</v>
      </c>
      <c r="F15">
        <v>2.4E-2</v>
      </c>
      <c r="G15">
        <v>0.05</v>
      </c>
      <c r="H15" t="s">
        <v>78</v>
      </c>
    </row>
    <row r="16" spans="1:8" x14ac:dyDescent="0.3">
      <c r="A16" s="1">
        <v>45809</v>
      </c>
      <c r="B16" t="s">
        <v>40</v>
      </c>
      <c r="C16">
        <v>2</v>
      </c>
      <c r="D16">
        <v>209574</v>
      </c>
      <c r="E16">
        <v>282</v>
      </c>
      <c r="F16">
        <v>1E-3</v>
      </c>
      <c r="G16">
        <v>0.05</v>
      </c>
      <c r="H16" t="s">
        <v>78</v>
      </c>
    </row>
    <row r="17" spans="1:8" x14ac:dyDescent="0.3">
      <c r="A17" s="1">
        <v>45839</v>
      </c>
      <c r="B17" t="s">
        <v>40</v>
      </c>
      <c r="C17">
        <v>2</v>
      </c>
      <c r="D17">
        <v>247152</v>
      </c>
      <c r="E17">
        <v>24</v>
      </c>
      <c r="F17">
        <v>0</v>
      </c>
      <c r="G17">
        <v>0.05</v>
      </c>
      <c r="H17" t="s">
        <v>78</v>
      </c>
    </row>
    <row r="18" spans="1:8" x14ac:dyDescent="0.3">
      <c r="A18" s="1">
        <v>45870</v>
      </c>
      <c r="B18" t="s">
        <v>40</v>
      </c>
      <c r="C18">
        <v>2</v>
      </c>
      <c r="D18">
        <v>170958</v>
      </c>
      <c r="E18">
        <v>18</v>
      </c>
      <c r="F18">
        <v>0</v>
      </c>
      <c r="G18">
        <v>0.05</v>
      </c>
      <c r="H18" t="s">
        <v>78</v>
      </c>
    </row>
    <row r="19" spans="1:8" x14ac:dyDescent="0.3">
      <c r="A19" s="1">
        <v>45901</v>
      </c>
      <c r="B19" t="s">
        <v>40</v>
      </c>
      <c r="C19">
        <v>2</v>
      </c>
      <c r="D19">
        <v>151764</v>
      </c>
      <c r="E19">
        <v>96</v>
      </c>
      <c r="F19">
        <v>1E-3</v>
      </c>
      <c r="G19">
        <v>0.05</v>
      </c>
      <c r="H19" t="s">
        <v>78</v>
      </c>
    </row>
    <row r="20" spans="1:8" x14ac:dyDescent="0.3">
      <c r="A20" s="1">
        <v>45931</v>
      </c>
      <c r="B20" t="s">
        <v>40</v>
      </c>
      <c r="C20">
        <v>2</v>
      </c>
      <c r="D20">
        <v>64434</v>
      </c>
      <c r="E20">
        <v>570</v>
      </c>
      <c r="F20">
        <v>8.9999999999999993E-3</v>
      </c>
      <c r="G20">
        <v>0.05</v>
      </c>
      <c r="H20" t="s">
        <v>78</v>
      </c>
    </row>
    <row r="21" spans="1:8" x14ac:dyDescent="0.3">
      <c r="A21" s="1">
        <v>45962</v>
      </c>
      <c r="B21" t="s">
        <v>40</v>
      </c>
      <c r="C21">
        <v>2</v>
      </c>
      <c r="D21">
        <v>36330</v>
      </c>
      <c r="E21">
        <v>1104</v>
      </c>
      <c r="F21">
        <v>0.03</v>
      </c>
      <c r="G21">
        <v>0.05</v>
      </c>
      <c r="H21" t="s">
        <v>78</v>
      </c>
    </row>
    <row r="22" spans="1:8" x14ac:dyDescent="0.3">
      <c r="A22" s="1">
        <v>45992</v>
      </c>
      <c r="B22" t="s">
        <v>40</v>
      </c>
      <c r="C22">
        <v>2</v>
      </c>
      <c r="D22">
        <v>26292</v>
      </c>
      <c r="E22">
        <v>1638</v>
      </c>
      <c r="F22">
        <v>6.2E-2</v>
      </c>
      <c r="G22">
        <v>0.05</v>
      </c>
      <c r="H22" t="s">
        <v>79</v>
      </c>
    </row>
    <row r="23" spans="1:8" x14ac:dyDescent="0.3">
      <c r="A23" s="1">
        <v>46023</v>
      </c>
      <c r="B23" t="s">
        <v>40</v>
      </c>
      <c r="C23">
        <v>2</v>
      </c>
      <c r="D23">
        <v>28206</v>
      </c>
      <c r="E23">
        <v>528</v>
      </c>
      <c r="F23">
        <v>1.9E-2</v>
      </c>
      <c r="G23">
        <v>0.05</v>
      </c>
      <c r="H23" t="s">
        <v>78</v>
      </c>
    </row>
    <row r="24" spans="1:8" x14ac:dyDescent="0.3">
      <c r="A24" s="1">
        <v>46054</v>
      </c>
      <c r="B24" t="s">
        <v>40</v>
      </c>
      <c r="C24">
        <v>2</v>
      </c>
      <c r="D24">
        <v>24264</v>
      </c>
      <c r="E24">
        <v>1158</v>
      </c>
      <c r="F24">
        <v>4.8000000000000001E-2</v>
      </c>
      <c r="G24">
        <v>0.05</v>
      </c>
      <c r="H24" t="s">
        <v>78</v>
      </c>
    </row>
    <row r="25" spans="1:8" x14ac:dyDescent="0.3">
      <c r="A25" s="1">
        <v>46082</v>
      </c>
      <c r="B25" t="s">
        <v>40</v>
      </c>
      <c r="C25">
        <v>2</v>
      </c>
      <c r="D25">
        <v>36072</v>
      </c>
      <c r="E25">
        <v>810</v>
      </c>
      <c r="F25">
        <v>2.1999999999999999E-2</v>
      </c>
      <c r="G25">
        <v>0.05</v>
      </c>
      <c r="H25" t="s">
        <v>78</v>
      </c>
    </row>
    <row r="26" spans="1:8" x14ac:dyDescent="0.3">
      <c r="A26" s="1">
        <v>45748</v>
      </c>
      <c r="B26" t="s">
        <v>40</v>
      </c>
      <c r="C26">
        <v>3</v>
      </c>
      <c r="D26">
        <v>261840</v>
      </c>
      <c r="E26">
        <v>0</v>
      </c>
      <c r="F26">
        <v>0</v>
      </c>
      <c r="G26">
        <v>0.05</v>
      </c>
      <c r="H26" t="s">
        <v>78</v>
      </c>
    </row>
    <row r="27" spans="1:8" x14ac:dyDescent="0.3">
      <c r="A27" s="1">
        <v>45778</v>
      </c>
      <c r="B27" t="s">
        <v>40</v>
      </c>
      <c r="C27">
        <v>3</v>
      </c>
      <c r="D27">
        <v>579600</v>
      </c>
      <c r="E27">
        <v>0</v>
      </c>
      <c r="F27">
        <v>0</v>
      </c>
      <c r="G27">
        <v>0.05</v>
      </c>
      <c r="H27" t="s">
        <v>78</v>
      </c>
    </row>
    <row r="28" spans="1:8" x14ac:dyDescent="0.3">
      <c r="A28" s="1">
        <v>45809</v>
      </c>
      <c r="B28" t="s">
        <v>40</v>
      </c>
      <c r="C28">
        <v>3</v>
      </c>
      <c r="D28">
        <v>887940</v>
      </c>
      <c r="E28">
        <v>0</v>
      </c>
      <c r="F28">
        <v>0</v>
      </c>
      <c r="G28">
        <v>0.05</v>
      </c>
      <c r="H28" t="s">
        <v>78</v>
      </c>
    </row>
    <row r="29" spans="1:8" x14ac:dyDescent="0.3">
      <c r="A29" s="1">
        <v>45839</v>
      </c>
      <c r="B29" t="s">
        <v>40</v>
      </c>
      <c r="C29">
        <v>3</v>
      </c>
      <c r="D29">
        <v>1208880</v>
      </c>
      <c r="E29">
        <v>0</v>
      </c>
      <c r="F29">
        <v>0</v>
      </c>
      <c r="G29">
        <v>0.05</v>
      </c>
      <c r="H29" t="s">
        <v>78</v>
      </c>
    </row>
    <row r="30" spans="1:8" x14ac:dyDescent="0.3">
      <c r="A30" s="1">
        <v>45870</v>
      </c>
      <c r="B30" t="s">
        <v>40</v>
      </c>
      <c r="C30">
        <v>3</v>
      </c>
      <c r="D30">
        <v>834270</v>
      </c>
      <c r="E30">
        <v>0</v>
      </c>
      <c r="F30">
        <v>0</v>
      </c>
      <c r="G30">
        <v>0.05</v>
      </c>
      <c r="H30" t="s">
        <v>78</v>
      </c>
    </row>
    <row r="31" spans="1:8" x14ac:dyDescent="0.3">
      <c r="A31" s="1">
        <v>45901</v>
      </c>
      <c r="B31" t="s">
        <v>40</v>
      </c>
      <c r="C31">
        <v>3</v>
      </c>
      <c r="D31">
        <v>597360</v>
      </c>
      <c r="E31">
        <v>0</v>
      </c>
      <c r="F31">
        <v>0</v>
      </c>
      <c r="G31">
        <v>0.05</v>
      </c>
      <c r="H31" t="s">
        <v>78</v>
      </c>
    </row>
    <row r="32" spans="1:8" x14ac:dyDescent="0.3">
      <c r="A32" s="1">
        <v>45931</v>
      </c>
      <c r="B32" t="s">
        <v>40</v>
      </c>
      <c r="C32">
        <v>3</v>
      </c>
      <c r="D32">
        <v>237390</v>
      </c>
      <c r="E32">
        <v>0</v>
      </c>
      <c r="F32">
        <v>0</v>
      </c>
      <c r="G32">
        <v>0.05</v>
      </c>
      <c r="H32" t="s">
        <v>78</v>
      </c>
    </row>
    <row r="33" spans="1:8" x14ac:dyDescent="0.3">
      <c r="A33" s="1">
        <v>45962</v>
      </c>
      <c r="B33" t="s">
        <v>40</v>
      </c>
      <c r="C33">
        <v>3</v>
      </c>
      <c r="D33">
        <v>150810</v>
      </c>
      <c r="E33">
        <v>120</v>
      </c>
      <c r="F33">
        <v>1E-3</v>
      </c>
      <c r="G33">
        <v>0.05</v>
      </c>
      <c r="H33" t="s">
        <v>78</v>
      </c>
    </row>
    <row r="34" spans="1:8" x14ac:dyDescent="0.3">
      <c r="A34" s="1">
        <v>45992</v>
      </c>
      <c r="B34" t="s">
        <v>40</v>
      </c>
      <c r="C34">
        <v>3</v>
      </c>
      <c r="D34">
        <v>175080</v>
      </c>
      <c r="E34">
        <v>90</v>
      </c>
      <c r="F34">
        <v>1E-3</v>
      </c>
      <c r="G34">
        <v>0.05</v>
      </c>
      <c r="H34" t="s">
        <v>78</v>
      </c>
    </row>
    <row r="35" spans="1:8" x14ac:dyDescent="0.3">
      <c r="A35" s="1">
        <v>46023</v>
      </c>
      <c r="B35" t="s">
        <v>40</v>
      </c>
      <c r="C35">
        <v>3</v>
      </c>
      <c r="D35">
        <v>200040</v>
      </c>
      <c r="E35">
        <v>90</v>
      </c>
      <c r="F35">
        <v>0</v>
      </c>
      <c r="G35">
        <v>0.05</v>
      </c>
      <c r="H35" t="s">
        <v>78</v>
      </c>
    </row>
    <row r="36" spans="1:8" x14ac:dyDescent="0.3">
      <c r="A36" s="1">
        <v>46054</v>
      </c>
      <c r="B36" t="s">
        <v>40</v>
      </c>
      <c r="C36">
        <v>3</v>
      </c>
      <c r="D36">
        <v>155580</v>
      </c>
      <c r="E36">
        <v>30</v>
      </c>
      <c r="F36">
        <v>0</v>
      </c>
      <c r="G36">
        <v>0.05</v>
      </c>
      <c r="H36" t="s">
        <v>78</v>
      </c>
    </row>
    <row r="37" spans="1:8" x14ac:dyDescent="0.3">
      <c r="A37" s="1">
        <v>46082</v>
      </c>
      <c r="B37" t="s">
        <v>40</v>
      </c>
      <c r="C37">
        <v>3</v>
      </c>
      <c r="D37">
        <v>160590</v>
      </c>
      <c r="E37">
        <v>0</v>
      </c>
      <c r="F37">
        <v>0</v>
      </c>
      <c r="G37">
        <v>0.05</v>
      </c>
      <c r="H37" t="s">
        <v>78</v>
      </c>
    </row>
    <row r="38" spans="1:8" x14ac:dyDescent="0.3">
      <c r="A38" s="1">
        <v>45748</v>
      </c>
      <c r="B38" t="s">
        <v>40</v>
      </c>
      <c r="C38">
        <v>4</v>
      </c>
      <c r="D38">
        <v>261840</v>
      </c>
      <c r="E38">
        <v>2147</v>
      </c>
      <c r="F38">
        <v>8.0000000000000002E-3</v>
      </c>
      <c r="G38">
        <v>0.05</v>
      </c>
      <c r="H38" t="s">
        <v>78</v>
      </c>
    </row>
    <row r="39" spans="1:8" x14ac:dyDescent="0.3">
      <c r="A39" s="1">
        <v>45778</v>
      </c>
      <c r="B39" t="s">
        <v>40</v>
      </c>
      <c r="C39">
        <v>4</v>
      </c>
      <c r="D39">
        <v>579600</v>
      </c>
      <c r="E39">
        <v>18530</v>
      </c>
      <c r="F39">
        <v>3.2000000000000001E-2</v>
      </c>
      <c r="G39">
        <v>0.05</v>
      </c>
      <c r="H39" t="s">
        <v>78</v>
      </c>
    </row>
    <row r="40" spans="1:8" x14ac:dyDescent="0.3">
      <c r="A40" s="1">
        <v>45809</v>
      </c>
      <c r="B40" t="s">
        <v>40</v>
      </c>
      <c r="C40">
        <v>4</v>
      </c>
      <c r="D40">
        <v>887940</v>
      </c>
      <c r="E40">
        <v>23504</v>
      </c>
      <c r="F40">
        <v>2.5999999999999999E-2</v>
      </c>
      <c r="G40">
        <v>0.05</v>
      </c>
      <c r="H40" t="s">
        <v>78</v>
      </c>
    </row>
    <row r="41" spans="1:8" x14ac:dyDescent="0.3">
      <c r="A41" s="1">
        <v>45839</v>
      </c>
      <c r="B41" t="s">
        <v>40</v>
      </c>
      <c r="C41">
        <v>4</v>
      </c>
      <c r="D41">
        <v>1208880</v>
      </c>
      <c r="E41">
        <v>40661</v>
      </c>
      <c r="F41">
        <v>3.4000000000000002E-2</v>
      </c>
      <c r="G41">
        <v>0.05</v>
      </c>
      <c r="H41" t="s">
        <v>78</v>
      </c>
    </row>
    <row r="42" spans="1:8" x14ac:dyDescent="0.3">
      <c r="A42" s="1">
        <v>45870</v>
      </c>
      <c r="B42" t="s">
        <v>40</v>
      </c>
      <c r="C42">
        <v>4</v>
      </c>
      <c r="D42">
        <v>834270</v>
      </c>
      <c r="E42">
        <v>50600</v>
      </c>
      <c r="F42">
        <v>6.0999999999999999E-2</v>
      </c>
      <c r="G42">
        <v>0.05</v>
      </c>
      <c r="H42" t="s">
        <v>79</v>
      </c>
    </row>
    <row r="43" spans="1:8" x14ac:dyDescent="0.3">
      <c r="A43" s="1">
        <v>45901</v>
      </c>
      <c r="B43" t="s">
        <v>40</v>
      </c>
      <c r="C43">
        <v>4</v>
      </c>
      <c r="D43">
        <v>597360</v>
      </c>
      <c r="E43">
        <v>39477</v>
      </c>
      <c r="F43">
        <v>6.6000000000000003E-2</v>
      </c>
      <c r="G43">
        <v>0.05</v>
      </c>
      <c r="H43" t="s">
        <v>79</v>
      </c>
    </row>
    <row r="44" spans="1:8" x14ac:dyDescent="0.3">
      <c r="A44" s="1">
        <v>45931</v>
      </c>
      <c r="B44" t="s">
        <v>40</v>
      </c>
      <c r="C44">
        <v>4</v>
      </c>
      <c r="D44">
        <v>237390</v>
      </c>
      <c r="E44">
        <v>5479</v>
      </c>
      <c r="F44">
        <v>2.3E-2</v>
      </c>
      <c r="G44">
        <v>0.05</v>
      </c>
      <c r="H44" t="s">
        <v>78</v>
      </c>
    </row>
    <row r="45" spans="1:8" x14ac:dyDescent="0.3">
      <c r="A45" s="1">
        <v>45962</v>
      </c>
      <c r="B45" t="s">
        <v>40</v>
      </c>
      <c r="C45">
        <v>4</v>
      </c>
      <c r="D45">
        <v>150810</v>
      </c>
      <c r="E45">
        <v>3736</v>
      </c>
      <c r="F45">
        <v>2.5000000000000001E-2</v>
      </c>
      <c r="G45">
        <v>0.05</v>
      </c>
      <c r="H45" t="s">
        <v>78</v>
      </c>
    </row>
    <row r="46" spans="1:8" x14ac:dyDescent="0.3">
      <c r="A46" s="1">
        <v>45992</v>
      </c>
      <c r="B46" t="s">
        <v>40</v>
      </c>
      <c r="C46">
        <v>4</v>
      </c>
      <c r="D46">
        <v>175080</v>
      </c>
      <c r="E46">
        <v>4565</v>
      </c>
      <c r="F46">
        <v>2.5999999999999999E-2</v>
      </c>
      <c r="G46">
        <v>0.05</v>
      </c>
      <c r="H46" t="s">
        <v>78</v>
      </c>
    </row>
    <row r="47" spans="1:8" x14ac:dyDescent="0.3">
      <c r="A47" s="1">
        <v>46023</v>
      </c>
      <c r="B47" t="s">
        <v>40</v>
      </c>
      <c r="C47">
        <v>4</v>
      </c>
      <c r="D47">
        <v>200040</v>
      </c>
      <c r="E47">
        <v>5515</v>
      </c>
      <c r="F47">
        <v>2.8000000000000001E-2</v>
      </c>
      <c r="G47">
        <v>0.05</v>
      </c>
      <c r="H47" t="s">
        <v>78</v>
      </c>
    </row>
    <row r="48" spans="1:8" x14ac:dyDescent="0.3">
      <c r="A48" s="1">
        <v>46054</v>
      </c>
      <c r="B48" t="s">
        <v>40</v>
      </c>
      <c r="C48">
        <v>4</v>
      </c>
      <c r="D48">
        <v>155580</v>
      </c>
      <c r="E48">
        <v>1811</v>
      </c>
      <c r="F48">
        <v>1.2E-2</v>
      </c>
      <c r="G48">
        <v>0.05</v>
      </c>
      <c r="H48" t="s">
        <v>78</v>
      </c>
    </row>
    <row r="49" spans="1:8" x14ac:dyDescent="0.3">
      <c r="A49" s="1">
        <v>46082</v>
      </c>
      <c r="B49" t="s">
        <v>40</v>
      </c>
      <c r="C49">
        <v>4</v>
      </c>
      <c r="D49">
        <v>160590</v>
      </c>
      <c r="E49">
        <v>4348</v>
      </c>
      <c r="F49">
        <v>2.7E-2</v>
      </c>
      <c r="G49">
        <v>0.05</v>
      </c>
      <c r="H49" t="s">
        <v>78</v>
      </c>
    </row>
    <row r="50" spans="1:8" x14ac:dyDescent="0.3">
      <c r="A50" s="1">
        <v>45748</v>
      </c>
      <c r="B50" t="s">
        <v>40</v>
      </c>
      <c r="C50">
        <v>5</v>
      </c>
      <c r="D50">
        <v>110052</v>
      </c>
      <c r="E50">
        <v>1212</v>
      </c>
      <c r="F50">
        <v>1.0999999999999999E-2</v>
      </c>
      <c r="G50">
        <v>0.05</v>
      </c>
      <c r="H50" t="s">
        <v>78</v>
      </c>
    </row>
    <row r="51" spans="1:8" x14ac:dyDescent="0.3">
      <c r="A51" s="1">
        <v>45778</v>
      </c>
      <c r="B51" t="s">
        <v>40</v>
      </c>
      <c r="C51">
        <v>5</v>
      </c>
      <c r="D51">
        <v>224220</v>
      </c>
      <c r="E51">
        <v>672</v>
      </c>
      <c r="F51">
        <v>3.0000000000000001E-3</v>
      </c>
      <c r="G51">
        <v>0.05</v>
      </c>
      <c r="H51" t="s">
        <v>78</v>
      </c>
    </row>
    <row r="52" spans="1:8" x14ac:dyDescent="0.3">
      <c r="A52" s="1">
        <v>45809</v>
      </c>
      <c r="B52" t="s">
        <v>40</v>
      </c>
      <c r="C52">
        <v>5</v>
      </c>
      <c r="D52">
        <v>309600</v>
      </c>
      <c r="E52">
        <v>108</v>
      </c>
      <c r="F52">
        <v>0</v>
      </c>
      <c r="G52">
        <v>0.05</v>
      </c>
      <c r="H52" t="s">
        <v>78</v>
      </c>
    </row>
    <row r="53" spans="1:8" x14ac:dyDescent="0.3">
      <c r="A53" s="1">
        <v>45839</v>
      </c>
      <c r="B53" t="s">
        <v>40</v>
      </c>
      <c r="C53">
        <v>5</v>
      </c>
      <c r="D53">
        <v>484140</v>
      </c>
      <c r="E53">
        <v>312</v>
      </c>
      <c r="F53">
        <v>1E-3</v>
      </c>
      <c r="G53">
        <v>0.05</v>
      </c>
      <c r="H53" t="s">
        <v>78</v>
      </c>
    </row>
    <row r="54" spans="1:8" x14ac:dyDescent="0.3">
      <c r="A54" s="1">
        <v>45870</v>
      </c>
      <c r="B54" t="s">
        <v>40</v>
      </c>
      <c r="C54">
        <v>5</v>
      </c>
      <c r="D54">
        <v>358464</v>
      </c>
      <c r="E54">
        <v>3336</v>
      </c>
      <c r="F54">
        <v>8.9999999999999993E-3</v>
      </c>
      <c r="G54">
        <v>0.05</v>
      </c>
      <c r="H54" t="s">
        <v>78</v>
      </c>
    </row>
    <row r="55" spans="1:8" x14ac:dyDescent="0.3">
      <c r="A55" s="1">
        <v>45901</v>
      </c>
      <c r="B55" t="s">
        <v>40</v>
      </c>
      <c r="C55">
        <v>5</v>
      </c>
      <c r="D55">
        <v>304452</v>
      </c>
      <c r="E55">
        <v>1644</v>
      </c>
      <c r="F55">
        <v>5.0000000000000001E-3</v>
      </c>
      <c r="G55">
        <v>0.05</v>
      </c>
      <c r="H55" t="s">
        <v>78</v>
      </c>
    </row>
    <row r="56" spans="1:8" x14ac:dyDescent="0.3">
      <c r="A56" s="1">
        <v>45931</v>
      </c>
      <c r="B56" t="s">
        <v>40</v>
      </c>
      <c r="C56">
        <v>5</v>
      </c>
      <c r="D56">
        <v>130080</v>
      </c>
      <c r="E56">
        <v>19452</v>
      </c>
      <c r="F56">
        <v>0.15</v>
      </c>
      <c r="G56">
        <v>0.05</v>
      </c>
      <c r="H56" t="s">
        <v>79</v>
      </c>
    </row>
    <row r="57" spans="1:8" x14ac:dyDescent="0.3">
      <c r="A57" s="1">
        <v>45962</v>
      </c>
      <c r="B57" t="s">
        <v>40</v>
      </c>
      <c r="C57">
        <v>5</v>
      </c>
      <c r="D57">
        <v>109752</v>
      </c>
      <c r="E57">
        <v>13416</v>
      </c>
      <c r="F57">
        <v>0.122</v>
      </c>
      <c r="G57">
        <v>0.05</v>
      </c>
      <c r="H57" t="s">
        <v>79</v>
      </c>
    </row>
    <row r="58" spans="1:8" x14ac:dyDescent="0.3">
      <c r="A58" s="1">
        <v>45992</v>
      </c>
      <c r="B58" t="s">
        <v>40</v>
      </c>
      <c r="C58">
        <v>5</v>
      </c>
      <c r="D58">
        <v>119412</v>
      </c>
      <c r="E58">
        <v>9972</v>
      </c>
      <c r="F58">
        <v>8.4000000000000005E-2</v>
      </c>
      <c r="G58">
        <v>0.05</v>
      </c>
      <c r="H58" t="s">
        <v>79</v>
      </c>
    </row>
    <row r="59" spans="1:8" x14ac:dyDescent="0.3">
      <c r="A59" s="1">
        <v>46023</v>
      </c>
      <c r="B59" t="s">
        <v>40</v>
      </c>
      <c r="C59">
        <v>5</v>
      </c>
      <c r="D59">
        <v>137700</v>
      </c>
      <c r="E59">
        <v>9372</v>
      </c>
      <c r="F59">
        <v>6.8000000000000005E-2</v>
      </c>
      <c r="G59">
        <v>0.05</v>
      </c>
      <c r="H59" t="s">
        <v>79</v>
      </c>
    </row>
    <row r="60" spans="1:8" x14ac:dyDescent="0.3">
      <c r="A60" s="1">
        <v>46054</v>
      </c>
      <c r="B60" t="s">
        <v>40</v>
      </c>
      <c r="C60">
        <v>5</v>
      </c>
      <c r="D60">
        <v>89196</v>
      </c>
      <c r="E60">
        <v>12444</v>
      </c>
      <c r="F60">
        <v>0.14000000000000001</v>
      </c>
      <c r="G60">
        <v>0.05</v>
      </c>
      <c r="H60" t="s">
        <v>79</v>
      </c>
    </row>
    <row r="61" spans="1:8" x14ac:dyDescent="0.3">
      <c r="A61" s="1">
        <v>46082</v>
      </c>
      <c r="B61" t="s">
        <v>40</v>
      </c>
      <c r="C61">
        <v>5</v>
      </c>
      <c r="D61">
        <v>79152</v>
      </c>
      <c r="E61">
        <v>7920</v>
      </c>
      <c r="F61">
        <v>0.1</v>
      </c>
      <c r="G61">
        <v>0.05</v>
      </c>
      <c r="H61" t="s">
        <v>79</v>
      </c>
    </row>
    <row r="62" spans="1:8" x14ac:dyDescent="0.3">
      <c r="A62" s="1">
        <v>45748</v>
      </c>
      <c r="B62" t="s">
        <v>40</v>
      </c>
      <c r="C62">
        <v>6</v>
      </c>
      <c r="D62">
        <v>323682</v>
      </c>
      <c r="E62">
        <v>1063</v>
      </c>
      <c r="F62">
        <v>3.0000000000000001E-3</v>
      </c>
      <c r="G62">
        <v>0.05</v>
      </c>
      <c r="H62" t="s">
        <v>78</v>
      </c>
    </row>
    <row r="63" spans="1:8" x14ac:dyDescent="0.3">
      <c r="A63" s="1">
        <v>45778</v>
      </c>
      <c r="B63" t="s">
        <v>40</v>
      </c>
      <c r="C63">
        <v>6</v>
      </c>
      <c r="D63">
        <v>255734</v>
      </c>
      <c r="E63">
        <v>1950</v>
      </c>
      <c r="F63">
        <v>8.0000000000000002E-3</v>
      </c>
      <c r="G63">
        <v>0.05</v>
      </c>
      <c r="H63" t="s">
        <v>78</v>
      </c>
    </row>
    <row r="64" spans="1:8" x14ac:dyDescent="0.3">
      <c r="A64" s="1">
        <v>45809</v>
      </c>
      <c r="B64" t="s">
        <v>40</v>
      </c>
      <c r="C64">
        <v>6</v>
      </c>
      <c r="D64">
        <v>517407</v>
      </c>
      <c r="E64">
        <v>1164</v>
      </c>
      <c r="F64">
        <v>2E-3</v>
      </c>
      <c r="G64">
        <v>0.05</v>
      </c>
      <c r="H64" t="s">
        <v>78</v>
      </c>
    </row>
    <row r="65" spans="1:8" x14ac:dyDescent="0.3">
      <c r="A65" s="1">
        <v>45839</v>
      </c>
      <c r="B65" t="s">
        <v>40</v>
      </c>
      <c r="C65">
        <v>6</v>
      </c>
      <c r="D65">
        <v>480028</v>
      </c>
      <c r="E65">
        <v>149</v>
      </c>
      <c r="F65">
        <v>0</v>
      </c>
      <c r="G65">
        <v>0.05</v>
      </c>
      <c r="H65" t="s">
        <v>78</v>
      </c>
    </row>
    <row r="66" spans="1:8" x14ac:dyDescent="0.3">
      <c r="A66" s="1">
        <v>45870</v>
      </c>
      <c r="B66" t="s">
        <v>40</v>
      </c>
      <c r="C66">
        <v>6</v>
      </c>
      <c r="D66">
        <v>373756</v>
      </c>
      <c r="E66">
        <v>468</v>
      </c>
      <c r="F66">
        <v>1E-3</v>
      </c>
      <c r="G66">
        <v>0.05</v>
      </c>
      <c r="H66" t="s">
        <v>78</v>
      </c>
    </row>
    <row r="67" spans="1:8" x14ac:dyDescent="0.3">
      <c r="A67" s="1">
        <v>45901</v>
      </c>
      <c r="B67" t="s">
        <v>40</v>
      </c>
      <c r="C67">
        <v>6</v>
      </c>
      <c r="D67">
        <v>276438</v>
      </c>
      <c r="E67">
        <v>973</v>
      </c>
      <c r="F67">
        <v>4.0000000000000001E-3</v>
      </c>
      <c r="G67">
        <v>0.05</v>
      </c>
      <c r="H67" t="s">
        <v>78</v>
      </c>
    </row>
    <row r="68" spans="1:8" x14ac:dyDescent="0.3">
      <c r="A68" s="1">
        <v>45931</v>
      </c>
      <c r="B68" t="s">
        <v>40</v>
      </c>
      <c r="C68">
        <v>6</v>
      </c>
      <c r="D68">
        <v>88630</v>
      </c>
      <c r="E68">
        <v>5971</v>
      </c>
      <c r="F68">
        <v>6.7000000000000004E-2</v>
      </c>
      <c r="G68">
        <v>0.05</v>
      </c>
      <c r="H68" t="s">
        <v>79</v>
      </c>
    </row>
    <row r="69" spans="1:8" x14ac:dyDescent="0.3">
      <c r="A69" s="1">
        <v>45962</v>
      </c>
      <c r="B69" t="s">
        <v>40</v>
      </c>
      <c r="C69">
        <v>6</v>
      </c>
      <c r="D69">
        <v>73745</v>
      </c>
      <c r="E69">
        <v>3639</v>
      </c>
      <c r="F69">
        <v>4.9000000000000002E-2</v>
      </c>
      <c r="G69">
        <v>0.05</v>
      </c>
      <c r="H69" t="s">
        <v>78</v>
      </c>
    </row>
    <row r="70" spans="1:8" x14ac:dyDescent="0.3">
      <c r="A70" s="1">
        <v>45992</v>
      </c>
      <c r="B70" t="s">
        <v>40</v>
      </c>
      <c r="C70">
        <v>6</v>
      </c>
      <c r="D70">
        <v>82779</v>
      </c>
      <c r="E70">
        <v>2021</v>
      </c>
      <c r="F70">
        <v>2.4E-2</v>
      </c>
      <c r="G70">
        <v>0.05</v>
      </c>
      <c r="H70" t="s">
        <v>78</v>
      </c>
    </row>
    <row r="71" spans="1:8" x14ac:dyDescent="0.3">
      <c r="A71" s="1">
        <v>46023</v>
      </c>
      <c r="B71" t="s">
        <v>40</v>
      </c>
      <c r="C71">
        <v>6</v>
      </c>
      <c r="D71">
        <v>68041</v>
      </c>
      <c r="E71">
        <v>3193</v>
      </c>
      <c r="F71">
        <v>4.7E-2</v>
      </c>
      <c r="G71">
        <v>0.05</v>
      </c>
      <c r="H71" t="s">
        <v>78</v>
      </c>
    </row>
    <row r="72" spans="1:8" x14ac:dyDescent="0.3">
      <c r="A72" s="1">
        <v>46054</v>
      </c>
      <c r="B72" t="s">
        <v>40</v>
      </c>
      <c r="C72">
        <v>6</v>
      </c>
      <c r="D72">
        <v>58988</v>
      </c>
      <c r="E72">
        <v>4657</v>
      </c>
      <c r="F72">
        <v>7.9000000000000001E-2</v>
      </c>
      <c r="G72">
        <v>0.05</v>
      </c>
      <c r="H72" t="s">
        <v>79</v>
      </c>
    </row>
    <row r="73" spans="1:8" x14ac:dyDescent="0.3">
      <c r="A73" s="1">
        <v>46082</v>
      </c>
      <c r="B73" t="s">
        <v>40</v>
      </c>
      <c r="C73">
        <v>6</v>
      </c>
      <c r="D73">
        <v>145516</v>
      </c>
      <c r="E73">
        <v>4159</v>
      </c>
      <c r="F73">
        <v>2.9000000000000001E-2</v>
      </c>
      <c r="G73">
        <v>0.05</v>
      </c>
      <c r="H73" t="s">
        <v>78</v>
      </c>
    </row>
    <row r="74" spans="1:8" x14ac:dyDescent="0.3">
      <c r="A74" s="1">
        <v>45748</v>
      </c>
      <c r="B74" t="s">
        <v>40</v>
      </c>
      <c r="C74">
        <v>7</v>
      </c>
      <c r="D74">
        <v>207898</v>
      </c>
      <c r="E74">
        <v>3623</v>
      </c>
      <c r="F74">
        <v>1.7000000000000001E-2</v>
      </c>
      <c r="G74">
        <v>0.05</v>
      </c>
      <c r="H74" t="s">
        <v>78</v>
      </c>
    </row>
    <row r="75" spans="1:8" x14ac:dyDescent="0.3">
      <c r="A75" s="1">
        <v>45778</v>
      </c>
      <c r="B75" t="s">
        <v>40</v>
      </c>
      <c r="C75">
        <v>7</v>
      </c>
      <c r="D75">
        <v>286144</v>
      </c>
      <c r="E75">
        <v>3562</v>
      </c>
      <c r="F75">
        <v>1.2E-2</v>
      </c>
      <c r="G75">
        <v>0.05</v>
      </c>
      <c r="H75" t="s">
        <v>78</v>
      </c>
    </row>
    <row r="76" spans="1:8" x14ac:dyDescent="0.3">
      <c r="A76" s="1">
        <v>45809</v>
      </c>
      <c r="B76" t="s">
        <v>40</v>
      </c>
      <c r="C76">
        <v>7</v>
      </c>
      <c r="D76">
        <v>694213</v>
      </c>
      <c r="E76">
        <v>1082</v>
      </c>
      <c r="F76">
        <v>2E-3</v>
      </c>
      <c r="G76">
        <v>0.05</v>
      </c>
      <c r="H76" t="s">
        <v>78</v>
      </c>
    </row>
    <row r="77" spans="1:8" x14ac:dyDescent="0.3">
      <c r="A77" s="1">
        <v>45839</v>
      </c>
      <c r="B77" t="s">
        <v>40</v>
      </c>
      <c r="C77">
        <v>7</v>
      </c>
      <c r="D77">
        <v>864747</v>
      </c>
      <c r="E77">
        <v>228</v>
      </c>
      <c r="F77">
        <v>0</v>
      </c>
      <c r="G77">
        <v>0.05</v>
      </c>
      <c r="H77" t="s">
        <v>78</v>
      </c>
    </row>
    <row r="78" spans="1:8" x14ac:dyDescent="0.3">
      <c r="A78" s="1">
        <v>45870</v>
      </c>
      <c r="B78" t="s">
        <v>40</v>
      </c>
      <c r="C78">
        <v>7</v>
      </c>
      <c r="D78">
        <v>537907</v>
      </c>
      <c r="E78">
        <v>1279</v>
      </c>
      <c r="F78">
        <v>2E-3</v>
      </c>
      <c r="G78">
        <v>0.05</v>
      </c>
      <c r="H78" t="s">
        <v>78</v>
      </c>
    </row>
    <row r="79" spans="1:8" x14ac:dyDescent="0.3">
      <c r="A79" s="1">
        <v>45901</v>
      </c>
      <c r="B79" t="s">
        <v>40</v>
      </c>
      <c r="C79">
        <v>7</v>
      </c>
      <c r="D79">
        <v>337010</v>
      </c>
      <c r="E79">
        <v>2186</v>
      </c>
      <c r="F79">
        <v>6.0000000000000001E-3</v>
      </c>
      <c r="G79">
        <v>0.05</v>
      </c>
      <c r="H79" t="s">
        <v>78</v>
      </c>
    </row>
    <row r="80" spans="1:8" x14ac:dyDescent="0.3">
      <c r="A80" s="1">
        <v>45931</v>
      </c>
      <c r="B80" t="s">
        <v>40</v>
      </c>
      <c r="C80">
        <v>7</v>
      </c>
      <c r="D80">
        <v>239036</v>
      </c>
      <c r="E80">
        <v>1305</v>
      </c>
      <c r="F80">
        <v>5.0000000000000001E-3</v>
      </c>
      <c r="G80">
        <v>0.05</v>
      </c>
      <c r="H80" t="s">
        <v>78</v>
      </c>
    </row>
    <row r="81" spans="1:8" x14ac:dyDescent="0.3">
      <c r="A81" s="1">
        <v>45962</v>
      </c>
      <c r="B81" t="s">
        <v>40</v>
      </c>
      <c r="C81">
        <v>7</v>
      </c>
      <c r="D81">
        <v>230110</v>
      </c>
      <c r="E81">
        <v>1721</v>
      </c>
      <c r="F81">
        <v>7.0000000000000001E-3</v>
      </c>
      <c r="G81">
        <v>0.05</v>
      </c>
      <c r="H81" t="s">
        <v>78</v>
      </c>
    </row>
    <row r="82" spans="1:8" x14ac:dyDescent="0.3">
      <c r="A82" s="1">
        <v>45992</v>
      </c>
      <c r="B82" t="s">
        <v>40</v>
      </c>
      <c r="C82">
        <v>7</v>
      </c>
      <c r="D82">
        <v>251404</v>
      </c>
      <c r="E82">
        <v>750</v>
      </c>
      <c r="F82">
        <v>3.0000000000000001E-3</v>
      </c>
      <c r="G82">
        <v>0.05</v>
      </c>
      <c r="H82" t="s">
        <v>78</v>
      </c>
    </row>
    <row r="83" spans="1:8" x14ac:dyDescent="0.3">
      <c r="A83" s="1">
        <v>46023</v>
      </c>
      <c r="B83" t="s">
        <v>40</v>
      </c>
      <c r="C83">
        <v>7</v>
      </c>
      <c r="D83">
        <v>155774</v>
      </c>
      <c r="E83">
        <v>2533</v>
      </c>
      <c r="F83">
        <v>1.6E-2</v>
      </c>
      <c r="G83">
        <v>0.05</v>
      </c>
      <c r="H83" t="s">
        <v>78</v>
      </c>
    </row>
    <row r="84" spans="1:8" x14ac:dyDescent="0.3">
      <c r="A84" s="1">
        <v>46054</v>
      </c>
      <c r="B84" t="s">
        <v>40</v>
      </c>
      <c r="C84">
        <v>7</v>
      </c>
      <c r="D84">
        <v>101237</v>
      </c>
      <c r="E84">
        <v>2291</v>
      </c>
      <c r="F84">
        <v>2.3E-2</v>
      </c>
      <c r="G84">
        <v>0.05</v>
      </c>
      <c r="H84" t="s">
        <v>78</v>
      </c>
    </row>
    <row r="85" spans="1:8" x14ac:dyDescent="0.3">
      <c r="A85" s="1">
        <v>46082</v>
      </c>
      <c r="B85" t="s">
        <v>40</v>
      </c>
      <c r="C85">
        <v>7</v>
      </c>
      <c r="D85">
        <v>150263</v>
      </c>
      <c r="E85">
        <v>3729</v>
      </c>
      <c r="F85">
        <v>2.5000000000000001E-2</v>
      </c>
      <c r="G85">
        <v>0.05</v>
      </c>
      <c r="H85" t="s">
        <v>78</v>
      </c>
    </row>
    <row r="86" spans="1:8" x14ac:dyDescent="0.3">
      <c r="A86" s="1">
        <v>45748</v>
      </c>
      <c r="B86" t="s">
        <v>40</v>
      </c>
      <c r="C86">
        <v>8</v>
      </c>
      <c r="D86">
        <v>441827</v>
      </c>
      <c r="E86">
        <v>27216</v>
      </c>
      <c r="F86">
        <v>6.2E-2</v>
      </c>
      <c r="G86">
        <v>0.05</v>
      </c>
      <c r="H86" t="s">
        <v>79</v>
      </c>
    </row>
    <row r="87" spans="1:8" x14ac:dyDescent="0.3">
      <c r="A87" s="1">
        <v>45778</v>
      </c>
      <c r="B87" t="s">
        <v>40</v>
      </c>
      <c r="C87">
        <v>8</v>
      </c>
      <c r="D87">
        <v>626816</v>
      </c>
      <c r="E87">
        <v>59907</v>
      </c>
      <c r="F87">
        <v>9.6000000000000002E-2</v>
      </c>
      <c r="G87">
        <v>0.05</v>
      </c>
      <c r="H87" t="s">
        <v>79</v>
      </c>
    </row>
    <row r="88" spans="1:8" x14ac:dyDescent="0.3">
      <c r="A88" s="1">
        <v>45809</v>
      </c>
      <c r="B88" t="s">
        <v>40</v>
      </c>
      <c r="C88">
        <v>8</v>
      </c>
      <c r="D88">
        <v>1655025</v>
      </c>
      <c r="E88">
        <v>285745</v>
      </c>
      <c r="F88">
        <v>0.17299999999999999</v>
      </c>
      <c r="G88">
        <v>0.05</v>
      </c>
      <c r="H88" t="s">
        <v>79</v>
      </c>
    </row>
    <row r="89" spans="1:8" x14ac:dyDescent="0.3">
      <c r="A89" s="1">
        <v>45839</v>
      </c>
      <c r="B89" t="s">
        <v>40</v>
      </c>
      <c r="C89">
        <v>8</v>
      </c>
      <c r="D89">
        <v>1651751</v>
      </c>
      <c r="E89">
        <v>292428</v>
      </c>
      <c r="F89">
        <v>0.17699999999999999</v>
      </c>
      <c r="G89">
        <v>0.05</v>
      </c>
      <c r="H89" t="s">
        <v>79</v>
      </c>
    </row>
    <row r="90" spans="1:8" x14ac:dyDescent="0.3">
      <c r="A90" s="1">
        <v>45870</v>
      </c>
      <c r="B90" t="s">
        <v>40</v>
      </c>
      <c r="C90">
        <v>8</v>
      </c>
      <c r="D90">
        <v>993951</v>
      </c>
      <c r="E90">
        <v>98211</v>
      </c>
      <c r="F90">
        <v>9.9000000000000005E-2</v>
      </c>
      <c r="G90">
        <v>0.05</v>
      </c>
      <c r="H90" t="s">
        <v>79</v>
      </c>
    </row>
    <row r="91" spans="1:8" x14ac:dyDescent="0.3">
      <c r="A91" s="1">
        <v>45901</v>
      </c>
      <c r="B91" t="s">
        <v>40</v>
      </c>
      <c r="C91">
        <v>8</v>
      </c>
      <c r="D91">
        <v>691147</v>
      </c>
      <c r="E91">
        <v>47634</v>
      </c>
      <c r="F91">
        <v>6.9000000000000006E-2</v>
      </c>
      <c r="G91">
        <v>0.05</v>
      </c>
      <c r="H91" t="s">
        <v>79</v>
      </c>
    </row>
    <row r="92" spans="1:8" x14ac:dyDescent="0.3">
      <c r="A92" s="1">
        <v>45931</v>
      </c>
      <c r="B92" t="s">
        <v>40</v>
      </c>
      <c r="C92">
        <v>8</v>
      </c>
      <c r="D92">
        <v>380298</v>
      </c>
      <c r="E92">
        <v>8646</v>
      </c>
      <c r="F92">
        <v>2.3E-2</v>
      </c>
      <c r="G92">
        <v>0.05</v>
      </c>
      <c r="H92" t="s">
        <v>78</v>
      </c>
    </row>
    <row r="93" spans="1:8" x14ac:dyDescent="0.3">
      <c r="A93" s="1">
        <v>45962</v>
      </c>
      <c r="B93" t="s">
        <v>40</v>
      </c>
      <c r="C93">
        <v>8</v>
      </c>
      <c r="D93">
        <v>590454</v>
      </c>
      <c r="E93">
        <v>29935</v>
      </c>
      <c r="F93">
        <v>5.0999999999999997E-2</v>
      </c>
      <c r="G93">
        <v>0.05</v>
      </c>
      <c r="H93" t="s">
        <v>79</v>
      </c>
    </row>
    <row r="94" spans="1:8" x14ac:dyDescent="0.3">
      <c r="A94" s="1">
        <v>45992</v>
      </c>
      <c r="B94" t="s">
        <v>40</v>
      </c>
      <c r="C94">
        <v>8</v>
      </c>
      <c r="D94">
        <v>753687</v>
      </c>
      <c r="E94">
        <v>28840</v>
      </c>
      <c r="F94">
        <v>3.7999999999999999E-2</v>
      </c>
      <c r="G94">
        <v>0.05</v>
      </c>
      <c r="H94" t="s">
        <v>78</v>
      </c>
    </row>
    <row r="95" spans="1:8" x14ac:dyDescent="0.3">
      <c r="A95" s="1">
        <v>46023</v>
      </c>
      <c r="B95" t="s">
        <v>40</v>
      </c>
      <c r="C95">
        <v>8</v>
      </c>
      <c r="D95">
        <v>282805</v>
      </c>
      <c r="E95">
        <v>100791</v>
      </c>
      <c r="F95">
        <v>0.35599999999999998</v>
      </c>
      <c r="G95">
        <v>0.05</v>
      </c>
      <c r="H95" t="s">
        <v>79</v>
      </c>
    </row>
    <row r="96" spans="1:8" x14ac:dyDescent="0.3">
      <c r="A96" s="1">
        <v>46054</v>
      </c>
      <c r="B96" t="s">
        <v>40</v>
      </c>
      <c r="C96">
        <v>8</v>
      </c>
      <c r="D96">
        <v>232502</v>
      </c>
      <c r="E96">
        <v>72775</v>
      </c>
      <c r="F96">
        <v>0.313</v>
      </c>
      <c r="G96">
        <v>0.05</v>
      </c>
      <c r="H96" t="s">
        <v>79</v>
      </c>
    </row>
    <row r="97" spans="1:8" x14ac:dyDescent="0.3">
      <c r="A97" s="1">
        <v>46082</v>
      </c>
      <c r="B97" t="s">
        <v>40</v>
      </c>
      <c r="C97">
        <v>8</v>
      </c>
      <c r="D97">
        <v>360310</v>
      </c>
      <c r="E97">
        <v>41201</v>
      </c>
      <c r="F97">
        <v>0.114</v>
      </c>
      <c r="G97">
        <v>0.05</v>
      </c>
      <c r="H97" t="s">
        <v>79</v>
      </c>
    </row>
    <row r="98" spans="1:8" x14ac:dyDescent="0.3">
      <c r="A98" s="1">
        <v>45748</v>
      </c>
      <c r="B98" t="s">
        <v>40</v>
      </c>
      <c r="C98">
        <v>9</v>
      </c>
      <c r="D98">
        <v>137022</v>
      </c>
      <c r="E98">
        <v>7500</v>
      </c>
      <c r="F98">
        <v>5.5E-2</v>
      </c>
      <c r="G98">
        <v>0.05</v>
      </c>
      <c r="H98" t="s">
        <v>79</v>
      </c>
    </row>
    <row r="99" spans="1:8" x14ac:dyDescent="0.3">
      <c r="A99" s="1">
        <v>45778</v>
      </c>
      <c r="B99" t="s">
        <v>40</v>
      </c>
      <c r="C99">
        <v>9</v>
      </c>
      <c r="D99">
        <v>264196</v>
      </c>
      <c r="E99">
        <v>3300</v>
      </c>
      <c r="F99">
        <v>1.2E-2</v>
      </c>
      <c r="G99">
        <v>0.05</v>
      </c>
      <c r="H99" t="s">
        <v>78</v>
      </c>
    </row>
    <row r="100" spans="1:8" x14ac:dyDescent="0.3">
      <c r="A100" s="1">
        <v>45809</v>
      </c>
      <c r="B100" t="s">
        <v>40</v>
      </c>
      <c r="C100">
        <v>9</v>
      </c>
      <c r="D100">
        <v>423789</v>
      </c>
      <c r="E100">
        <v>300</v>
      </c>
      <c r="F100">
        <v>1E-3</v>
      </c>
      <c r="G100">
        <v>0.05</v>
      </c>
      <c r="H100" t="s">
        <v>78</v>
      </c>
    </row>
    <row r="101" spans="1:8" x14ac:dyDescent="0.3">
      <c r="A101" s="1">
        <v>45839</v>
      </c>
      <c r="B101" t="s">
        <v>40</v>
      </c>
      <c r="C101">
        <v>9</v>
      </c>
      <c r="D101">
        <v>615882</v>
      </c>
      <c r="E101">
        <v>0</v>
      </c>
      <c r="F101">
        <v>0</v>
      </c>
      <c r="G101">
        <v>0.05</v>
      </c>
      <c r="H101" t="s">
        <v>78</v>
      </c>
    </row>
    <row r="102" spans="1:8" x14ac:dyDescent="0.3">
      <c r="A102" s="1">
        <v>45870</v>
      </c>
      <c r="B102" t="s">
        <v>40</v>
      </c>
      <c r="C102">
        <v>9</v>
      </c>
      <c r="D102">
        <v>508221</v>
      </c>
      <c r="E102">
        <v>1500</v>
      </c>
      <c r="F102">
        <v>3.0000000000000001E-3</v>
      </c>
      <c r="G102">
        <v>0.05</v>
      </c>
      <c r="H102" t="s">
        <v>78</v>
      </c>
    </row>
    <row r="103" spans="1:8" x14ac:dyDescent="0.3">
      <c r="A103" s="1">
        <v>45901</v>
      </c>
      <c r="B103" t="s">
        <v>40</v>
      </c>
      <c r="C103">
        <v>9</v>
      </c>
      <c r="D103">
        <v>315109</v>
      </c>
      <c r="E103">
        <v>900</v>
      </c>
      <c r="F103">
        <v>3.0000000000000001E-3</v>
      </c>
      <c r="G103">
        <v>0.05</v>
      </c>
      <c r="H103" t="s">
        <v>78</v>
      </c>
    </row>
    <row r="104" spans="1:8" x14ac:dyDescent="0.3">
      <c r="A104" s="1">
        <v>45931</v>
      </c>
      <c r="B104" t="s">
        <v>40</v>
      </c>
      <c r="C104">
        <v>9</v>
      </c>
      <c r="D104">
        <v>227708</v>
      </c>
      <c r="E104">
        <v>3900</v>
      </c>
      <c r="F104">
        <v>1.7000000000000001E-2</v>
      </c>
      <c r="G104">
        <v>0.05</v>
      </c>
      <c r="H104" t="s">
        <v>78</v>
      </c>
    </row>
    <row r="105" spans="1:8" x14ac:dyDescent="0.3">
      <c r="A105" s="1">
        <v>45962</v>
      </c>
      <c r="B105" t="s">
        <v>40</v>
      </c>
      <c r="C105">
        <v>9</v>
      </c>
      <c r="D105">
        <v>191891</v>
      </c>
      <c r="E105">
        <v>2400</v>
      </c>
      <c r="F105">
        <v>1.2999999999999999E-2</v>
      </c>
      <c r="G105">
        <v>0.05</v>
      </c>
      <c r="H105" t="s">
        <v>78</v>
      </c>
    </row>
    <row r="106" spans="1:8" x14ac:dyDescent="0.3">
      <c r="A106" s="1">
        <v>45992</v>
      </c>
      <c r="B106" t="s">
        <v>40</v>
      </c>
      <c r="C106">
        <v>9</v>
      </c>
      <c r="D106">
        <v>250326</v>
      </c>
      <c r="E106">
        <v>2100</v>
      </c>
      <c r="F106">
        <v>8.0000000000000002E-3</v>
      </c>
      <c r="G106">
        <v>0.05</v>
      </c>
      <c r="H106" t="s">
        <v>78</v>
      </c>
    </row>
    <row r="107" spans="1:8" x14ac:dyDescent="0.3">
      <c r="A107" s="1">
        <v>46023</v>
      </c>
      <c r="B107" t="s">
        <v>40</v>
      </c>
      <c r="C107">
        <v>9</v>
      </c>
      <c r="D107">
        <v>114966</v>
      </c>
      <c r="E107">
        <v>4200</v>
      </c>
      <c r="F107">
        <v>3.6999999999999998E-2</v>
      </c>
      <c r="G107">
        <v>0.05</v>
      </c>
      <c r="H107" t="s">
        <v>78</v>
      </c>
    </row>
    <row r="108" spans="1:8" x14ac:dyDescent="0.3">
      <c r="A108" s="1">
        <v>46054</v>
      </c>
      <c r="B108" t="s">
        <v>40</v>
      </c>
      <c r="C108">
        <v>9</v>
      </c>
      <c r="D108">
        <v>101644</v>
      </c>
      <c r="E108">
        <v>5700</v>
      </c>
      <c r="F108">
        <v>5.6000000000000001E-2</v>
      </c>
      <c r="G108">
        <v>0.05</v>
      </c>
      <c r="H108" t="s">
        <v>79</v>
      </c>
    </row>
    <row r="109" spans="1:8" x14ac:dyDescent="0.3">
      <c r="A109" s="1">
        <v>46082</v>
      </c>
      <c r="B109" t="s">
        <v>40</v>
      </c>
      <c r="C109">
        <v>9</v>
      </c>
      <c r="D109">
        <v>94005</v>
      </c>
      <c r="E109">
        <v>9300</v>
      </c>
      <c r="F109">
        <v>9.9000000000000005E-2</v>
      </c>
      <c r="G109">
        <v>0.05</v>
      </c>
      <c r="H109" t="s">
        <v>79</v>
      </c>
    </row>
    <row r="110" spans="1:8" x14ac:dyDescent="0.3">
      <c r="A110" s="1">
        <v>45748</v>
      </c>
      <c r="B110" t="s">
        <v>40</v>
      </c>
      <c r="C110">
        <v>10</v>
      </c>
      <c r="D110">
        <v>250800</v>
      </c>
      <c r="E110">
        <v>195</v>
      </c>
      <c r="F110">
        <v>1E-3</v>
      </c>
      <c r="G110">
        <v>0.05</v>
      </c>
      <c r="H110" t="s">
        <v>78</v>
      </c>
    </row>
    <row r="111" spans="1:8" x14ac:dyDescent="0.3">
      <c r="A111" s="1">
        <v>45778</v>
      </c>
      <c r="B111" t="s">
        <v>40</v>
      </c>
      <c r="C111">
        <v>10</v>
      </c>
      <c r="D111">
        <v>695400</v>
      </c>
      <c r="E111">
        <v>297</v>
      </c>
      <c r="F111">
        <v>0</v>
      </c>
      <c r="G111">
        <v>0.05</v>
      </c>
      <c r="H111" t="s">
        <v>78</v>
      </c>
    </row>
    <row r="112" spans="1:8" x14ac:dyDescent="0.3">
      <c r="A112" s="1">
        <v>45809</v>
      </c>
      <c r="B112" t="s">
        <v>40</v>
      </c>
      <c r="C112">
        <v>10</v>
      </c>
      <c r="D112">
        <v>1079100</v>
      </c>
      <c r="E112">
        <v>126</v>
      </c>
      <c r="F112">
        <v>0</v>
      </c>
      <c r="G112">
        <v>0.05</v>
      </c>
      <c r="H112" t="s">
        <v>78</v>
      </c>
    </row>
    <row r="113" spans="1:8" x14ac:dyDescent="0.3">
      <c r="A113" s="1">
        <v>45839</v>
      </c>
      <c r="B113" t="s">
        <v>40</v>
      </c>
      <c r="C113">
        <v>10</v>
      </c>
      <c r="D113">
        <v>1250700</v>
      </c>
      <c r="E113">
        <v>8</v>
      </c>
      <c r="F113">
        <v>0</v>
      </c>
      <c r="G113">
        <v>0.05</v>
      </c>
      <c r="H113" t="s">
        <v>78</v>
      </c>
    </row>
    <row r="114" spans="1:8" x14ac:dyDescent="0.3">
      <c r="A114" s="1">
        <v>45870</v>
      </c>
      <c r="B114" t="s">
        <v>40</v>
      </c>
      <c r="C114">
        <v>10</v>
      </c>
      <c r="D114">
        <v>775500</v>
      </c>
      <c r="E114">
        <v>6</v>
      </c>
      <c r="F114">
        <v>0</v>
      </c>
      <c r="G114">
        <v>0.05</v>
      </c>
      <c r="H114" t="s">
        <v>78</v>
      </c>
    </row>
    <row r="115" spans="1:8" x14ac:dyDescent="0.3">
      <c r="A115" s="1">
        <v>45901</v>
      </c>
      <c r="B115" t="s">
        <v>40</v>
      </c>
      <c r="C115">
        <v>10</v>
      </c>
      <c r="D115">
        <v>572100</v>
      </c>
      <c r="E115">
        <v>2</v>
      </c>
      <c r="F115">
        <v>0</v>
      </c>
      <c r="G115">
        <v>0.05</v>
      </c>
      <c r="H115" t="s">
        <v>78</v>
      </c>
    </row>
    <row r="116" spans="1:8" x14ac:dyDescent="0.3">
      <c r="A116" s="1">
        <v>45931</v>
      </c>
      <c r="B116" t="s">
        <v>40</v>
      </c>
      <c r="C116">
        <v>10</v>
      </c>
      <c r="D116">
        <v>354900</v>
      </c>
      <c r="E116">
        <v>2</v>
      </c>
      <c r="F116">
        <v>0</v>
      </c>
      <c r="G116">
        <v>0.05</v>
      </c>
      <c r="H116" t="s">
        <v>78</v>
      </c>
    </row>
    <row r="117" spans="1:8" x14ac:dyDescent="0.3">
      <c r="A117" s="1">
        <v>45962</v>
      </c>
      <c r="B117" t="s">
        <v>40</v>
      </c>
      <c r="C117">
        <v>10</v>
      </c>
      <c r="D117">
        <v>326700</v>
      </c>
      <c r="E117">
        <v>0</v>
      </c>
      <c r="F117">
        <v>0</v>
      </c>
      <c r="G117">
        <v>0.05</v>
      </c>
      <c r="H117" t="s">
        <v>78</v>
      </c>
    </row>
    <row r="118" spans="1:8" x14ac:dyDescent="0.3">
      <c r="A118" s="1">
        <v>45992</v>
      </c>
      <c r="B118" t="s">
        <v>40</v>
      </c>
      <c r="C118">
        <v>10</v>
      </c>
      <c r="D118">
        <v>462000</v>
      </c>
      <c r="E118">
        <v>0</v>
      </c>
      <c r="F118">
        <v>0</v>
      </c>
      <c r="G118">
        <v>0.05</v>
      </c>
      <c r="H118" t="s">
        <v>78</v>
      </c>
    </row>
    <row r="119" spans="1:8" x14ac:dyDescent="0.3">
      <c r="A119" s="1">
        <v>46023</v>
      </c>
      <c r="B119" t="s">
        <v>40</v>
      </c>
      <c r="C119">
        <v>10</v>
      </c>
      <c r="D119">
        <v>431700</v>
      </c>
      <c r="E119">
        <v>199</v>
      </c>
      <c r="F119">
        <v>0</v>
      </c>
      <c r="G119">
        <v>0.05</v>
      </c>
      <c r="H119" t="s">
        <v>78</v>
      </c>
    </row>
    <row r="120" spans="1:8" x14ac:dyDescent="0.3">
      <c r="A120" s="1">
        <v>46054</v>
      </c>
      <c r="B120" t="s">
        <v>40</v>
      </c>
      <c r="C120">
        <v>10</v>
      </c>
      <c r="D120">
        <v>323100</v>
      </c>
      <c r="E120">
        <v>0</v>
      </c>
      <c r="F120">
        <v>0</v>
      </c>
      <c r="G120">
        <v>0.05</v>
      </c>
      <c r="H120" t="s">
        <v>78</v>
      </c>
    </row>
    <row r="121" spans="1:8" x14ac:dyDescent="0.3">
      <c r="A121" s="1">
        <v>46082</v>
      </c>
      <c r="B121" t="s">
        <v>40</v>
      </c>
      <c r="C121">
        <v>10</v>
      </c>
      <c r="D121">
        <v>249900</v>
      </c>
      <c r="E121">
        <v>0</v>
      </c>
      <c r="F121">
        <v>0</v>
      </c>
      <c r="G121">
        <v>0.05</v>
      </c>
      <c r="H121" t="s">
        <v>78</v>
      </c>
    </row>
    <row r="122" spans="1:8" x14ac:dyDescent="0.3">
      <c r="A122" s="1">
        <v>45748</v>
      </c>
      <c r="B122" t="s">
        <v>40</v>
      </c>
      <c r="C122">
        <v>11</v>
      </c>
      <c r="D122">
        <v>168457</v>
      </c>
      <c r="E122">
        <v>27</v>
      </c>
      <c r="F122">
        <v>0</v>
      </c>
      <c r="G122">
        <v>0.05</v>
      </c>
      <c r="H122" t="s">
        <v>78</v>
      </c>
    </row>
    <row r="123" spans="1:8" x14ac:dyDescent="0.3">
      <c r="A123" s="1">
        <v>45778</v>
      </c>
      <c r="B123" t="s">
        <v>40</v>
      </c>
      <c r="C123">
        <v>11</v>
      </c>
      <c r="D123">
        <v>191144</v>
      </c>
      <c r="E123">
        <v>8</v>
      </c>
      <c r="F123">
        <v>0</v>
      </c>
      <c r="G123">
        <v>0.05</v>
      </c>
      <c r="H123" t="s">
        <v>78</v>
      </c>
    </row>
    <row r="124" spans="1:8" x14ac:dyDescent="0.3">
      <c r="A124" s="1">
        <v>45809</v>
      </c>
      <c r="B124" t="s">
        <v>40</v>
      </c>
      <c r="C124">
        <v>11</v>
      </c>
      <c r="D124">
        <v>370909</v>
      </c>
      <c r="E124">
        <v>60</v>
      </c>
      <c r="F124">
        <v>0</v>
      </c>
      <c r="G124">
        <v>0.05</v>
      </c>
      <c r="H124" t="s">
        <v>78</v>
      </c>
    </row>
    <row r="125" spans="1:8" x14ac:dyDescent="0.3">
      <c r="A125" s="1">
        <v>45839</v>
      </c>
      <c r="B125" t="s">
        <v>40</v>
      </c>
      <c r="C125">
        <v>11</v>
      </c>
      <c r="D125">
        <v>406505</v>
      </c>
      <c r="E125">
        <v>17</v>
      </c>
      <c r="F125">
        <v>0</v>
      </c>
      <c r="G125">
        <v>0.05</v>
      </c>
      <c r="H125" t="s">
        <v>78</v>
      </c>
    </row>
    <row r="126" spans="1:8" x14ac:dyDescent="0.3">
      <c r="A126" s="1">
        <v>45870</v>
      </c>
      <c r="B126" t="s">
        <v>40</v>
      </c>
      <c r="C126">
        <v>11</v>
      </c>
      <c r="D126">
        <v>239028</v>
      </c>
      <c r="E126">
        <v>60</v>
      </c>
      <c r="F126">
        <v>0</v>
      </c>
      <c r="G126">
        <v>0.05</v>
      </c>
      <c r="H126" t="s">
        <v>78</v>
      </c>
    </row>
    <row r="127" spans="1:8" x14ac:dyDescent="0.3">
      <c r="A127" s="1">
        <v>45901</v>
      </c>
      <c r="B127" t="s">
        <v>40</v>
      </c>
      <c r="C127">
        <v>11</v>
      </c>
      <c r="D127">
        <v>203462</v>
      </c>
      <c r="E127">
        <v>1178</v>
      </c>
      <c r="F127">
        <v>6.0000000000000001E-3</v>
      </c>
      <c r="G127">
        <v>0.05</v>
      </c>
      <c r="H127" t="s">
        <v>78</v>
      </c>
    </row>
    <row r="128" spans="1:8" x14ac:dyDescent="0.3">
      <c r="A128" s="1">
        <v>45931</v>
      </c>
      <c r="B128" t="s">
        <v>40</v>
      </c>
      <c r="C128">
        <v>11</v>
      </c>
      <c r="D128">
        <v>152718</v>
      </c>
      <c r="E128">
        <v>0</v>
      </c>
      <c r="F128">
        <v>0</v>
      </c>
      <c r="G128">
        <v>0.05</v>
      </c>
      <c r="H128" t="s">
        <v>78</v>
      </c>
    </row>
    <row r="129" spans="1:8" x14ac:dyDescent="0.3">
      <c r="A129" s="1">
        <v>45962</v>
      </c>
      <c r="B129" t="s">
        <v>40</v>
      </c>
      <c r="C129">
        <v>11</v>
      </c>
      <c r="D129">
        <v>144096</v>
      </c>
      <c r="E129">
        <v>0</v>
      </c>
      <c r="F129">
        <v>0</v>
      </c>
      <c r="G129">
        <v>0.05</v>
      </c>
      <c r="H129" t="s">
        <v>78</v>
      </c>
    </row>
    <row r="130" spans="1:8" x14ac:dyDescent="0.3">
      <c r="A130" s="1">
        <v>45992</v>
      </c>
      <c r="B130" t="s">
        <v>40</v>
      </c>
      <c r="C130">
        <v>11</v>
      </c>
      <c r="D130">
        <v>197919</v>
      </c>
      <c r="E130">
        <v>0</v>
      </c>
      <c r="F130">
        <v>0</v>
      </c>
      <c r="G130">
        <v>0.05</v>
      </c>
      <c r="H130" t="s">
        <v>78</v>
      </c>
    </row>
    <row r="131" spans="1:8" x14ac:dyDescent="0.3">
      <c r="A131" s="1">
        <v>46023</v>
      </c>
      <c r="B131" t="s">
        <v>40</v>
      </c>
      <c r="C131">
        <v>11</v>
      </c>
      <c r="D131">
        <v>87138</v>
      </c>
      <c r="E131">
        <v>2</v>
      </c>
      <c r="F131">
        <v>0</v>
      </c>
      <c r="G131">
        <v>0.05</v>
      </c>
      <c r="H131" t="s">
        <v>78</v>
      </c>
    </row>
    <row r="132" spans="1:8" x14ac:dyDescent="0.3">
      <c r="A132" s="1">
        <v>46054</v>
      </c>
      <c r="B132" t="s">
        <v>40</v>
      </c>
      <c r="C132">
        <v>11</v>
      </c>
      <c r="D132">
        <v>62945</v>
      </c>
      <c r="E132">
        <v>115</v>
      </c>
      <c r="F132">
        <v>2E-3</v>
      </c>
      <c r="G132">
        <v>0.05</v>
      </c>
      <c r="H132" t="s">
        <v>78</v>
      </c>
    </row>
    <row r="133" spans="1:8" x14ac:dyDescent="0.3">
      <c r="A133" s="1">
        <v>46082</v>
      </c>
      <c r="B133" t="s">
        <v>40</v>
      </c>
      <c r="C133">
        <v>11</v>
      </c>
      <c r="D133">
        <v>76165</v>
      </c>
      <c r="E133">
        <v>1</v>
      </c>
      <c r="F133">
        <v>0</v>
      </c>
      <c r="G133">
        <v>0.05</v>
      </c>
      <c r="H133" t="s">
        <v>78</v>
      </c>
    </row>
    <row r="134" spans="1:8" x14ac:dyDescent="0.3">
      <c r="A134" s="1">
        <v>45748</v>
      </c>
      <c r="B134" t="s">
        <v>40</v>
      </c>
      <c r="C134">
        <v>12</v>
      </c>
      <c r="D134">
        <v>95760</v>
      </c>
      <c r="E134">
        <v>5040</v>
      </c>
      <c r="F134">
        <v>5.2999999999999999E-2</v>
      </c>
      <c r="G134">
        <v>0.05</v>
      </c>
      <c r="H134" t="s">
        <v>79</v>
      </c>
    </row>
    <row r="135" spans="1:8" x14ac:dyDescent="0.3">
      <c r="A135" s="1">
        <v>45778</v>
      </c>
      <c r="B135" t="s">
        <v>40</v>
      </c>
      <c r="C135">
        <v>12</v>
      </c>
      <c r="D135">
        <v>329640</v>
      </c>
      <c r="E135">
        <v>2880</v>
      </c>
      <c r="F135">
        <v>8.9999999999999993E-3</v>
      </c>
      <c r="G135">
        <v>0.05</v>
      </c>
      <c r="H135" t="s">
        <v>78</v>
      </c>
    </row>
    <row r="136" spans="1:8" x14ac:dyDescent="0.3">
      <c r="A136" s="1">
        <v>45809</v>
      </c>
      <c r="B136" t="s">
        <v>40</v>
      </c>
      <c r="C136">
        <v>12</v>
      </c>
      <c r="D136">
        <v>507120</v>
      </c>
      <c r="E136">
        <v>840</v>
      </c>
      <c r="F136">
        <v>2E-3</v>
      </c>
      <c r="G136">
        <v>0.05</v>
      </c>
      <c r="H136" t="s">
        <v>78</v>
      </c>
    </row>
    <row r="137" spans="1:8" x14ac:dyDescent="0.3">
      <c r="A137" s="1">
        <v>45839</v>
      </c>
      <c r="B137" t="s">
        <v>40</v>
      </c>
      <c r="C137">
        <v>12</v>
      </c>
      <c r="D137">
        <v>557640</v>
      </c>
      <c r="E137">
        <v>720</v>
      </c>
      <c r="F137">
        <v>1E-3</v>
      </c>
      <c r="G137">
        <v>0.05</v>
      </c>
      <c r="H137" t="s">
        <v>78</v>
      </c>
    </row>
    <row r="138" spans="1:8" x14ac:dyDescent="0.3">
      <c r="A138" s="1">
        <v>45870</v>
      </c>
      <c r="B138" t="s">
        <v>40</v>
      </c>
      <c r="C138">
        <v>12</v>
      </c>
      <c r="D138">
        <v>366120</v>
      </c>
      <c r="E138">
        <v>1440</v>
      </c>
      <c r="F138">
        <v>4.0000000000000001E-3</v>
      </c>
      <c r="G138">
        <v>0.05</v>
      </c>
      <c r="H138" t="s">
        <v>78</v>
      </c>
    </row>
    <row r="139" spans="1:8" x14ac:dyDescent="0.3">
      <c r="A139" s="1">
        <v>45901</v>
      </c>
      <c r="B139" t="s">
        <v>40</v>
      </c>
      <c r="C139">
        <v>12</v>
      </c>
      <c r="D139">
        <v>324480</v>
      </c>
      <c r="E139">
        <v>1200</v>
      </c>
      <c r="F139">
        <v>4.0000000000000001E-3</v>
      </c>
      <c r="G139">
        <v>0.05</v>
      </c>
      <c r="H139" t="s">
        <v>78</v>
      </c>
    </row>
    <row r="140" spans="1:8" x14ac:dyDescent="0.3">
      <c r="A140" s="1">
        <v>45931</v>
      </c>
      <c r="B140" t="s">
        <v>40</v>
      </c>
      <c r="C140">
        <v>12</v>
      </c>
      <c r="D140">
        <v>211560</v>
      </c>
      <c r="E140">
        <v>2880</v>
      </c>
      <c r="F140">
        <v>1.4E-2</v>
      </c>
      <c r="G140">
        <v>0.05</v>
      </c>
      <c r="H140" t="s">
        <v>78</v>
      </c>
    </row>
    <row r="141" spans="1:8" x14ac:dyDescent="0.3">
      <c r="A141" s="1">
        <v>45962</v>
      </c>
      <c r="B141" t="s">
        <v>40</v>
      </c>
      <c r="C141">
        <v>12</v>
      </c>
      <c r="D141">
        <v>112920</v>
      </c>
      <c r="E141">
        <v>3360</v>
      </c>
      <c r="F141">
        <v>0.03</v>
      </c>
      <c r="G141">
        <v>0.05</v>
      </c>
      <c r="H141" t="s">
        <v>78</v>
      </c>
    </row>
    <row r="142" spans="1:8" x14ac:dyDescent="0.3">
      <c r="A142" s="1">
        <v>45992</v>
      </c>
      <c r="B142" t="s">
        <v>40</v>
      </c>
      <c r="C142">
        <v>12</v>
      </c>
      <c r="D142">
        <v>148800</v>
      </c>
      <c r="E142">
        <v>2880</v>
      </c>
      <c r="F142">
        <v>1.9E-2</v>
      </c>
      <c r="G142">
        <v>0.05</v>
      </c>
      <c r="H142" t="s">
        <v>78</v>
      </c>
    </row>
    <row r="143" spans="1:8" x14ac:dyDescent="0.3">
      <c r="A143" s="1">
        <v>46023</v>
      </c>
      <c r="B143" t="s">
        <v>40</v>
      </c>
      <c r="C143">
        <v>12</v>
      </c>
      <c r="D143">
        <v>164880</v>
      </c>
      <c r="E143">
        <v>2040</v>
      </c>
      <c r="F143">
        <v>1.2E-2</v>
      </c>
      <c r="G143">
        <v>0.05</v>
      </c>
      <c r="H143" t="s">
        <v>78</v>
      </c>
    </row>
    <row r="144" spans="1:8" x14ac:dyDescent="0.3">
      <c r="A144" s="1">
        <v>46054</v>
      </c>
      <c r="B144" t="s">
        <v>40</v>
      </c>
      <c r="C144">
        <v>12</v>
      </c>
      <c r="D144">
        <v>120840</v>
      </c>
      <c r="E144">
        <v>3699</v>
      </c>
      <c r="F144">
        <v>3.1E-2</v>
      </c>
      <c r="G144">
        <v>0.05</v>
      </c>
      <c r="H144" t="s">
        <v>78</v>
      </c>
    </row>
    <row r="145" spans="1:8" x14ac:dyDescent="0.3">
      <c r="A145" s="1">
        <v>46082</v>
      </c>
      <c r="B145" t="s">
        <v>40</v>
      </c>
      <c r="C145">
        <v>12</v>
      </c>
      <c r="D145">
        <v>105720</v>
      </c>
      <c r="E145">
        <v>4800</v>
      </c>
      <c r="F145">
        <v>4.4999999999999998E-2</v>
      </c>
      <c r="G145">
        <v>0.05</v>
      </c>
      <c r="H145" t="s">
        <v>78</v>
      </c>
    </row>
    <row r="146" spans="1:8" x14ac:dyDescent="0.3">
      <c r="A146" s="1">
        <v>45748</v>
      </c>
      <c r="B146" t="s">
        <v>40</v>
      </c>
      <c r="C146">
        <v>13</v>
      </c>
      <c r="D146">
        <v>78720</v>
      </c>
      <c r="E146">
        <v>120</v>
      </c>
      <c r="F146">
        <v>2E-3</v>
      </c>
      <c r="G146">
        <v>0.05</v>
      </c>
      <c r="H146" t="s">
        <v>78</v>
      </c>
    </row>
    <row r="147" spans="1:8" x14ac:dyDescent="0.3">
      <c r="A147" s="1">
        <v>45778</v>
      </c>
      <c r="B147" t="s">
        <v>40</v>
      </c>
      <c r="C147">
        <v>13</v>
      </c>
      <c r="D147">
        <v>300480</v>
      </c>
      <c r="E147">
        <v>0</v>
      </c>
      <c r="F147">
        <v>0</v>
      </c>
      <c r="G147">
        <v>0.05</v>
      </c>
      <c r="H147" t="s">
        <v>78</v>
      </c>
    </row>
    <row r="148" spans="1:8" x14ac:dyDescent="0.3">
      <c r="A148" s="1">
        <v>45809</v>
      </c>
      <c r="B148" t="s">
        <v>40</v>
      </c>
      <c r="C148">
        <v>13</v>
      </c>
      <c r="D148">
        <v>447600</v>
      </c>
      <c r="E148">
        <v>0</v>
      </c>
      <c r="F148">
        <v>0</v>
      </c>
      <c r="G148">
        <v>0.05</v>
      </c>
      <c r="H148" t="s">
        <v>78</v>
      </c>
    </row>
    <row r="149" spans="1:8" x14ac:dyDescent="0.3">
      <c r="A149" s="1">
        <v>45839</v>
      </c>
      <c r="B149" t="s">
        <v>40</v>
      </c>
      <c r="C149">
        <v>13</v>
      </c>
      <c r="D149">
        <v>570960</v>
      </c>
      <c r="E149">
        <v>0</v>
      </c>
      <c r="F149">
        <v>0</v>
      </c>
      <c r="G149">
        <v>0.05</v>
      </c>
      <c r="H149" t="s">
        <v>78</v>
      </c>
    </row>
    <row r="150" spans="1:8" x14ac:dyDescent="0.3">
      <c r="A150" s="1">
        <v>45870</v>
      </c>
      <c r="B150" t="s">
        <v>40</v>
      </c>
      <c r="C150">
        <v>13</v>
      </c>
      <c r="D150">
        <v>331320</v>
      </c>
      <c r="E150">
        <v>0</v>
      </c>
      <c r="F150">
        <v>0</v>
      </c>
      <c r="G150">
        <v>0.05</v>
      </c>
      <c r="H150" t="s">
        <v>78</v>
      </c>
    </row>
    <row r="151" spans="1:8" x14ac:dyDescent="0.3">
      <c r="A151" s="1">
        <v>45901</v>
      </c>
      <c r="B151" t="s">
        <v>40</v>
      </c>
      <c r="C151">
        <v>13</v>
      </c>
      <c r="D151">
        <v>282960</v>
      </c>
      <c r="E151">
        <v>0</v>
      </c>
      <c r="F151">
        <v>0</v>
      </c>
      <c r="G151">
        <v>0.05</v>
      </c>
      <c r="H151" t="s">
        <v>78</v>
      </c>
    </row>
    <row r="152" spans="1:8" x14ac:dyDescent="0.3">
      <c r="A152" s="1">
        <v>45931</v>
      </c>
      <c r="B152" t="s">
        <v>40</v>
      </c>
      <c r="C152">
        <v>13</v>
      </c>
      <c r="D152">
        <v>190920</v>
      </c>
      <c r="E152">
        <v>120</v>
      </c>
      <c r="F152">
        <v>1E-3</v>
      </c>
      <c r="G152">
        <v>0.05</v>
      </c>
      <c r="H152" t="s">
        <v>78</v>
      </c>
    </row>
    <row r="153" spans="1:8" x14ac:dyDescent="0.3">
      <c r="A153" s="1">
        <v>45962</v>
      </c>
      <c r="B153" t="s">
        <v>40</v>
      </c>
      <c r="C153">
        <v>13</v>
      </c>
      <c r="D153">
        <v>121920</v>
      </c>
      <c r="E153">
        <v>120</v>
      </c>
      <c r="F153">
        <v>1E-3</v>
      </c>
      <c r="G153">
        <v>0.05</v>
      </c>
      <c r="H153" t="s">
        <v>78</v>
      </c>
    </row>
    <row r="154" spans="1:8" x14ac:dyDescent="0.3">
      <c r="A154" s="1">
        <v>45992</v>
      </c>
      <c r="B154" t="s">
        <v>40</v>
      </c>
      <c r="C154">
        <v>13</v>
      </c>
      <c r="D154">
        <v>188520</v>
      </c>
      <c r="E154">
        <v>0</v>
      </c>
      <c r="F154">
        <v>0</v>
      </c>
      <c r="G154">
        <v>0.05</v>
      </c>
      <c r="H154" t="s">
        <v>78</v>
      </c>
    </row>
    <row r="155" spans="1:8" x14ac:dyDescent="0.3">
      <c r="A155" s="1">
        <v>46023</v>
      </c>
      <c r="B155" t="s">
        <v>40</v>
      </c>
      <c r="C155">
        <v>13</v>
      </c>
      <c r="D155">
        <v>174000</v>
      </c>
      <c r="E155">
        <v>0</v>
      </c>
      <c r="F155">
        <v>0</v>
      </c>
      <c r="G155">
        <v>0.05</v>
      </c>
      <c r="H155" t="s">
        <v>78</v>
      </c>
    </row>
    <row r="156" spans="1:8" x14ac:dyDescent="0.3">
      <c r="A156" s="1">
        <v>46054</v>
      </c>
      <c r="B156" t="s">
        <v>40</v>
      </c>
      <c r="C156">
        <v>13</v>
      </c>
      <c r="D156">
        <v>132240</v>
      </c>
      <c r="E156">
        <v>0</v>
      </c>
      <c r="F156">
        <v>0</v>
      </c>
      <c r="G156">
        <v>0.05</v>
      </c>
      <c r="H156" t="s">
        <v>78</v>
      </c>
    </row>
    <row r="157" spans="1:8" x14ac:dyDescent="0.3">
      <c r="A157" s="1">
        <v>46082</v>
      </c>
      <c r="B157" t="s">
        <v>40</v>
      </c>
      <c r="C157">
        <v>13</v>
      </c>
      <c r="D157">
        <v>92880</v>
      </c>
      <c r="E157">
        <v>0</v>
      </c>
      <c r="F157">
        <v>0</v>
      </c>
      <c r="G157">
        <v>0.05</v>
      </c>
      <c r="H157" t="s">
        <v>78</v>
      </c>
    </row>
    <row r="158" spans="1:8" x14ac:dyDescent="0.3">
      <c r="A158" s="1">
        <v>45748</v>
      </c>
      <c r="B158" t="s">
        <v>40</v>
      </c>
      <c r="C158">
        <v>14</v>
      </c>
      <c r="D158">
        <v>72960</v>
      </c>
      <c r="E158">
        <v>120</v>
      </c>
      <c r="F158">
        <v>2E-3</v>
      </c>
      <c r="G158">
        <v>0.05</v>
      </c>
      <c r="H158" t="s">
        <v>78</v>
      </c>
    </row>
    <row r="159" spans="1:8" x14ac:dyDescent="0.3">
      <c r="A159" s="1">
        <v>45778</v>
      </c>
      <c r="B159" t="s">
        <v>40</v>
      </c>
      <c r="C159">
        <v>14</v>
      </c>
      <c r="D159">
        <v>265800</v>
      </c>
      <c r="E159">
        <v>0</v>
      </c>
      <c r="F159">
        <v>0</v>
      </c>
      <c r="G159">
        <v>0.05</v>
      </c>
      <c r="H159" t="s">
        <v>78</v>
      </c>
    </row>
    <row r="160" spans="1:8" x14ac:dyDescent="0.3">
      <c r="A160" s="1">
        <v>45809</v>
      </c>
      <c r="B160" t="s">
        <v>40</v>
      </c>
      <c r="C160">
        <v>14</v>
      </c>
      <c r="D160">
        <v>436680</v>
      </c>
      <c r="E160">
        <v>0</v>
      </c>
      <c r="F160">
        <v>0</v>
      </c>
      <c r="G160">
        <v>0.05</v>
      </c>
      <c r="H160" t="s">
        <v>78</v>
      </c>
    </row>
    <row r="161" spans="1:8" x14ac:dyDescent="0.3">
      <c r="A161" s="1">
        <v>45839</v>
      </c>
      <c r="B161" t="s">
        <v>40</v>
      </c>
      <c r="C161">
        <v>14</v>
      </c>
      <c r="D161">
        <v>543960</v>
      </c>
      <c r="E161">
        <v>0</v>
      </c>
      <c r="F161">
        <v>0</v>
      </c>
      <c r="G161">
        <v>0.05</v>
      </c>
      <c r="H161" t="s">
        <v>78</v>
      </c>
    </row>
    <row r="162" spans="1:8" x14ac:dyDescent="0.3">
      <c r="A162" s="1">
        <v>45870</v>
      </c>
      <c r="B162" t="s">
        <v>40</v>
      </c>
      <c r="C162">
        <v>14</v>
      </c>
      <c r="D162">
        <v>314760</v>
      </c>
      <c r="E162">
        <v>0</v>
      </c>
      <c r="F162">
        <v>0</v>
      </c>
      <c r="G162">
        <v>0.05</v>
      </c>
      <c r="H162" t="s">
        <v>78</v>
      </c>
    </row>
    <row r="163" spans="1:8" x14ac:dyDescent="0.3">
      <c r="A163" s="1">
        <v>45901</v>
      </c>
      <c r="B163" t="s">
        <v>40</v>
      </c>
      <c r="C163">
        <v>14</v>
      </c>
      <c r="D163">
        <v>293880</v>
      </c>
      <c r="E163">
        <v>0</v>
      </c>
      <c r="F163">
        <v>0</v>
      </c>
      <c r="G163">
        <v>0.05</v>
      </c>
      <c r="H163" t="s">
        <v>78</v>
      </c>
    </row>
    <row r="164" spans="1:8" x14ac:dyDescent="0.3">
      <c r="A164" s="1">
        <v>45931</v>
      </c>
      <c r="B164" t="s">
        <v>40</v>
      </c>
      <c r="C164">
        <v>14</v>
      </c>
      <c r="D164">
        <v>160320</v>
      </c>
      <c r="E164">
        <v>120</v>
      </c>
      <c r="F164">
        <v>1E-3</v>
      </c>
      <c r="G164">
        <v>0.05</v>
      </c>
      <c r="H164" t="s">
        <v>78</v>
      </c>
    </row>
    <row r="165" spans="1:8" x14ac:dyDescent="0.3">
      <c r="A165" s="1">
        <v>45962</v>
      </c>
      <c r="B165" t="s">
        <v>40</v>
      </c>
      <c r="C165">
        <v>14</v>
      </c>
      <c r="D165">
        <v>81600</v>
      </c>
      <c r="E165">
        <v>0</v>
      </c>
      <c r="F165">
        <v>0</v>
      </c>
      <c r="G165">
        <v>0.05</v>
      </c>
      <c r="H165" t="s">
        <v>78</v>
      </c>
    </row>
    <row r="166" spans="1:8" x14ac:dyDescent="0.3">
      <c r="A166" s="1">
        <v>45992</v>
      </c>
      <c r="B166" t="s">
        <v>40</v>
      </c>
      <c r="C166">
        <v>14</v>
      </c>
      <c r="D166">
        <v>120960</v>
      </c>
      <c r="E166">
        <v>120</v>
      </c>
      <c r="F166">
        <v>1E-3</v>
      </c>
      <c r="G166">
        <v>0.05</v>
      </c>
      <c r="H166" t="s">
        <v>78</v>
      </c>
    </row>
    <row r="167" spans="1:8" x14ac:dyDescent="0.3">
      <c r="A167" s="1">
        <v>46023</v>
      </c>
      <c r="B167" t="s">
        <v>40</v>
      </c>
      <c r="C167">
        <v>14</v>
      </c>
      <c r="D167">
        <v>130320</v>
      </c>
      <c r="E167">
        <v>0</v>
      </c>
      <c r="F167">
        <v>0</v>
      </c>
      <c r="G167">
        <v>0.05</v>
      </c>
      <c r="H167" t="s">
        <v>78</v>
      </c>
    </row>
    <row r="168" spans="1:8" x14ac:dyDescent="0.3">
      <c r="A168" s="1">
        <v>46054</v>
      </c>
      <c r="B168" t="s">
        <v>40</v>
      </c>
      <c r="C168">
        <v>14</v>
      </c>
      <c r="D168">
        <v>93240</v>
      </c>
      <c r="E168">
        <v>120</v>
      </c>
      <c r="F168">
        <v>1E-3</v>
      </c>
      <c r="G168">
        <v>0.05</v>
      </c>
      <c r="H168" t="s">
        <v>78</v>
      </c>
    </row>
    <row r="169" spans="1:8" x14ac:dyDescent="0.3">
      <c r="A169" s="1">
        <v>46082</v>
      </c>
      <c r="B169" t="s">
        <v>40</v>
      </c>
      <c r="C169">
        <v>14</v>
      </c>
      <c r="D169">
        <v>78120</v>
      </c>
      <c r="E169">
        <v>0</v>
      </c>
      <c r="F169">
        <v>0</v>
      </c>
      <c r="G169">
        <v>0.05</v>
      </c>
      <c r="H169" t="s">
        <v>78</v>
      </c>
    </row>
    <row r="170" spans="1:8" x14ac:dyDescent="0.3">
      <c r="A170" s="1">
        <v>45748</v>
      </c>
      <c r="B170" t="s">
        <v>40</v>
      </c>
      <c r="C170">
        <v>15</v>
      </c>
      <c r="D170">
        <v>65022</v>
      </c>
      <c r="E170">
        <v>27</v>
      </c>
      <c r="F170">
        <v>0</v>
      </c>
      <c r="G170">
        <v>0.05</v>
      </c>
      <c r="H170" t="s">
        <v>78</v>
      </c>
    </row>
    <row r="171" spans="1:8" x14ac:dyDescent="0.3">
      <c r="A171" s="1">
        <v>45778</v>
      </c>
      <c r="B171" t="s">
        <v>40</v>
      </c>
      <c r="C171">
        <v>15</v>
      </c>
      <c r="D171">
        <v>413562</v>
      </c>
      <c r="E171">
        <v>8</v>
      </c>
      <c r="F171">
        <v>0</v>
      </c>
      <c r="G171">
        <v>0.05</v>
      </c>
      <c r="H171" t="s">
        <v>78</v>
      </c>
    </row>
    <row r="172" spans="1:8" x14ac:dyDescent="0.3">
      <c r="A172" s="1">
        <v>45809</v>
      </c>
      <c r="B172" t="s">
        <v>40</v>
      </c>
      <c r="C172">
        <v>15</v>
      </c>
      <c r="D172">
        <v>698968</v>
      </c>
      <c r="E172">
        <v>60</v>
      </c>
      <c r="F172">
        <v>0</v>
      </c>
      <c r="G172">
        <v>0.05</v>
      </c>
      <c r="H172" t="s">
        <v>78</v>
      </c>
    </row>
    <row r="173" spans="1:8" x14ac:dyDescent="0.3">
      <c r="A173" s="1">
        <v>45839</v>
      </c>
      <c r="B173" t="s">
        <v>40</v>
      </c>
      <c r="C173">
        <v>15</v>
      </c>
      <c r="D173">
        <v>774886</v>
      </c>
      <c r="E173">
        <v>17</v>
      </c>
      <c r="F173">
        <v>0</v>
      </c>
      <c r="G173">
        <v>0.05</v>
      </c>
      <c r="H173" t="s">
        <v>78</v>
      </c>
    </row>
    <row r="174" spans="1:8" x14ac:dyDescent="0.3">
      <c r="A174" s="1">
        <v>45870</v>
      </c>
      <c r="B174" t="s">
        <v>40</v>
      </c>
      <c r="C174">
        <v>15</v>
      </c>
      <c r="D174">
        <v>553290</v>
      </c>
      <c r="E174">
        <v>60</v>
      </c>
      <c r="F174">
        <v>0</v>
      </c>
      <c r="G174">
        <v>0.05</v>
      </c>
      <c r="H174" t="s">
        <v>78</v>
      </c>
    </row>
    <row r="175" spans="1:8" x14ac:dyDescent="0.3">
      <c r="A175" s="1">
        <v>45901</v>
      </c>
      <c r="B175" t="s">
        <v>40</v>
      </c>
      <c r="C175">
        <v>15</v>
      </c>
      <c r="D175">
        <v>535034</v>
      </c>
      <c r="E175">
        <v>1178</v>
      </c>
      <c r="F175">
        <v>2E-3</v>
      </c>
      <c r="G175">
        <v>0.05</v>
      </c>
      <c r="H175" t="s">
        <v>78</v>
      </c>
    </row>
    <row r="176" spans="1:8" x14ac:dyDescent="0.3">
      <c r="A176" s="1">
        <v>45931</v>
      </c>
      <c r="B176" t="s">
        <v>40</v>
      </c>
      <c r="C176">
        <v>15</v>
      </c>
      <c r="D176">
        <v>180214</v>
      </c>
      <c r="E176">
        <v>0</v>
      </c>
      <c r="F176">
        <v>0</v>
      </c>
      <c r="G176">
        <v>0.05</v>
      </c>
      <c r="H176" t="s">
        <v>78</v>
      </c>
    </row>
    <row r="177" spans="1:8" x14ac:dyDescent="0.3">
      <c r="A177" s="1">
        <v>45962</v>
      </c>
      <c r="B177" t="s">
        <v>40</v>
      </c>
      <c r="C177">
        <v>15</v>
      </c>
      <c r="D177">
        <v>62608</v>
      </c>
      <c r="E177">
        <v>0</v>
      </c>
      <c r="F177">
        <v>0</v>
      </c>
      <c r="G177">
        <v>0.05</v>
      </c>
      <c r="H177" t="s">
        <v>78</v>
      </c>
    </row>
    <row r="178" spans="1:8" x14ac:dyDescent="0.3">
      <c r="A178" s="1">
        <v>45992</v>
      </c>
      <c r="B178" t="s">
        <v>40</v>
      </c>
      <c r="C178">
        <v>15</v>
      </c>
      <c r="D178">
        <v>44072</v>
      </c>
      <c r="E178">
        <v>0</v>
      </c>
      <c r="F178">
        <v>0</v>
      </c>
      <c r="G178">
        <v>0.05</v>
      </c>
      <c r="H178" t="s">
        <v>78</v>
      </c>
    </row>
    <row r="179" spans="1:8" x14ac:dyDescent="0.3">
      <c r="A179" s="1">
        <v>46023</v>
      </c>
      <c r="B179" t="s">
        <v>40</v>
      </c>
      <c r="C179">
        <v>15</v>
      </c>
      <c r="D179">
        <v>51382</v>
      </c>
      <c r="E179">
        <v>2</v>
      </c>
      <c r="F179">
        <v>0</v>
      </c>
      <c r="G179">
        <v>0.05</v>
      </c>
      <c r="H179" t="s">
        <v>78</v>
      </c>
    </row>
    <row r="180" spans="1:8" x14ac:dyDescent="0.3">
      <c r="A180" s="1">
        <v>46054</v>
      </c>
      <c r="B180" t="s">
        <v>40</v>
      </c>
      <c r="C180">
        <v>15</v>
      </c>
      <c r="D180">
        <v>44156</v>
      </c>
      <c r="E180">
        <v>115</v>
      </c>
      <c r="F180">
        <v>3.0000000000000001E-3</v>
      </c>
      <c r="G180">
        <v>0.05</v>
      </c>
      <c r="H180" t="s">
        <v>78</v>
      </c>
    </row>
    <row r="181" spans="1:8" x14ac:dyDescent="0.3">
      <c r="A181" s="1">
        <v>46082</v>
      </c>
      <c r="B181" t="s">
        <v>40</v>
      </c>
      <c r="C181">
        <v>15</v>
      </c>
      <c r="D181">
        <v>35926</v>
      </c>
      <c r="E181">
        <v>1</v>
      </c>
      <c r="F181">
        <v>0</v>
      </c>
      <c r="G181">
        <v>0.05</v>
      </c>
      <c r="H181" t="s">
        <v>78</v>
      </c>
    </row>
    <row r="182" spans="1:8" x14ac:dyDescent="0.3">
      <c r="A182" s="1">
        <v>45748</v>
      </c>
      <c r="B182" t="s">
        <v>40</v>
      </c>
      <c r="C182">
        <v>16</v>
      </c>
      <c r="D182">
        <v>71310</v>
      </c>
      <c r="E182">
        <v>7128</v>
      </c>
      <c r="F182">
        <v>0.1</v>
      </c>
      <c r="G182">
        <v>0.05</v>
      </c>
      <c r="H182" t="s">
        <v>79</v>
      </c>
    </row>
    <row r="183" spans="1:8" x14ac:dyDescent="0.3">
      <c r="A183" s="1">
        <v>45778</v>
      </c>
      <c r="B183" t="s">
        <v>40</v>
      </c>
      <c r="C183">
        <v>16</v>
      </c>
      <c r="D183">
        <v>426274</v>
      </c>
      <c r="E183">
        <v>5595</v>
      </c>
      <c r="F183">
        <v>1.2999999999999999E-2</v>
      </c>
      <c r="G183">
        <v>0.05</v>
      </c>
      <c r="H183" t="s">
        <v>78</v>
      </c>
    </row>
    <row r="184" spans="1:8" x14ac:dyDescent="0.3">
      <c r="A184" s="1">
        <v>45809</v>
      </c>
      <c r="B184" t="s">
        <v>40</v>
      </c>
      <c r="C184">
        <v>16</v>
      </c>
      <c r="D184">
        <v>725368</v>
      </c>
      <c r="E184">
        <v>1145</v>
      </c>
      <c r="F184">
        <v>2E-3</v>
      </c>
      <c r="G184">
        <v>0.05</v>
      </c>
      <c r="H184" t="s">
        <v>78</v>
      </c>
    </row>
    <row r="185" spans="1:8" x14ac:dyDescent="0.3">
      <c r="A185" s="1">
        <v>45839</v>
      </c>
      <c r="B185" t="s">
        <v>40</v>
      </c>
      <c r="C185">
        <v>16</v>
      </c>
      <c r="D185">
        <v>806478</v>
      </c>
      <c r="E185">
        <v>22</v>
      </c>
      <c r="F185">
        <v>0</v>
      </c>
      <c r="G185">
        <v>0.05</v>
      </c>
      <c r="H185" t="s">
        <v>78</v>
      </c>
    </row>
    <row r="186" spans="1:8" x14ac:dyDescent="0.3">
      <c r="A186" s="1">
        <v>45870</v>
      </c>
      <c r="B186" t="s">
        <v>40</v>
      </c>
      <c r="C186">
        <v>16</v>
      </c>
      <c r="D186">
        <v>581134</v>
      </c>
      <c r="E186">
        <v>1202</v>
      </c>
      <c r="F186">
        <v>2E-3</v>
      </c>
      <c r="G186">
        <v>0.05</v>
      </c>
      <c r="H186" t="s">
        <v>78</v>
      </c>
    </row>
    <row r="187" spans="1:8" x14ac:dyDescent="0.3">
      <c r="A187" s="1">
        <v>45901</v>
      </c>
      <c r="B187" t="s">
        <v>40</v>
      </c>
      <c r="C187">
        <v>16</v>
      </c>
      <c r="D187">
        <v>567424</v>
      </c>
      <c r="E187">
        <v>3815</v>
      </c>
      <c r="F187">
        <v>7.0000000000000001E-3</v>
      </c>
      <c r="G187">
        <v>0.05</v>
      </c>
      <c r="H187" t="s">
        <v>78</v>
      </c>
    </row>
    <row r="188" spans="1:8" x14ac:dyDescent="0.3">
      <c r="A188" s="1">
        <v>45931</v>
      </c>
      <c r="B188" t="s">
        <v>40</v>
      </c>
      <c r="C188">
        <v>16</v>
      </c>
      <c r="D188">
        <v>190720</v>
      </c>
      <c r="E188">
        <v>2541</v>
      </c>
      <c r="F188">
        <v>1.2999999999999999E-2</v>
      </c>
      <c r="G188">
        <v>0.05</v>
      </c>
      <c r="H188" t="s">
        <v>78</v>
      </c>
    </row>
    <row r="189" spans="1:8" x14ac:dyDescent="0.3">
      <c r="A189" s="1">
        <v>45962</v>
      </c>
      <c r="B189" t="s">
        <v>40</v>
      </c>
      <c r="C189">
        <v>16</v>
      </c>
      <c r="D189">
        <v>65346</v>
      </c>
      <c r="E189">
        <v>4688</v>
      </c>
      <c r="F189">
        <v>7.1999999999999995E-2</v>
      </c>
      <c r="G189">
        <v>0.05</v>
      </c>
      <c r="H189" t="s">
        <v>79</v>
      </c>
    </row>
    <row r="190" spans="1:8" x14ac:dyDescent="0.3">
      <c r="A190" s="1">
        <v>45992</v>
      </c>
      <c r="B190" t="s">
        <v>40</v>
      </c>
      <c r="C190">
        <v>16</v>
      </c>
      <c r="D190">
        <v>51492</v>
      </c>
      <c r="E190">
        <v>2076</v>
      </c>
      <c r="F190">
        <v>0.04</v>
      </c>
      <c r="G190">
        <v>0.05</v>
      </c>
      <c r="H190" t="s">
        <v>78</v>
      </c>
    </row>
    <row r="191" spans="1:8" x14ac:dyDescent="0.3">
      <c r="A191" s="1">
        <v>46023</v>
      </c>
      <c r="B191" t="s">
        <v>40</v>
      </c>
      <c r="C191">
        <v>16</v>
      </c>
      <c r="D191">
        <v>52996</v>
      </c>
      <c r="E191">
        <v>8888</v>
      </c>
      <c r="F191">
        <v>0.16800000000000001</v>
      </c>
      <c r="G191">
        <v>0.05</v>
      </c>
      <c r="H191" t="s">
        <v>79</v>
      </c>
    </row>
    <row r="192" spans="1:8" x14ac:dyDescent="0.3">
      <c r="A192" s="1">
        <v>46054</v>
      </c>
      <c r="B192" t="s">
        <v>40</v>
      </c>
      <c r="C192">
        <v>16</v>
      </c>
      <c r="D192">
        <v>46190</v>
      </c>
      <c r="E192">
        <v>8345</v>
      </c>
      <c r="F192">
        <v>0.18099999999999999</v>
      </c>
      <c r="G192">
        <v>0.05</v>
      </c>
      <c r="H192" t="s">
        <v>79</v>
      </c>
    </row>
    <row r="193" spans="1:8" x14ac:dyDescent="0.3">
      <c r="A193" s="1">
        <v>46082</v>
      </c>
      <c r="B193" t="s">
        <v>40</v>
      </c>
      <c r="C193">
        <v>16</v>
      </c>
      <c r="D193">
        <v>34570</v>
      </c>
      <c r="E193">
        <v>6189</v>
      </c>
      <c r="F193">
        <v>0.17899999999999999</v>
      </c>
      <c r="G193">
        <v>0.05</v>
      </c>
      <c r="H193" t="s">
        <v>79</v>
      </c>
    </row>
    <row r="194" spans="1:8" x14ac:dyDescent="0.3">
      <c r="A194" s="1">
        <v>45748</v>
      </c>
      <c r="B194" t="s">
        <v>40</v>
      </c>
      <c r="C194">
        <v>17</v>
      </c>
      <c r="D194">
        <v>64986</v>
      </c>
      <c r="E194">
        <v>1920</v>
      </c>
      <c r="F194">
        <v>0.03</v>
      </c>
      <c r="G194">
        <v>0.05</v>
      </c>
      <c r="H194" t="s">
        <v>78</v>
      </c>
    </row>
    <row r="195" spans="1:8" x14ac:dyDescent="0.3">
      <c r="A195" s="1">
        <v>45778</v>
      </c>
      <c r="B195" t="s">
        <v>40</v>
      </c>
      <c r="C195">
        <v>17</v>
      </c>
      <c r="D195">
        <v>420252</v>
      </c>
      <c r="E195">
        <v>834</v>
      </c>
      <c r="F195">
        <v>2E-3</v>
      </c>
      <c r="G195">
        <v>0.05</v>
      </c>
      <c r="H195" t="s">
        <v>78</v>
      </c>
    </row>
    <row r="196" spans="1:8" x14ac:dyDescent="0.3">
      <c r="A196" s="1">
        <v>45809</v>
      </c>
      <c r="B196" t="s">
        <v>40</v>
      </c>
      <c r="C196">
        <v>17</v>
      </c>
      <c r="D196">
        <v>711634</v>
      </c>
      <c r="E196">
        <v>58</v>
      </c>
      <c r="F196">
        <v>0</v>
      </c>
      <c r="G196">
        <v>0.05</v>
      </c>
      <c r="H196" t="s">
        <v>78</v>
      </c>
    </row>
    <row r="197" spans="1:8" x14ac:dyDescent="0.3">
      <c r="A197" s="1">
        <v>45839</v>
      </c>
      <c r="B197" t="s">
        <v>40</v>
      </c>
      <c r="C197">
        <v>17</v>
      </c>
      <c r="D197">
        <v>815826</v>
      </c>
      <c r="E197">
        <v>48</v>
      </c>
      <c r="F197">
        <v>0</v>
      </c>
      <c r="G197">
        <v>0.05</v>
      </c>
      <c r="H197" t="s">
        <v>78</v>
      </c>
    </row>
    <row r="198" spans="1:8" x14ac:dyDescent="0.3">
      <c r="A198" s="1">
        <v>45870</v>
      </c>
      <c r="B198" t="s">
        <v>40</v>
      </c>
      <c r="C198">
        <v>17</v>
      </c>
      <c r="D198">
        <v>568096</v>
      </c>
      <c r="E198">
        <v>230</v>
      </c>
      <c r="F198">
        <v>0</v>
      </c>
      <c r="G198">
        <v>0.05</v>
      </c>
      <c r="H198" t="s">
        <v>78</v>
      </c>
    </row>
    <row r="199" spans="1:8" x14ac:dyDescent="0.3">
      <c r="A199" s="1">
        <v>45901</v>
      </c>
      <c r="B199" t="s">
        <v>40</v>
      </c>
      <c r="C199">
        <v>17</v>
      </c>
      <c r="D199">
        <v>517522</v>
      </c>
      <c r="E199">
        <v>242</v>
      </c>
      <c r="F199">
        <v>0</v>
      </c>
      <c r="G199">
        <v>0.05</v>
      </c>
      <c r="H199" t="s">
        <v>78</v>
      </c>
    </row>
    <row r="200" spans="1:8" x14ac:dyDescent="0.3">
      <c r="A200" s="1">
        <v>45931</v>
      </c>
      <c r="B200" t="s">
        <v>40</v>
      </c>
      <c r="C200">
        <v>17</v>
      </c>
      <c r="D200">
        <v>182192</v>
      </c>
      <c r="E200">
        <v>1526</v>
      </c>
      <c r="F200">
        <v>8.0000000000000002E-3</v>
      </c>
      <c r="G200">
        <v>0.05</v>
      </c>
      <c r="H200" t="s">
        <v>78</v>
      </c>
    </row>
    <row r="201" spans="1:8" x14ac:dyDescent="0.3">
      <c r="A201" s="1">
        <v>45962</v>
      </c>
      <c r="B201" t="s">
        <v>40</v>
      </c>
      <c r="C201">
        <v>17</v>
      </c>
      <c r="D201">
        <v>70412</v>
      </c>
      <c r="E201">
        <v>2158</v>
      </c>
      <c r="F201">
        <v>3.1E-2</v>
      </c>
      <c r="G201">
        <v>0.05</v>
      </c>
      <c r="H201" t="s">
        <v>78</v>
      </c>
    </row>
    <row r="202" spans="1:8" x14ac:dyDescent="0.3">
      <c r="A202" s="1">
        <v>45992</v>
      </c>
      <c r="B202" t="s">
        <v>40</v>
      </c>
      <c r="C202">
        <v>17</v>
      </c>
      <c r="D202">
        <v>51260</v>
      </c>
      <c r="E202">
        <v>2064</v>
      </c>
      <c r="F202">
        <v>0.04</v>
      </c>
      <c r="G202">
        <v>0.05</v>
      </c>
      <c r="H202" t="s">
        <v>78</v>
      </c>
    </row>
    <row r="203" spans="1:8" x14ac:dyDescent="0.3">
      <c r="A203" s="1">
        <v>46023</v>
      </c>
      <c r="B203" t="s">
        <v>40</v>
      </c>
      <c r="C203">
        <v>17</v>
      </c>
      <c r="D203">
        <v>66704</v>
      </c>
      <c r="E203">
        <v>1524</v>
      </c>
      <c r="F203">
        <v>2.3E-2</v>
      </c>
      <c r="G203">
        <v>0.05</v>
      </c>
      <c r="H203" t="s">
        <v>78</v>
      </c>
    </row>
    <row r="204" spans="1:8" x14ac:dyDescent="0.3">
      <c r="A204" s="1">
        <v>46054</v>
      </c>
      <c r="B204" t="s">
        <v>40</v>
      </c>
      <c r="C204">
        <v>17</v>
      </c>
      <c r="D204">
        <v>49396</v>
      </c>
      <c r="E204">
        <v>1400</v>
      </c>
      <c r="F204">
        <v>2.8000000000000001E-2</v>
      </c>
      <c r="G204">
        <v>0.05</v>
      </c>
      <c r="H204" t="s">
        <v>78</v>
      </c>
    </row>
    <row r="205" spans="1:8" x14ac:dyDescent="0.3">
      <c r="A205" s="1">
        <v>46082</v>
      </c>
      <c r="B205" t="s">
        <v>40</v>
      </c>
      <c r="C205">
        <v>17</v>
      </c>
      <c r="D205">
        <v>38300</v>
      </c>
      <c r="E205">
        <v>1952</v>
      </c>
      <c r="F205">
        <v>5.0999999999999997E-2</v>
      </c>
      <c r="G205">
        <v>0.05</v>
      </c>
      <c r="H205" t="s">
        <v>79</v>
      </c>
    </row>
    <row r="206" spans="1:8" x14ac:dyDescent="0.3">
      <c r="A206" s="1">
        <v>45748</v>
      </c>
      <c r="B206" t="s">
        <v>40</v>
      </c>
      <c r="C206">
        <v>18</v>
      </c>
      <c r="D206">
        <v>70940</v>
      </c>
      <c r="E206">
        <v>623</v>
      </c>
      <c r="F206">
        <v>8.9999999999999993E-3</v>
      </c>
      <c r="G206">
        <v>0.05</v>
      </c>
      <c r="H206" t="s">
        <v>78</v>
      </c>
    </row>
    <row r="207" spans="1:8" x14ac:dyDescent="0.3">
      <c r="A207" s="1">
        <v>45778</v>
      </c>
      <c r="B207" t="s">
        <v>40</v>
      </c>
      <c r="C207">
        <v>18</v>
      </c>
      <c r="D207">
        <v>150951</v>
      </c>
      <c r="E207">
        <v>1265</v>
      </c>
      <c r="F207">
        <v>8.0000000000000002E-3</v>
      </c>
      <c r="G207">
        <v>0.05</v>
      </c>
      <c r="H207" t="s">
        <v>78</v>
      </c>
    </row>
    <row r="208" spans="1:8" x14ac:dyDescent="0.3">
      <c r="A208" s="1">
        <v>45809</v>
      </c>
      <c r="B208" t="s">
        <v>40</v>
      </c>
      <c r="C208">
        <v>18</v>
      </c>
      <c r="D208">
        <v>300171</v>
      </c>
      <c r="E208">
        <v>851</v>
      </c>
      <c r="F208">
        <v>3.0000000000000001E-3</v>
      </c>
      <c r="G208">
        <v>0.05</v>
      </c>
      <c r="H208" t="s">
        <v>78</v>
      </c>
    </row>
    <row r="209" spans="1:8" x14ac:dyDescent="0.3">
      <c r="A209" s="1">
        <v>45839</v>
      </c>
      <c r="B209" t="s">
        <v>40</v>
      </c>
      <c r="C209">
        <v>18</v>
      </c>
      <c r="D209">
        <v>430253</v>
      </c>
      <c r="E209">
        <v>1720</v>
      </c>
      <c r="F209">
        <v>4.0000000000000001E-3</v>
      </c>
      <c r="G209">
        <v>0.05</v>
      </c>
      <c r="H209" t="s">
        <v>78</v>
      </c>
    </row>
    <row r="210" spans="1:8" x14ac:dyDescent="0.3">
      <c r="A210" s="1">
        <v>45870</v>
      </c>
      <c r="B210" t="s">
        <v>40</v>
      </c>
      <c r="C210">
        <v>18</v>
      </c>
      <c r="D210">
        <v>398629</v>
      </c>
      <c r="E210">
        <v>1506</v>
      </c>
      <c r="F210">
        <v>4.0000000000000001E-3</v>
      </c>
      <c r="G210">
        <v>0.05</v>
      </c>
      <c r="H210" t="s">
        <v>78</v>
      </c>
    </row>
    <row r="211" spans="1:8" x14ac:dyDescent="0.3">
      <c r="A211" s="1">
        <v>45901</v>
      </c>
      <c r="B211" t="s">
        <v>40</v>
      </c>
      <c r="C211">
        <v>18</v>
      </c>
      <c r="D211">
        <v>243049</v>
      </c>
      <c r="E211">
        <v>1482</v>
      </c>
      <c r="F211">
        <v>6.0000000000000001E-3</v>
      </c>
      <c r="G211">
        <v>0.05</v>
      </c>
      <c r="H211" t="s">
        <v>78</v>
      </c>
    </row>
    <row r="212" spans="1:8" x14ac:dyDescent="0.3">
      <c r="A212" s="1">
        <v>45931</v>
      </c>
      <c r="B212" t="s">
        <v>40</v>
      </c>
      <c r="C212">
        <v>18</v>
      </c>
      <c r="D212">
        <v>131227</v>
      </c>
      <c r="E212">
        <v>626</v>
      </c>
      <c r="F212">
        <v>5.0000000000000001E-3</v>
      </c>
      <c r="G212">
        <v>0.05</v>
      </c>
      <c r="H212" t="s">
        <v>78</v>
      </c>
    </row>
    <row r="213" spans="1:8" x14ac:dyDescent="0.3">
      <c r="A213" s="1">
        <v>45962</v>
      </c>
      <c r="B213" t="s">
        <v>40</v>
      </c>
      <c r="C213">
        <v>18</v>
      </c>
      <c r="D213">
        <v>115746</v>
      </c>
      <c r="E213">
        <v>401</v>
      </c>
      <c r="F213">
        <v>3.0000000000000001E-3</v>
      </c>
      <c r="G213">
        <v>0.05</v>
      </c>
      <c r="H213" t="s">
        <v>78</v>
      </c>
    </row>
    <row r="214" spans="1:8" x14ac:dyDescent="0.3">
      <c r="A214" s="1">
        <v>45992</v>
      </c>
      <c r="B214" t="s">
        <v>40</v>
      </c>
      <c r="C214">
        <v>18</v>
      </c>
      <c r="D214">
        <v>191232</v>
      </c>
      <c r="E214">
        <v>365</v>
      </c>
      <c r="F214">
        <v>2E-3</v>
      </c>
      <c r="G214">
        <v>0.05</v>
      </c>
      <c r="H214" t="s">
        <v>78</v>
      </c>
    </row>
    <row r="215" spans="1:8" x14ac:dyDescent="0.3">
      <c r="A215" s="1">
        <v>46023</v>
      </c>
      <c r="B215" t="s">
        <v>40</v>
      </c>
      <c r="C215">
        <v>18</v>
      </c>
      <c r="D215">
        <v>61840</v>
      </c>
      <c r="E215">
        <v>517</v>
      </c>
      <c r="F215">
        <v>8.0000000000000002E-3</v>
      </c>
      <c r="G215">
        <v>0.05</v>
      </c>
      <c r="H215" t="s">
        <v>78</v>
      </c>
    </row>
    <row r="216" spans="1:8" x14ac:dyDescent="0.3">
      <c r="A216" s="1">
        <v>46054</v>
      </c>
      <c r="B216" t="s">
        <v>40</v>
      </c>
      <c r="C216">
        <v>18</v>
      </c>
      <c r="D216">
        <v>42031</v>
      </c>
      <c r="E216">
        <v>616</v>
      </c>
      <c r="F216">
        <v>1.4999999999999999E-2</v>
      </c>
      <c r="G216">
        <v>0.05</v>
      </c>
      <c r="H216" t="s">
        <v>78</v>
      </c>
    </row>
    <row r="217" spans="1:8" x14ac:dyDescent="0.3">
      <c r="A217" s="1">
        <v>46082</v>
      </c>
      <c r="B217" t="s">
        <v>40</v>
      </c>
      <c r="C217">
        <v>18</v>
      </c>
      <c r="D217">
        <v>58870</v>
      </c>
      <c r="E217">
        <v>540</v>
      </c>
      <c r="F217">
        <v>8.9999999999999993E-3</v>
      </c>
      <c r="G217">
        <v>0.05</v>
      </c>
      <c r="H217" t="s">
        <v>78</v>
      </c>
    </row>
    <row r="218" spans="1:8" x14ac:dyDescent="0.3">
      <c r="A218" s="1">
        <v>45748</v>
      </c>
      <c r="B218" t="s">
        <v>40</v>
      </c>
      <c r="C218">
        <v>19</v>
      </c>
      <c r="D218">
        <v>150910</v>
      </c>
      <c r="E218">
        <v>315</v>
      </c>
      <c r="F218">
        <v>2E-3</v>
      </c>
      <c r="G218">
        <v>0.05</v>
      </c>
      <c r="H218" t="s">
        <v>78</v>
      </c>
    </row>
    <row r="219" spans="1:8" x14ac:dyDescent="0.3">
      <c r="A219" s="1">
        <v>45778</v>
      </c>
      <c r="B219" t="s">
        <v>40</v>
      </c>
      <c r="C219">
        <v>19</v>
      </c>
      <c r="D219">
        <v>297003</v>
      </c>
      <c r="E219">
        <v>1517</v>
      </c>
      <c r="F219">
        <v>5.0000000000000001E-3</v>
      </c>
      <c r="G219">
        <v>0.05</v>
      </c>
      <c r="H219" t="s">
        <v>78</v>
      </c>
    </row>
    <row r="220" spans="1:8" x14ac:dyDescent="0.3">
      <c r="A220" s="1">
        <v>45809</v>
      </c>
      <c r="B220" t="s">
        <v>40</v>
      </c>
      <c r="C220">
        <v>19</v>
      </c>
      <c r="D220">
        <v>912130</v>
      </c>
      <c r="E220">
        <v>2315</v>
      </c>
      <c r="F220">
        <v>3.0000000000000001E-3</v>
      </c>
      <c r="G220">
        <v>0.05</v>
      </c>
      <c r="H220" t="s">
        <v>78</v>
      </c>
    </row>
    <row r="221" spans="1:8" x14ac:dyDescent="0.3">
      <c r="A221" s="1">
        <v>45839</v>
      </c>
      <c r="B221" t="s">
        <v>40</v>
      </c>
      <c r="C221">
        <v>19</v>
      </c>
      <c r="D221">
        <v>1162156</v>
      </c>
      <c r="E221">
        <v>4098</v>
      </c>
      <c r="F221">
        <v>4.0000000000000001E-3</v>
      </c>
      <c r="G221">
        <v>0.05</v>
      </c>
      <c r="H221" t="s">
        <v>78</v>
      </c>
    </row>
    <row r="222" spans="1:8" x14ac:dyDescent="0.3">
      <c r="A222" s="1">
        <v>45870</v>
      </c>
      <c r="B222" t="s">
        <v>40</v>
      </c>
      <c r="C222">
        <v>19</v>
      </c>
      <c r="D222">
        <v>725434</v>
      </c>
      <c r="E222">
        <v>2280</v>
      </c>
      <c r="F222">
        <v>3.0000000000000001E-3</v>
      </c>
      <c r="G222">
        <v>0.05</v>
      </c>
      <c r="H222" t="s">
        <v>78</v>
      </c>
    </row>
    <row r="223" spans="1:8" x14ac:dyDescent="0.3">
      <c r="A223" s="1">
        <v>45901</v>
      </c>
      <c r="B223" t="s">
        <v>40</v>
      </c>
      <c r="C223">
        <v>19</v>
      </c>
      <c r="D223">
        <v>422571</v>
      </c>
      <c r="E223">
        <v>1937</v>
      </c>
      <c r="F223">
        <v>5.0000000000000001E-3</v>
      </c>
      <c r="G223">
        <v>0.05</v>
      </c>
      <c r="H223" t="s">
        <v>78</v>
      </c>
    </row>
    <row r="224" spans="1:8" x14ac:dyDescent="0.3">
      <c r="A224" s="1">
        <v>45931</v>
      </c>
      <c r="B224" t="s">
        <v>40</v>
      </c>
      <c r="C224">
        <v>19</v>
      </c>
      <c r="D224">
        <v>241172</v>
      </c>
      <c r="E224">
        <v>412</v>
      </c>
      <c r="F224">
        <v>2E-3</v>
      </c>
      <c r="G224">
        <v>0.05</v>
      </c>
      <c r="H224" t="s">
        <v>78</v>
      </c>
    </row>
    <row r="225" spans="1:8" x14ac:dyDescent="0.3">
      <c r="A225" s="1">
        <v>45962</v>
      </c>
      <c r="B225" t="s">
        <v>40</v>
      </c>
      <c r="C225">
        <v>19</v>
      </c>
      <c r="D225">
        <v>236136</v>
      </c>
      <c r="E225">
        <v>151</v>
      </c>
      <c r="F225">
        <v>1E-3</v>
      </c>
      <c r="G225">
        <v>0.05</v>
      </c>
      <c r="H225" t="s">
        <v>78</v>
      </c>
    </row>
    <row r="226" spans="1:8" x14ac:dyDescent="0.3">
      <c r="A226" s="1">
        <v>45992</v>
      </c>
      <c r="B226" t="s">
        <v>40</v>
      </c>
      <c r="C226">
        <v>19</v>
      </c>
      <c r="D226">
        <v>370684</v>
      </c>
      <c r="E226">
        <v>36</v>
      </c>
      <c r="F226">
        <v>0</v>
      </c>
      <c r="G226">
        <v>0.05</v>
      </c>
      <c r="H226" t="s">
        <v>78</v>
      </c>
    </row>
    <row r="227" spans="1:8" x14ac:dyDescent="0.3">
      <c r="A227" s="1">
        <v>46023</v>
      </c>
      <c r="B227" t="s">
        <v>40</v>
      </c>
      <c r="C227">
        <v>19</v>
      </c>
      <c r="D227">
        <v>144683</v>
      </c>
      <c r="E227">
        <v>70</v>
      </c>
      <c r="F227">
        <v>0</v>
      </c>
      <c r="G227">
        <v>0.05</v>
      </c>
      <c r="H227" t="s">
        <v>78</v>
      </c>
    </row>
    <row r="228" spans="1:8" x14ac:dyDescent="0.3">
      <c r="A228" s="1">
        <v>46054</v>
      </c>
      <c r="B228" t="s">
        <v>40</v>
      </c>
      <c r="C228">
        <v>19</v>
      </c>
      <c r="D228">
        <v>100234</v>
      </c>
      <c r="E228">
        <v>149</v>
      </c>
      <c r="F228">
        <v>1E-3</v>
      </c>
      <c r="G228">
        <v>0.05</v>
      </c>
      <c r="H228" t="s">
        <v>78</v>
      </c>
    </row>
    <row r="229" spans="1:8" x14ac:dyDescent="0.3">
      <c r="A229" s="1">
        <v>46082</v>
      </c>
      <c r="B229" t="s">
        <v>40</v>
      </c>
      <c r="C229">
        <v>19</v>
      </c>
      <c r="D229">
        <v>126585</v>
      </c>
      <c r="E229">
        <v>146</v>
      </c>
      <c r="F229">
        <v>1E-3</v>
      </c>
      <c r="G229">
        <v>0.05</v>
      </c>
      <c r="H229" t="s">
        <v>78</v>
      </c>
    </row>
    <row r="230" spans="1:8" x14ac:dyDescent="0.3">
      <c r="A230" s="1">
        <v>45748</v>
      </c>
      <c r="B230" t="s">
        <v>40</v>
      </c>
      <c r="C230">
        <v>20</v>
      </c>
      <c r="D230">
        <v>55212</v>
      </c>
      <c r="E230">
        <v>623</v>
      </c>
      <c r="F230">
        <v>1.0999999999999999E-2</v>
      </c>
      <c r="G230">
        <v>0.05</v>
      </c>
      <c r="H230" t="s">
        <v>78</v>
      </c>
    </row>
    <row r="231" spans="1:8" x14ac:dyDescent="0.3">
      <c r="A231" s="1">
        <v>45778</v>
      </c>
      <c r="B231" t="s">
        <v>40</v>
      </c>
      <c r="C231">
        <v>20</v>
      </c>
      <c r="D231">
        <v>246334</v>
      </c>
      <c r="E231">
        <v>2131</v>
      </c>
      <c r="F231">
        <v>8.9999999999999993E-3</v>
      </c>
      <c r="G231">
        <v>0.05</v>
      </c>
      <c r="H231" t="s">
        <v>78</v>
      </c>
    </row>
    <row r="232" spans="1:8" x14ac:dyDescent="0.3">
      <c r="A232" s="1">
        <v>45809</v>
      </c>
      <c r="B232" t="s">
        <v>40</v>
      </c>
      <c r="C232">
        <v>20</v>
      </c>
      <c r="D232">
        <v>405863</v>
      </c>
      <c r="E232">
        <v>9223</v>
      </c>
      <c r="F232">
        <v>2.3E-2</v>
      </c>
      <c r="G232">
        <v>0.05</v>
      </c>
      <c r="H232" t="s">
        <v>78</v>
      </c>
    </row>
    <row r="233" spans="1:8" x14ac:dyDescent="0.3">
      <c r="A233" s="1">
        <v>45839</v>
      </c>
      <c r="B233" t="s">
        <v>40</v>
      </c>
      <c r="C233">
        <v>20</v>
      </c>
      <c r="D233">
        <v>510362</v>
      </c>
      <c r="E233">
        <v>11709</v>
      </c>
      <c r="F233">
        <v>2.3E-2</v>
      </c>
      <c r="G233">
        <v>0.05</v>
      </c>
      <c r="H233" t="s">
        <v>78</v>
      </c>
    </row>
    <row r="234" spans="1:8" x14ac:dyDescent="0.3">
      <c r="A234" s="1">
        <v>45870</v>
      </c>
      <c r="B234" t="s">
        <v>40</v>
      </c>
      <c r="C234">
        <v>20</v>
      </c>
      <c r="D234">
        <v>339781</v>
      </c>
      <c r="E234">
        <v>2881</v>
      </c>
      <c r="F234">
        <v>8.0000000000000002E-3</v>
      </c>
      <c r="G234">
        <v>0.05</v>
      </c>
      <c r="H234" t="s">
        <v>78</v>
      </c>
    </row>
    <row r="235" spans="1:8" x14ac:dyDescent="0.3">
      <c r="A235" s="1">
        <v>45901</v>
      </c>
      <c r="B235" t="s">
        <v>40</v>
      </c>
      <c r="C235">
        <v>20</v>
      </c>
      <c r="D235">
        <v>343584</v>
      </c>
      <c r="E235">
        <v>2661</v>
      </c>
      <c r="F235">
        <v>8.0000000000000002E-3</v>
      </c>
      <c r="G235">
        <v>0.05</v>
      </c>
      <c r="H235" t="s">
        <v>78</v>
      </c>
    </row>
    <row r="236" spans="1:8" x14ac:dyDescent="0.3">
      <c r="A236" s="1">
        <v>45931</v>
      </c>
      <c r="B236" t="s">
        <v>40</v>
      </c>
      <c r="C236">
        <v>20</v>
      </c>
      <c r="D236">
        <v>101218</v>
      </c>
      <c r="E236">
        <v>767</v>
      </c>
      <c r="F236">
        <v>8.0000000000000002E-3</v>
      </c>
      <c r="G236">
        <v>0.05</v>
      </c>
      <c r="H236" t="s">
        <v>78</v>
      </c>
    </row>
    <row r="237" spans="1:8" x14ac:dyDescent="0.3">
      <c r="A237" s="1">
        <v>45962</v>
      </c>
      <c r="B237" t="s">
        <v>40</v>
      </c>
      <c r="C237">
        <v>20</v>
      </c>
      <c r="D237">
        <v>20852</v>
      </c>
      <c r="E237">
        <v>243</v>
      </c>
      <c r="F237">
        <v>1.2E-2</v>
      </c>
      <c r="G237">
        <v>0.05</v>
      </c>
      <c r="H237" t="s">
        <v>78</v>
      </c>
    </row>
    <row r="238" spans="1:8" x14ac:dyDescent="0.3">
      <c r="A238" s="1">
        <v>45992</v>
      </c>
      <c r="B238" t="s">
        <v>40</v>
      </c>
      <c r="C238">
        <v>20</v>
      </c>
      <c r="D238">
        <v>12645</v>
      </c>
      <c r="E238">
        <v>47</v>
      </c>
      <c r="F238">
        <v>4.0000000000000001E-3</v>
      </c>
      <c r="G238">
        <v>0.05</v>
      </c>
      <c r="H238" t="s">
        <v>78</v>
      </c>
    </row>
    <row r="239" spans="1:8" x14ac:dyDescent="0.3">
      <c r="A239" s="1">
        <v>46023</v>
      </c>
      <c r="B239" t="s">
        <v>40</v>
      </c>
      <c r="C239">
        <v>20</v>
      </c>
      <c r="D239">
        <v>19720</v>
      </c>
      <c r="E239">
        <v>146</v>
      </c>
      <c r="F239">
        <v>7.0000000000000001E-3</v>
      </c>
      <c r="G239">
        <v>0.05</v>
      </c>
      <c r="H239" t="s">
        <v>78</v>
      </c>
    </row>
    <row r="240" spans="1:8" x14ac:dyDescent="0.3">
      <c r="A240" s="1">
        <v>46054</v>
      </c>
      <c r="B240" t="s">
        <v>40</v>
      </c>
      <c r="C240">
        <v>20</v>
      </c>
      <c r="D240">
        <v>26233</v>
      </c>
      <c r="E240">
        <v>248</v>
      </c>
      <c r="F240">
        <v>8.9999999999999993E-3</v>
      </c>
      <c r="G240">
        <v>0.05</v>
      </c>
      <c r="H240" t="s">
        <v>78</v>
      </c>
    </row>
    <row r="241" spans="1:8" x14ac:dyDescent="0.3">
      <c r="A241" s="1">
        <v>46082</v>
      </c>
      <c r="B241" t="s">
        <v>40</v>
      </c>
      <c r="C241">
        <v>20</v>
      </c>
      <c r="D241">
        <v>23291</v>
      </c>
      <c r="E241">
        <v>232</v>
      </c>
      <c r="F241">
        <v>0.01</v>
      </c>
      <c r="G241">
        <v>0.05</v>
      </c>
      <c r="H241" t="s">
        <v>78</v>
      </c>
    </row>
    <row r="242" spans="1:8" x14ac:dyDescent="0.3">
      <c r="A242" s="1">
        <v>45748</v>
      </c>
      <c r="B242" t="s">
        <v>40</v>
      </c>
      <c r="C242">
        <v>21</v>
      </c>
      <c r="D242">
        <v>49032</v>
      </c>
      <c r="E242">
        <v>3310</v>
      </c>
      <c r="F242">
        <v>6.8000000000000005E-2</v>
      </c>
      <c r="G242">
        <v>0.05</v>
      </c>
      <c r="H242" t="s">
        <v>79</v>
      </c>
    </row>
    <row r="243" spans="1:8" x14ac:dyDescent="0.3">
      <c r="A243" s="1">
        <v>45778</v>
      </c>
      <c r="B243" t="s">
        <v>40</v>
      </c>
      <c r="C243">
        <v>21</v>
      </c>
      <c r="D243">
        <v>217894</v>
      </c>
      <c r="E243">
        <v>6724</v>
      </c>
      <c r="F243">
        <v>3.1E-2</v>
      </c>
      <c r="G243">
        <v>0.05</v>
      </c>
      <c r="H243" t="s">
        <v>78</v>
      </c>
    </row>
    <row r="244" spans="1:8" x14ac:dyDescent="0.3">
      <c r="A244" s="1">
        <v>45809</v>
      </c>
      <c r="B244" t="s">
        <v>40</v>
      </c>
      <c r="C244">
        <v>21</v>
      </c>
      <c r="D244">
        <v>343038</v>
      </c>
      <c r="E244">
        <v>7425</v>
      </c>
      <c r="F244">
        <v>2.1999999999999999E-2</v>
      </c>
      <c r="G244">
        <v>0.05</v>
      </c>
      <c r="H244" t="s">
        <v>78</v>
      </c>
    </row>
    <row r="245" spans="1:8" x14ac:dyDescent="0.3">
      <c r="A245" s="1">
        <v>45839</v>
      </c>
      <c r="B245" t="s">
        <v>40</v>
      </c>
      <c r="C245">
        <v>21</v>
      </c>
      <c r="D245">
        <v>453002</v>
      </c>
      <c r="E245">
        <v>8680</v>
      </c>
      <c r="F245">
        <v>1.9E-2</v>
      </c>
      <c r="G245">
        <v>0.05</v>
      </c>
      <c r="H245" t="s">
        <v>78</v>
      </c>
    </row>
    <row r="246" spans="1:8" x14ac:dyDescent="0.3">
      <c r="A246" s="1">
        <v>45870</v>
      </c>
      <c r="B246" t="s">
        <v>40</v>
      </c>
      <c r="C246">
        <v>21</v>
      </c>
      <c r="D246">
        <v>321516</v>
      </c>
      <c r="E246">
        <v>8680</v>
      </c>
      <c r="F246">
        <v>2.7E-2</v>
      </c>
      <c r="G246">
        <v>0.05</v>
      </c>
      <c r="H246" t="s">
        <v>78</v>
      </c>
    </row>
    <row r="247" spans="1:8" x14ac:dyDescent="0.3">
      <c r="A247" s="1">
        <v>45901</v>
      </c>
      <c r="B247" t="s">
        <v>40</v>
      </c>
      <c r="C247">
        <v>21</v>
      </c>
      <c r="D247">
        <v>315162</v>
      </c>
      <c r="E247">
        <v>6720</v>
      </c>
      <c r="F247">
        <v>2.1000000000000001E-2</v>
      </c>
      <c r="G247">
        <v>0.05</v>
      </c>
      <c r="H247" t="s">
        <v>78</v>
      </c>
    </row>
    <row r="248" spans="1:8" x14ac:dyDescent="0.3">
      <c r="A248" s="1">
        <v>45931</v>
      </c>
      <c r="B248" t="s">
        <v>40</v>
      </c>
      <c r="C248">
        <v>21</v>
      </c>
      <c r="D248">
        <v>76485</v>
      </c>
      <c r="E248">
        <v>5600</v>
      </c>
      <c r="F248">
        <v>7.2999999999999995E-2</v>
      </c>
      <c r="G248">
        <v>0.05</v>
      </c>
      <c r="H248" t="s">
        <v>79</v>
      </c>
    </row>
    <row r="249" spans="1:8" x14ac:dyDescent="0.3">
      <c r="A249" s="1">
        <v>45962</v>
      </c>
      <c r="B249" t="s">
        <v>40</v>
      </c>
      <c r="C249">
        <v>21</v>
      </c>
      <c r="D249">
        <v>21226</v>
      </c>
      <c r="E249">
        <v>363</v>
      </c>
      <c r="F249">
        <v>1.7000000000000001E-2</v>
      </c>
      <c r="G249">
        <v>0.05</v>
      </c>
      <c r="H249" t="s">
        <v>78</v>
      </c>
    </row>
    <row r="250" spans="1:8" x14ac:dyDescent="0.3">
      <c r="A250" s="1">
        <v>45992</v>
      </c>
      <c r="B250" t="s">
        <v>40</v>
      </c>
      <c r="C250">
        <v>21</v>
      </c>
      <c r="D250">
        <v>11446</v>
      </c>
      <c r="E250">
        <v>437</v>
      </c>
      <c r="F250">
        <v>3.7999999999999999E-2</v>
      </c>
      <c r="G250">
        <v>0.05</v>
      </c>
      <c r="H250" t="s">
        <v>78</v>
      </c>
    </row>
    <row r="251" spans="1:8" x14ac:dyDescent="0.3">
      <c r="A251" s="1">
        <v>46023</v>
      </c>
      <c r="B251" t="s">
        <v>40</v>
      </c>
      <c r="C251">
        <v>21</v>
      </c>
      <c r="D251">
        <v>17667</v>
      </c>
      <c r="E251">
        <v>620</v>
      </c>
      <c r="F251">
        <v>3.5000000000000003E-2</v>
      </c>
      <c r="G251">
        <v>0.05</v>
      </c>
      <c r="H251" t="s">
        <v>78</v>
      </c>
    </row>
    <row r="252" spans="1:8" x14ac:dyDescent="0.3">
      <c r="A252" s="1">
        <v>46054</v>
      </c>
      <c r="B252" t="s">
        <v>40</v>
      </c>
      <c r="C252">
        <v>21</v>
      </c>
      <c r="D252">
        <v>24744</v>
      </c>
      <c r="E252">
        <v>640</v>
      </c>
      <c r="F252">
        <v>2.5999999999999999E-2</v>
      </c>
      <c r="G252">
        <v>0.05</v>
      </c>
      <c r="H252" t="s">
        <v>78</v>
      </c>
    </row>
    <row r="253" spans="1:8" x14ac:dyDescent="0.3">
      <c r="A253" s="1">
        <v>46082</v>
      </c>
      <c r="B253" t="s">
        <v>40</v>
      </c>
      <c r="C253">
        <v>21</v>
      </c>
      <c r="D253">
        <v>22730</v>
      </c>
      <c r="E253">
        <v>540</v>
      </c>
      <c r="F253">
        <v>2.4E-2</v>
      </c>
      <c r="G253">
        <v>0.05</v>
      </c>
      <c r="H253" t="s">
        <v>78</v>
      </c>
    </row>
    <row r="254" spans="1:8" x14ac:dyDescent="0.3">
      <c r="A254" s="1">
        <v>45748</v>
      </c>
      <c r="B254" t="s">
        <v>40</v>
      </c>
      <c r="C254">
        <v>22</v>
      </c>
      <c r="D254">
        <v>55212</v>
      </c>
      <c r="E254">
        <v>4470</v>
      </c>
      <c r="F254">
        <v>8.1000000000000003E-2</v>
      </c>
      <c r="G254">
        <v>0.05</v>
      </c>
      <c r="H254" t="s">
        <v>79</v>
      </c>
    </row>
    <row r="255" spans="1:8" x14ac:dyDescent="0.3">
      <c r="A255" s="1">
        <v>45778</v>
      </c>
      <c r="B255" t="s">
        <v>40</v>
      </c>
      <c r="C255">
        <v>22</v>
      </c>
      <c r="D255">
        <v>169017</v>
      </c>
      <c r="E255">
        <v>5257</v>
      </c>
      <c r="F255">
        <v>3.1E-2</v>
      </c>
      <c r="G255">
        <v>0.05</v>
      </c>
      <c r="H255" t="s">
        <v>78</v>
      </c>
    </row>
    <row r="256" spans="1:8" x14ac:dyDescent="0.3">
      <c r="A256" s="1">
        <v>45809</v>
      </c>
      <c r="B256" t="s">
        <v>40</v>
      </c>
      <c r="C256">
        <v>22</v>
      </c>
      <c r="D256">
        <v>222654</v>
      </c>
      <c r="E256">
        <v>1533</v>
      </c>
      <c r="F256">
        <v>7.0000000000000001E-3</v>
      </c>
      <c r="G256">
        <v>0.05</v>
      </c>
      <c r="H256" t="s">
        <v>78</v>
      </c>
    </row>
    <row r="257" spans="1:8" x14ac:dyDescent="0.3">
      <c r="A257" s="1">
        <v>45839</v>
      </c>
      <c r="B257" t="s">
        <v>40</v>
      </c>
      <c r="C257">
        <v>22</v>
      </c>
      <c r="D257">
        <v>267435</v>
      </c>
      <c r="E257">
        <v>55</v>
      </c>
      <c r="F257">
        <v>0</v>
      </c>
      <c r="G257">
        <v>0.05</v>
      </c>
      <c r="H257" t="s">
        <v>78</v>
      </c>
    </row>
    <row r="258" spans="1:8" x14ac:dyDescent="0.3">
      <c r="A258" s="1">
        <v>45870</v>
      </c>
      <c r="B258" t="s">
        <v>40</v>
      </c>
      <c r="C258">
        <v>22</v>
      </c>
      <c r="D258">
        <v>225236</v>
      </c>
      <c r="E258">
        <v>1316</v>
      </c>
      <c r="F258">
        <v>6.0000000000000001E-3</v>
      </c>
      <c r="G258">
        <v>0.05</v>
      </c>
      <c r="H258" t="s">
        <v>78</v>
      </c>
    </row>
    <row r="259" spans="1:8" x14ac:dyDescent="0.3">
      <c r="A259" s="1">
        <v>45901</v>
      </c>
      <c r="B259" t="s">
        <v>40</v>
      </c>
      <c r="C259">
        <v>22</v>
      </c>
      <c r="D259">
        <v>201857</v>
      </c>
      <c r="E259">
        <v>3111</v>
      </c>
      <c r="F259">
        <v>1.4999999999999999E-2</v>
      </c>
      <c r="G259">
        <v>0.05</v>
      </c>
      <c r="H259" t="s">
        <v>78</v>
      </c>
    </row>
    <row r="260" spans="1:8" x14ac:dyDescent="0.3">
      <c r="A260" s="1">
        <v>45931</v>
      </c>
      <c r="B260" t="s">
        <v>40</v>
      </c>
      <c r="C260">
        <v>22</v>
      </c>
      <c r="D260">
        <v>72194</v>
      </c>
      <c r="E260">
        <v>1785</v>
      </c>
      <c r="F260">
        <v>2.5000000000000001E-2</v>
      </c>
      <c r="G260">
        <v>0.05</v>
      </c>
      <c r="H260" t="s">
        <v>78</v>
      </c>
    </row>
    <row r="261" spans="1:8" x14ac:dyDescent="0.3">
      <c r="A261" s="1">
        <v>45962</v>
      </c>
      <c r="B261" t="s">
        <v>40</v>
      </c>
      <c r="C261">
        <v>22</v>
      </c>
      <c r="D261">
        <v>40403</v>
      </c>
      <c r="E261">
        <v>1584</v>
      </c>
      <c r="F261">
        <v>3.9E-2</v>
      </c>
      <c r="G261">
        <v>0.05</v>
      </c>
      <c r="H261" t="s">
        <v>78</v>
      </c>
    </row>
    <row r="262" spans="1:8" x14ac:dyDescent="0.3">
      <c r="A262" s="1">
        <v>45992</v>
      </c>
      <c r="B262" t="s">
        <v>40</v>
      </c>
      <c r="C262">
        <v>22</v>
      </c>
      <c r="D262">
        <v>52561</v>
      </c>
      <c r="E262">
        <v>171</v>
      </c>
      <c r="F262">
        <v>3.0000000000000001E-3</v>
      </c>
      <c r="G262">
        <v>0.05</v>
      </c>
      <c r="H262" t="s">
        <v>78</v>
      </c>
    </row>
    <row r="263" spans="1:8" x14ac:dyDescent="0.3">
      <c r="A263" s="1">
        <v>46023</v>
      </c>
      <c r="B263" t="s">
        <v>40</v>
      </c>
      <c r="C263">
        <v>22</v>
      </c>
      <c r="D263">
        <v>57832</v>
      </c>
      <c r="E263">
        <v>99</v>
      </c>
      <c r="F263">
        <v>2E-3</v>
      </c>
      <c r="G263">
        <v>0.05</v>
      </c>
      <c r="H263" t="s">
        <v>78</v>
      </c>
    </row>
    <row r="264" spans="1:8" x14ac:dyDescent="0.3">
      <c r="A264" s="1">
        <v>46054</v>
      </c>
      <c r="B264" t="s">
        <v>40</v>
      </c>
      <c r="C264">
        <v>22</v>
      </c>
      <c r="D264">
        <v>49218</v>
      </c>
      <c r="E264">
        <v>240</v>
      </c>
      <c r="F264">
        <v>5.0000000000000001E-3</v>
      </c>
      <c r="G264">
        <v>0.05</v>
      </c>
      <c r="H264" t="s">
        <v>78</v>
      </c>
    </row>
    <row r="265" spans="1:8" x14ac:dyDescent="0.3">
      <c r="A265" s="1">
        <v>46082</v>
      </c>
      <c r="B265" t="s">
        <v>40</v>
      </c>
      <c r="C265">
        <v>22</v>
      </c>
      <c r="D265">
        <v>29755</v>
      </c>
      <c r="E265">
        <v>630</v>
      </c>
      <c r="F265">
        <v>2.1000000000000001E-2</v>
      </c>
      <c r="G265">
        <v>0.05</v>
      </c>
      <c r="H265" t="s">
        <v>78</v>
      </c>
    </row>
    <row r="266" spans="1:8" x14ac:dyDescent="0.3">
      <c r="A266" s="1">
        <v>45748</v>
      </c>
      <c r="B266" t="s">
        <v>40</v>
      </c>
      <c r="C266">
        <v>23</v>
      </c>
      <c r="D266">
        <v>68638</v>
      </c>
      <c r="E266">
        <v>4470</v>
      </c>
      <c r="F266">
        <v>6.5000000000000002E-2</v>
      </c>
      <c r="G266">
        <v>0.05</v>
      </c>
      <c r="H266" t="s">
        <v>79</v>
      </c>
    </row>
    <row r="267" spans="1:8" x14ac:dyDescent="0.3">
      <c r="A267" s="1">
        <v>45778</v>
      </c>
      <c r="B267" t="s">
        <v>40</v>
      </c>
      <c r="C267">
        <v>23</v>
      </c>
      <c r="D267">
        <v>207567</v>
      </c>
      <c r="E267">
        <v>5257</v>
      </c>
      <c r="F267">
        <v>2.5000000000000001E-2</v>
      </c>
      <c r="G267">
        <v>0.05</v>
      </c>
      <c r="H267" t="s">
        <v>78</v>
      </c>
    </row>
    <row r="268" spans="1:8" x14ac:dyDescent="0.3">
      <c r="A268" s="1">
        <v>45809</v>
      </c>
      <c r="B268" t="s">
        <v>40</v>
      </c>
      <c r="C268">
        <v>23</v>
      </c>
      <c r="D268">
        <v>278762</v>
      </c>
      <c r="E268">
        <v>1533</v>
      </c>
      <c r="F268">
        <v>5.0000000000000001E-3</v>
      </c>
      <c r="G268">
        <v>0.05</v>
      </c>
      <c r="H268" t="s">
        <v>78</v>
      </c>
    </row>
    <row r="269" spans="1:8" x14ac:dyDescent="0.3">
      <c r="A269" s="1">
        <v>45839</v>
      </c>
      <c r="B269" t="s">
        <v>40</v>
      </c>
      <c r="C269">
        <v>23</v>
      </c>
      <c r="D269">
        <v>322060</v>
      </c>
      <c r="E269">
        <v>55</v>
      </c>
      <c r="F269">
        <v>0</v>
      </c>
      <c r="G269">
        <v>0.05</v>
      </c>
      <c r="H269" t="s">
        <v>78</v>
      </c>
    </row>
    <row r="270" spans="1:8" x14ac:dyDescent="0.3">
      <c r="A270" s="1">
        <v>45870</v>
      </c>
      <c r="B270" t="s">
        <v>40</v>
      </c>
      <c r="C270">
        <v>23</v>
      </c>
      <c r="D270">
        <v>298180</v>
      </c>
      <c r="E270">
        <v>1316</v>
      </c>
      <c r="F270">
        <v>4.0000000000000001E-3</v>
      </c>
      <c r="G270">
        <v>0.05</v>
      </c>
      <c r="H270" t="s">
        <v>78</v>
      </c>
    </row>
    <row r="271" spans="1:8" x14ac:dyDescent="0.3">
      <c r="A271" s="1">
        <v>45901</v>
      </c>
      <c r="B271" t="s">
        <v>40</v>
      </c>
      <c r="C271">
        <v>23</v>
      </c>
      <c r="D271">
        <v>259620</v>
      </c>
      <c r="E271">
        <v>3111</v>
      </c>
      <c r="F271">
        <v>1.2E-2</v>
      </c>
      <c r="G271">
        <v>0.05</v>
      </c>
      <c r="H271" t="s">
        <v>78</v>
      </c>
    </row>
    <row r="272" spans="1:8" x14ac:dyDescent="0.3">
      <c r="A272" s="1">
        <v>45931</v>
      </c>
      <c r="B272" t="s">
        <v>40</v>
      </c>
      <c r="C272">
        <v>23</v>
      </c>
      <c r="D272">
        <v>79220</v>
      </c>
      <c r="E272">
        <v>1785</v>
      </c>
      <c r="F272">
        <v>2.3E-2</v>
      </c>
      <c r="G272">
        <v>0.05</v>
      </c>
      <c r="H272" t="s">
        <v>78</v>
      </c>
    </row>
    <row r="273" spans="1:8" x14ac:dyDescent="0.3">
      <c r="A273" s="1">
        <v>45962</v>
      </c>
      <c r="B273" t="s">
        <v>40</v>
      </c>
      <c r="C273">
        <v>23</v>
      </c>
      <c r="D273">
        <v>45069</v>
      </c>
      <c r="E273">
        <v>1584</v>
      </c>
      <c r="F273">
        <v>3.5000000000000003E-2</v>
      </c>
      <c r="G273">
        <v>0.05</v>
      </c>
      <c r="H273" t="s">
        <v>78</v>
      </c>
    </row>
    <row r="274" spans="1:8" x14ac:dyDescent="0.3">
      <c r="A274" s="1">
        <v>45992</v>
      </c>
      <c r="B274" t="s">
        <v>40</v>
      </c>
      <c r="C274">
        <v>23</v>
      </c>
      <c r="D274">
        <v>62931</v>
      </c>
      <c r="E274">
        <v>171</v>
      </c>
      <c r="F274">
        <v>3.0000000000000001E-3</v>
      </c>
      <c r="G274">
        <v>0.05</v>
      </c>
      <c r="H274" t="s">
        <v>78</v>
      </c>
    </row>
    <row r="275" spans="1:8" x14ac:dyDescent="0.3">
      <c r="A275" s="1">
        <v>46023</v>
      </c>
      <c r="B275" t="s">
        <v>40</v>
      </c>
      <c r="C275">
        <v>23</v>
      </c>
      <c r="D275">
        <v>63880</v>
      </c>
      <c r="E275">
        <v>99</v>
      </c>
      <c r="F275">
        <v>2E-3</v>
      </c>
      <c r="G275">
        <v>0.05</v>
      </c>
      <c r="H275" t="s">
        <v>78</v>
      </c>
    </row>
    <row r="276" spans="1:8" x14ac:dyDescent="0.3">
      <c r="A276" s="1">
        <v>46054</v>
      </c>
      <c r="B276" t="s">
        <v>40</v>
      </c>
      <c r="C276">
        <v>23</v>
      </c>
      <c r="D276">
        <v>54480</v>
      </c>
      <c r="E276">
        <v>240</v>
      </c>
      <c r="F276">
        <v>4.0000000000000001E-3</v>
      </c>
      <c r="G276">
        <v>0.05</v>
      </c>
      <c r="H276" t="s">
        <v>78</v>
      </c>
    </row>
    <row r="277" spans="1:8" x14ac:dyDescent="0.3">
      <c r="A277" s="1">
        <v>46082</v>
      </c>
      <c r="B277" t="s">
        <v>40</v>
      </c>
      <c r="C277">
        <v>23</v>
      </c>
      <c r="D277">
        <v>31160</v>
      </c>
      <c r="E277">
        <v>630</v>
      </c>
      <c r="F277">
        <v>0.02</v>
      </c>
      <c r="G277">
        <v>0.05</v>
      </c>
      <c r="H277" t="s">
        <v>78</v>
      </c>
    </row>
    <row r="278" spans="1:8" x14ac:dyDescent="0.3">
      <c r="A278" s="1">
        <v>45748</v>
      </c>
      <c r="B278" t="s">
        <v>40</v>
      </c>
      <c r="C278">
        <v>24</v>
      </c>
      <c r="D278">
        <v>80100</v>
      </c>
      <c r="E278">
        <v>4470</v>
      </c>
      <c r="F278">
        <v>5.6000000000000001E-2</v>
      </c>
      <c r="G278">
        <v>0.05</v>
      </c>
      <c r="H278" t="s">
        <v>79</v>
      </c>
    </row>
    <row r="279" spans="1:8" x14ac:dyDescent="0.3">
      <c r="A279" s="1">
        <v>45778</v>
      </c>
      <c r="B279" t="s">
        <v>40</v>
      </c>
      <c r="C279">
        <v>24</v>
      </c>
      <c r="D279">
        <v>150255</v>
      </c>
      <c r="E279">
        <v>5257</v>
      </c>
      <c r="F279">
        <v>3.5000000000000003E-2</v>
      </c>
      <c r="G279">
        <v>0.05</v>
      </c>
      <c r="H279" t="s">
        <v>78</v>
      </c>
    </row>
    <row r="280" spans="1:8" x14ac:dyDescent="0.3">
      <c r="A280" s="1">
        <v>45809</v>
      </c>
      <c r="B280" t="s">
        <v>40</v>
      </c>
      <c r="C280">
        <v>24</v>
      </c>
      <c r="D280">
        <v>249495</v>
      </c>
      <c r="E280">
        <v>1533</v>
      </c>
      <c r="F280">
        <v>6.0000000000000001E-3</v>
      </c>
      <c r="G280">
        <v>0.05</v>
      </c>
      <c r="H280" t="s">
        <v>78</v>
      </c>
    </row>
    <row r="281" spans="1:8" x14ac:dyDescent="0.3">
      <c r="A281" s="1">
        <v>45839</v>
      </c>
      <c r="B281" t="s">
        <v>40</v>
      </c>
      <c r="C281">
        <v>24</v>
      </c>
      <c r="D281">
        <v>337710</v>
      </c>
      <c r="E281">
        <v>55</v>
      </c>
      <c r="F281">
        <v>0</v>
      </c>
      <c r="G281">
        <v>0.05</v>
      </c>
      <c r="H281" t="s">
        <v>78</v>
      </c>
    </row>
    <row r="282" spans="1:8" x14ac:dyDescent="0.3">
      <c r="A282" s="1">
        <v>45870</v>
      </c>
      <c r="B282" t="s">
        <v>40</v>
      </c>
      <c r="C282">
        <v>24</v>
      </c>
      <c r="D282">
        <v>224708</v>
      </c>
      <c r="E282">
        <v>1316</v>
      </c>
      <c r="F282">
        <v>6.0000000000000001E-3</v>
      </c>
      <c r="G282">
        <v>0.05</v>
      </c>
      <c r="H282" t="s">
        <v>78</v>
      </c>
    </row>
    <row r="283" spans="1:8" x14ac:dyDescent="0.3">
      <c r="A283" s="1">
        <v>45901</v>
      </c>
      <c r="B283" t="s">
        <v>40</v>
      </c>
      <c r="C283">
        <v>24</v>
      </c>
      <c r="D283">
        <v>202133</v>
      </c>
      <c r="E283">
        <v>3111</v>
      </c>
      <c r="F283">
        <v>1.4999999999999999E-2</v>
      </c>
      <c r="G283">
        <v>0.05</v>
      </c>
      <c r="H283" t="s">
        <v>78</v>
      </c>
    </row>
    <row r="284" spans="1:8" x14ac:dyDescent="0.3">
      <c r="A284" s="1">
        <v>45931</v>
      </c>
      <c r="B284" t="s">
        <v>40</v>
      </c>
      <c r="C284">
        <v>24</v>
      </c>
      <c r="D284">
        <v>87578</v>
      </c>
      <c r="E284">
        <v>1785</v>
      </c>
      <c r="F284">
        <v>0.02</v>
      </c>
      <c r="G284">
        <v>0.05</v>
      </c>
      <c r="H284" t="s">
        <v>78</v>
      </c>
    </row>
    <row r="285" spans="1:8" x14ac:dyDescent="0.3">
      <c r="A285" s="1">
        <v>45962</v>
      </c>
      <c r="B285" t="s">
        <v>40</v>
      </c>
      <c r="C285">
        <v>24</v>
      </c>
      <c r="D285">
        <v>65318</v>
      </c>
      <c r="E285">
        <v>1584</v>
      </c>
      <c r="F285">
        <v>2.4E-2</v>
      </c>
      <c r="G285">
        <v>0.05</v>
      </c>
      <c r="H285" t="s">
        <v>78</v>
      </c>
    </row>
    <row r="286" spans="1:8" x14ac:dyDescent="0.3">
      <c r="A286" s="1">
        <v>45992</v>
      </c>
      <c r="B286" t="s">
        <v>40</v>
      </c>
      <c r="C286">
        <v>24</v>
      </c>
      <c r="D286">
        <v>66997</v>
      </c>
      <c r="E286">
        <v>171</v>
      </c>
      <c r="F286">
        <v>3.0000000000000001E-3</v>
      </c>
      <c r="G286">
        <v>0.05</v>
      </c>
      <c r="H286" t="s">
        <v>78</v>
      </c>
    </row>
    <row r="287" spans="1:8" x14ac:dyDescent="0.3">
      <c r="A287" s="1">
        <v>46023</v>
      </c>
      <c r="B287" t="s">
        <v>40</v>
      </c>
      <c r="C287">
        <v>24</v>
      </c>
      <c r="D287">
        <v>75143</v>
      </c>
      <c r="E287">
        <v>99</v>
      </c>
      <c r="F287">
        <v>1E-3</v>
      </c>
      <c r="G287">
        <v>0.05</v>
      </c>
      <c r="H287" t="s">
        <v>78</v>
      </c>
    </row>
    <row r="288" spans="1:8" x14ac:dyDescent="0.3">
      <c r="A288" s="1">
        <v>46054</v>
      </c>
      <c r="B288" t="s">
        <v>40</v>
      </c>
      <c r="C288">
        <v>24</v>
      </c>
      <c r="D288">
        <v>59160</v>
      </c>
      <c r="E288">
        <v>240</v>
      </c>
      <c r="F288">
        <v>4.0000000000000001E-3</v>
      </c>
      <c r="G288">
        <v>0.05</v>
      </c>
      <c r="H288" t="s">
        <v>78</v>
      </c>
    </row>
    <row r="289" spans="1:8" x14ac:dyDescent="0.3">
      <c r="A289" s="1">
        <v>46082</v>
      </c>
      <c r="B289" t="s">
        <v>40</v>
      </c>
      <c r="C289">
        <v>24</v>
      </c>
      <c r="D289">
        <v>61950</v>
      </c>
      <c r="E289">
        <v>630</v>
      </c>
      <c r="F289">
        <v>0.01</v>
      </c>
      <c r="G289">
        <v>0.05</v>
      </c>
      <c r="H289" t="s">
        <v>78</v>
      </c>
    </row>
    <row r="290" spans="1:8" x14ac:dyDescent="0.3">
      <c r="A290" s="1">
        <v>45748</v>
      </c>
      <c r="B290" t="s">
        <v>40</v>
      </c>
      <c r="C290">
        <v>25</v>
      </c>
      <c r="D290">
        <v>970280</v>
      </c>
      <c r="E290">
        <v>4470</v>
      </c>
      <c r="F290">
        <v>5.0000000000000001E-3</v>
      </c>
      <c r="G290">
        <v>0.05</v>
      </c>
      <c r="H290" t="s">
        <v>78</v>
      </c>
    </row>
    <row r="291" spans="1:8" x14ac:dyDescent="0.3">
      <c r="A291" s="1">
        <v>45778</v>
      </c>
      <c r="B291" t="s">
        <v>40</v>
      </c>
      <c r="C291">
        <v>25</v>
      </c>
      <c r="D291">
        <v>1358748</v>
      </c>
      <c r="E291">
        <v>5257</v>
      </c>
      <c r="F291">
        <v>4.0000000000000001E-3</v>
      </c>
      <c r="G291">
        <v>0.05</v>
      </c>
      <c r="H291" t="s">
        <v>78</v>
      </c>
    </row>
    <row r="292" spans="1:8" x14ac:dyDescent="0.3">
      <c r="A292" s="1">
        <v>45809</v>
      </c>
      <c r="B292" t="s">
        <v>40</v>
      </c>
      <c r="C292">
        <v>25</v>
      </c>
      <c r="D292">
        <v>2403665</v>
      </c>
      <c r="E292">
        <v>1533</v>
      </c>
      <c r="F292">
        <v>1E-3</v>
      </c>
      <c r="G292">
        <v>0.05</v>
      </c>
      <c r="H292" t="s">
        <v>78</v>
      </c>
    </row>
    <row r="293" spans="1:8" x14ac:dyDescent="0.3">
      <c r="A293" s="1">
        <v>45839</v>
      </c>
      <c r="B293" t="s">
        <v>40</v>
      </c>
      <c r="C293">
        <v>25</v>
      </c>
      <c r="D293">
        <v>2919780</v>
      </c>
      <c r="E293">
        <v>55</v>
      </c>
      <c r="F293">
        <v>0</v>
      </c>
      <c r="G293">
        <v>0.05</v>
      </c>
      <c r="H293" t="s">
        <v>78</v>
      </c>
    </row>
    <row r="294" spans="1:8" x14ac:dyDescent="0.3">
      <c r="A294" s="1">
        <v>45870</v>
      </c>
      <c r="B294" t="s">
        <v>40</v>
      </c>
      <c r="C294">
        <v>25</v>
      </c>
      <c r="D294">
        <v>2097476</v>
      </c>
      <c r="E294">
        <v>1316</v>
      </c>
      <c r="F294">
        <v>1E-3</v>
      </c>
      <c r="G294">
        <v>0.05</v>
      </c>
      <c r="H294" t="s">
        <v>78</v>
      </c>
    </row>
    <row r="295" spans="1:8" x14ac:dyDescent="0.3">
      <c r="A295" s="1">
        <v>45901</v>
      </c>
      <c r="B295" t="s">
        <v>40</v>
      </c>
      <c r="C295">
        <v>25</v>
      </c>
      <c r="D295">
        <v>1600225</v>
      </c>
      <c r="E295">
        <v>3111</v>
      </c>
      <c r="F295">
        <v>2E-3</v>
      </c>
      <c r="G295">
        <v>0.05</v>
      </c>
      <c r="H295" t="s">
        <v>78</v>
      </c>
    </row>
    <row r="296" spans="1:8" x14ac:dyDescent="0.3">
      <c r="A296" s="1">
        <v>45931</v>
      </c>
      <c r="B296" t="s">
        <v>40</v>
      </c>
      <c r="C296">
        <v>25</v>
      </c>
      <c r="D296">
        <v>940703</v>
      </c>
      <c r="E296">
        <v>1785</v>
      </c>
      <c r="F296">
        <v>2E-3</v>
      </c>
      <c r="G296">
        <v>0.05</v>
      </c>
      <c r="H296" t="s">
        <v>78</v>
      </c>
    </row>
    <row r="297" spans="1:8" x14ac:dyDescent="0.3">
      <c r="A297" s="1">
        <v>45962</v>
      </c>
      <c r="B297" t="s">
        <v>40</v>
      </c>
      <c r="C297">
        <v>25</v>
      </c>
      <c r="D297">
        <v>708646</v>
      </c>
      <c r="E297">
        <v>1584</v>
      </c>
      <c r="F297">
        <v>2E-3</v>
      </c>
      <c r="G297">
        <v>0.05</v>
      </c>
      <c r="H297" t="s">
        <v>78</v>
      </c>
    </row>
    <row r="298" spans="1:8" x14ac:dyDescent="0.3">
      <c r="A298" s="1">
        <v>45992</v>
      </c>
      <c r="B298" t="s">
        <v>40</v>
      </c>
      <c r="C298">
        <v>25</v>
      </c>
      <c r="D298">
        <v>734937</v>
      </c>
      <c r="E298">
        <v>171</v>
      </c>
      <c r="F298">
        <v>0</v>
      </c>
      <c r="G298">
        <v>0.05</v>
      </c>
      <c r="H298" t="s">
        <v>78</v>
      </c>
    </row>
    <row r="299" spans="1:8" x14ac:dyDescent="0.3">
      <c r="A299" s="1">
        <v>46023</v>
      </c>
      <c r="B299" t="s">
        <v>40</v>
      </c>
      <c r="C299">
        <v>25</v>
      </c>
      <c r="D299">
        <v>469743</v>
      </c>
      <c r="E299">
        <v>99</v>
      </c>
      <c r="F299">
        <v>0</v>
      </c>
      <c r="G299">
        <v>0.05</v>
      </c>
      <c r="H299" t="s">
        <v>78</v>
      </c>
    </row>
    <row r="300" spans="1:8" x14ac:dyDescent="0.3">
      <c r="A300" s="1">
        <v>46054</v>
      </c>
      <c r="B300" t="s">
        <v>40</v>
      </c>
      <c r="C300">
        <v>25</v>
      </c>
      <c r="D300">
        <v>414841</v>
      </c>
      <c r="E300">
        <v>240</v>
      </c>
      <c r="F300">
        <v>1E-3</v>
      </c>
      <c r="G300">
        <v>0.05</v>
      </c>
      <c r="H300" t="s">
        <v>78</v>
      </c>
    </row>
    <row r="301" spans="1:8" x14ac:dyDescent="0.3">
      <c r="A301" s="1">
        <v>46082</v>
      </c>
      <c r="B301" t="s">
        <v>40</v>
      </c>
      <c r="C301">
        <v>25</v>
      </c>
      <c r="D301">
        <v>574430</v>
      </c>
      <c r="E301">
        <v>630</v>
      </c>
      <c r="F301">
        <v>1E-3</v>
      </c>
      <c r="G301">
        <v>0.05</v>
      </c>
      <c r="H301" t="s">
        <v>78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956EC-3A0B-4DFE-B474-96FC656D5174}">
  <dimension ref="A3:C58"/>
  <sheetViews>
    <sheetView zoomScale="89" workbookViewId="0">
      <selection activeCell="L7" sqref="L7"/>
    </sheetView>
  </sheetViews>
  <sheetFormatPr defaultRowHeight="14.4" x14ac:dyDescent="0.3"/>
  <cols>
    <col min="1" max="1" width="12.44140625" bestFit="1" customWidth="1"/>
    <col min="2" max="2" width="13.21875" bestFit="1" customWidth="1"/>
    <col min="3" max="3" width="13.21875" style="8" bestFit="1" customWidth="1"/>
  </cols>
  <sheetData>
    <row r="3" spans="1:3" x14ac:dyDescent="0.3">
      <c r="A3" s="3" t="s">
        <v>87</v>
      </c>
      <c r="B3" t="s">
        <v>93</v>
      </c>
      <c r="C3"/>
    </row>
    <row r="4" spans="1:3" x14ac:dyDescent="0.3">
      <c r="A4" s="4">
        <v>1</v>
      </c>
      <c r="B4" s="7">
        <v>37060</v>
      </c>
      <c r="C4"/>
    </row>
    <row r="5" spans="1:3" x14ac:dyDescent="0.3">
      <c r="A5" s="4">
        <v>2</v>
      </c>
      <c r="B5" s="7">
        <v>16602</v>
      </c>
      <c r="C5"/>
    </row>
    <row r="6" spans="1:3" x14ac:dyDescent="0.3">
      <c r="A6" s="4">
        <v>3</v>
      </c>
      <c r="B6" s="7">
        <v>87708</v>
      </c>
      <c r="C6"/>
    </row>
    <row r="7" spans="1:3" x14ac:dyDescent="0.3">
      <c r="A7" s="4">
        <v>4</v>
      </c>
      <c r="B7" s="7">
        <v>-1604123</v>
      </c>
      <c r="C7"/>
    </row>
    <row r="8" spans="1:3" x14ac:dyDescent="0.3">
      <c r="A8" s="4">
        <v>5</v>
      </c>
      <c r="B8" s="7">
        <v>33893</v>
      </c>
      <c r="C8"/>
    </row>
    <row r="9" spans="1:3" x14ac:dyDescent="0.3">
      <c r="A9" s="4">
        <v>6</v>
      </c>
      <c r="B9" s="7">
        <v>94356</v>
      </c>
      <c r="C9"/>
    </row>
    <row r="10" spans="1:3" x14ac:dyDescent="0.3">
      <c r="A10" s="4">
        <v>7</v>
      </c>
      <c r="B10" s="7">
        <v>202225</v>
      </c>
      <c r="C10"/>
    </row>
    <row r="11" spans="1:3" x14ac:dyDescent="0.3">
      <c r="A11" s="4">
        <v>8</v>
      </c>
      <c r="B11" s="7">
        <v>358909</v>
      </c>
      <c r="C11"/>
    </row>
    <row r="12" spans="1:3" x14ac:dyDescent="0.3">
      <c r="A12" s="4">
        <v>9</v>
      </c>
      <c r="B12" s="7">
        <v>61524</v>
      </c>
      <c r="C12"/>
    </row>
    <row r="13" spans="1:3" x14ac:dyDescent="0.3">
      <c r="A13" s="4">
        <v>10</v>
      </c>
      <c r="B13" s="7">
        <v>305320</v>
      </c>
      <c r="C13"/>
    </row>
    <row r="14" spans="1:3" x14ac:dyDescent="0.3">
      <c r="A14" s="4">
        <v>11</v>
      </c>
      <c r="B14" s="7">
        <v>17586</v>
      </c>
      <c r="C14"/>
    </row>
    <row r="15" spans="1:3" x14ac:dyDescent="0.3">
      <c r="A15" s="4">
        <v>12</v>
      </c>
      <c r="B15" s="7">
        <v>39816</v>
      </c>
      <c r="C15"/>
    </row>
    <row r="16" spans="1:3" x14ac:dyDescent="0.3">
      <c r="A16" s="4">
        <v>13</v>
      </c>
      <c r="B16" s="7">
        <v>-65178</v>
      </c>
      <c r="C16"/>
    </row>
    <row r="17" spans="1:3" x14ac:dyDescent="0.3">
      <c r="A17" s="4">
        <v>14</v>
      </c>
      <c r="B17" s="7">
        <v>28863</v>
      </c>
      <c r="C17"/>
    </row>
    <row r="18" spans="1:3" x14ac:dyDescent="0.3">
      <c r="A18" s="4">
        <v>15</v>
      </c>
      <c r="B18" s="7">
        <v>13800</v>
      </c>
      <c r="C18"/>
    </row>
    <row r="19" spans="1:3" x14ac:dyDescent="0.3">
      <c r="A19" s="4">
        <v>16</v>
      </c>
      <c r="B19" s="7">
        <v>16021</v>
      </c>
      <c r="C19"/>
    </row>
    <row r="20" spans="1:3" x14ac:dyDescent="0.3">
      <c r="A20" s="4">
        <v>17</v>
      </c>
      <c r="B20" s="7">
        <v>-21140</v>
      </c>
      <c r="C20"/>
    </row>
    <row r="21" spans="1:3" x14ac:dyDescent="0.3">
      <c r="A21" s="4">
        <v>18</v>
      </c>
      <c r="B21" s="7">
        <v>50033</v>
      </c>
      <c r="C21"/>
    </row>
    <row r="22" spans="1:3" x14ac:dyDescent="0.3">
      <c r="A22" s="4">
        <v>19</v>
      </c>
      <c r="B22" s="7">
        <v>-109408</v>
      </c>
      <c r="C22"/>
    </row>
    <row r="23" spans="1:3" x14ac:dyDescent="0.3">
      <c r="A23" s="4">
        <v>20</v>
      </c>
      <c r="B23" s="7">
        <v>37951</v>
      </c>
      <c r="C23"/>
    </row>
    <row r="24" spans="1:3" x14ac:dyDescent="0.3">
      <c r="A24" s="4">
        <v>21</v>
      </c>
      <c r="B24" s="7">
        <v>35714</v>
      </c>
      <c r="C24"/>
    </row>
    <row r="25" spans="1:3" x14ac:dyDescent="0.3">
      <c r="A25" s="4">
        <v>22</v>
      </c>
      <c r="B25" s="7">
        <v>28762</v>
      </c>
      <c r="C25"/>
    </row>
    <row r="26" spans="1:3" x14ac:dyDescent="0.3">
      <c r="A26" s="4">
        <v>23</v>
      </c>
      <c r="B26" s="7">
        <v>30322</v>
      </c>
      <c r="C26"/>
    </row>
    <row r="27" spans="1:3" x14ac:dyDescent="0.3">
      <c r="A27" s="4">
        <v>24</v>
      </c>
      <c r="B27" s="7">
        <v>25552</v>
      </c>
      <c r="C27"/>
    </row>
    <row r="28" spans="1:3" x14ac:dyDescent="0.3">
      <c r="A28" s="4">
        <v>25</v>
      </c>
      <c r="B28" s="7">
        <v>485995</v>
      </c>
      <c r="C28"/>
    </row>
    <row r="29" spans="1:3" x14ac:dyDescent="0.3">
      <c r="A29" s="4" t="s">
        <v>88</v>
      </c>
      <c r="B29" s="7">
        <v>208163</v>
      </c>
      <c r="C29"/>
    </row>
    <row r="32" spans="1:3" x14ac:dyDescent="0.3">
      <c r="A32" s="3" t="s">
        <v>87</v>
      </c>
      <c r="B32" s="8" t="s">
        <v>94</v>
      </c>
      <c r="C32"/>
    </row>
    <row r="33" spans="1:3" x14ac:dyDescent="0.3">
      <c r="A33" s="4">
        <v>1</v>
      </c>
      <c r="B33" s="8">
        <v>1.6574999999999999E-2</v>
      </c>
      <c r="C33"/>
    </row>
    <row r="34" spans="1:3" x14ac:dyDescent="0.3">
      <c r="A34" s="4">
        <v>2</v>
      </c>
      <c r="B34" s="8">
        <v>1.2025000000000001E-2</v>
      </c>
      <c r="C34"/>
    </row>
    <row r="35" spans="1:3" x14ac:dyDescent="0.3">
      <c r="A35" s="4">
        <v>3</v>
      </c>
      <c r="B35" s="8">
        <v>1.41E-2</v>
      </c>
      <c r="C35"/>
    </row>
    <row r="36" spans="1:3" x14ac:dyDescent="0.3">
      <c r="A36" s="4">
        <v>4</v>
      </c>
      <c r="B36" s="8">
        <v>-0.64580833333333343</v>
      </c>
      <c r="C36"/>
    </row>
    <row r="37" spans="1:3" x14ac:dyDescent="0.3">
      <c r="A37" s="4">
        <v>5</v>
      </c>
      <c r="B37" s="8">
        <v>1.4650000000000002E-2</v>
      </c>
      <c r="C37"/>
    </row>
    <row r="38" spans="1:3" x14ac:dyDescent="0.3">
      <c r="A38" s="4">
        <v>6</v>
      </c>
      <c r="B38" s="8">
        <v>4.5616666666666666E-2</v>
      </c>
      <c r="C38"/>
    </row>
    <row r="39" spans="1:3" x14ac:dyDescent="0.3">
      <c r="A39" s="4">
        <v>7</v>
      </c>
      <c r="B39" s="8">
        <v>4.99E-2</v>
      </c>
      <c r="C39"/>
    </row>
    <row r="40" spans="1:3" x14ac:dyDescent="0.3">
      <c r="A40" s="4">
        <v>8</v>
      </c>
      <c r="B40" s="8">
        <v>4.1924999999999997E-2</v>
      </c>
      <c r="C40"/>
    </row>
    <row r="41" spans="1:3" x14ac:dyDescent="0.3">
      <c r="A41" s="4">
        <v>9</v>
      </c>
      <c r="B41" s="8">
        <v>1.8891666666666668E-2</v>
      </c>
      <c r="C41"/>
    </row>
    <row r="42" spans="1:3" x14ac:dyDescent="0.3">
      <c r="A42" s="4">
        <v>10</v>
      </c>
      <c r="B42" s="8">
        <v>5.6783333333333325E-2</v>
      </c>
      <c r="C42"/>
    </row>
    <row r="43" spans="1:3" x14ac:dyDescent="0.3">
      <c r="A43" s="4">
        <v>11</v>
      </c>
      <c r="B43" s="8">
        <v>8.6500000000000014E-3</v>
      </c>
      <c r="C43"/>
    </row>
    <row r="44" spans="1:3" x14ac:dyDescent="0.3">
      <c r="A44" s="4">
        <v>12</v>
      </c>
      <c r="B44" s="8">
        <v>1.4100000000000001E-2</v>
      </c>
      <c r="C44"/>
    </row>
    <row r="45" spans="1:3" x14ac:dyDescent="0.3">
      <c r="A45" s="4">
        <v>13</v>
      </c>
      <c r="B45" s="8">
        <v>-4.1958333333333341E-2</v>
      </c>
      <c r="C45"/>
    </row>
    <row r="46" spans="1:3" x14ac:dyDescent="0.3">
      <c r="A46" s="4">
        <v>14</v>
      </c>
      <c r="B46" s="8">
        <v>1.2749999999999999E-2</v>
      </c>
      <c r="C46"/>
    </row>
    <row r="47" spans="1:3" x14ac:dyDescent="0.3">
      <c r="A47" s="4">
        <v>15</v>
      </c>
      <c r="B47" s="8">
        <v>2.2541666666666668E-2</v>
      </c>
      <c r="C47"/>
    </row>
    <row r="48" spans="1:3" x14ac:dyDescent="0.3">
      <c r="A48" s="4">
        <v>16</v>
      </c>
      <c r="B48" s="8">
        <v>2.1408333333333335E-2</v>
      </c>
      <c r="C48"/>
    </row>
    <row r="49" spans="1:3" x14ac:dyDescent="0.3">
      <c r="A49" s="4">
        <v>17</v>
      </c>
      <c r="B49" s="8">
        <v>1.2200000000000003E-2</v>
      </c>
      <c r="C49"/>
    </row>
    <row r="50" spans="1:3" x14ac:dyDescent="0.3">
      <c r="A50" s="4">
        <v>18</v>
      </c>
      <c r="B50" s="8">
        <v>2.6524999999999996E-2</v>
      </c>
    </row>
    <row r="51" spans="1:3" x14ac:dyDescent="0.3">
      <c r="A51" s="4">
        <v>19</v>
      </c>
      <c r="B51" s="8">
        <v>-3.1933333333333334E-2</v>
      </c>
    </row>
    <row r="52" spans="1:3" x14ac:dyDescent="0.3">
      <c r="A52" s="4">
        <v>20</v>
      </c>
      <c r="B52" s="8">
        <v>1.9191666666666666E-2</v>
      </c>
    </row>
    <row r="53" spans="1:3" x14ac:dyDescent="0.3">
      <c r="A53" s="4">
        <v>21</v>
      </c>
      <c r="B53" s="8">
        <v>2.8349999999999997E-2</v>
      </c>
    </row>
    <row r="54" spans="1:3" x14ac:dyDescent="0.3">
      <c r="A54" s="4">
        <v>22</v>
      </c>
      <c r="B54" s="8">
        <v>2.355833333333333E-2</v>
      </c>
    </row>
    <row r="55" spans="1:3" x14ac:dyDescent="0.3">
      <c r="A55" s="4">
        <v>23</v>
      </c>
      <c r="B55" s="8">
        <v>1.9925000000000002E-2</v>
      </c>
    </row>
    <row r="56" spans="1:3" x14ac:dyDescent="0.3">
      <c r="A56" s="4">
        <v>24</v>
      </c>
      <c r="B56" s="8">
        <v>1.495E-2</v>
      </c>
    </row>
    <row r="57" spans="1:3" x14ac:dyDescent="0.3">
      <c r="A57" s="4">
        <v>25</v>
      </c>
      <c r="B57" s="8">
        <v>3.6824999999999997E-2</v>
      </c>
    </row>
    <row r="58" spans="1:3" x14ac:dyDescent="0.3">
      <c r="A58" s="4" t="s">
        <v>88</v>
      </c>
      <c r="B58" s="8">
        <v>-7.5303333333333455E-3</v>
      </c>
    </row>
  </sheetData>
  <pageMargins left="0.7" right="0.7" top="0.75" bottom="0.75" header="0.3" footer="0.3"/>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8445E-C674-4855-A152-DA5DF75D69CC}">
  <dimension ref="A1:J301"/>
  <sheetViews>
    <sheetView topLeftCell="A8" workbookViewId="0">
      <selection sqref="A1:I278"/>
    </sheetView>
  </sheetViews>
  <sheetFormatPr defaultRowHeight="14.4" x14ac:dyDescent="0.3"/>
  <cols>
    <col min="1" max="1" width="14.33203125" bestFit="1" customWidth="1"/>
    <col min="2" max="2" width="15.44140625" bestFit="1" customWidth="1"/>
    <col min="3" max="3" width="10.109375" bestFit="1" customWidth="1"/>
    <col min="4" max="4" width="21.5546875" bestFit="1" customWidth="1"/>
    <col min="5" max="5" width="15.5546875" bestFit="1" customWidth="1"/>
    <col min="6" max="6" width="23.88671875" bestFit="1" customWidth="1"/>
    <col min="7" max="7" width="18.44140625" bestFit="1" customWidth="1"/>
    <col min="8" max="8" width="13.109375" bestFit="1" customWidth="1"/>
  </cols>
  <sheetData>
    <row r="1" spans="1:10" x14ac:dyDescent="0.3">
      <c r="A1" t="s">
        <v>43</v>
      </c>
      <c r="B1" t="s">
        <v>36</v>
      </c>
      <c r="C1" t="s">
        <v>0</v>
      </c>
      <c r="D1" t="s">
        <v>38</v>
      </c>
      <c r="E1" t="s">
        <v>74</v>
      </c>
      <c r="F1" t="s">
        <v>75</v>
      </c>
      <c r="G1" t="s">
        <v>76</v>
      </c>
      <c r="H1" t="s">
        <v>77</v>
      </c>
      <c r="I1" t="s">
        <v>86</v>
      </c>
    </row>
    <row r="2" spans="1:10" hidden="1" x14ac:dyDescent="0.3">
      <c r="A2" s="1">
        <v>45748</v>
      </c>
      <c r="B2" t="s">
        <v>40</v>
      </c>
      <c r="C2">
        <v>1</v>
      </c>
      <c r="D2">
        <v>209819</v>
      </c>
      <c r="E2">
        <v>6952</v>
      </c>
      <c r="F2">
        <v>3.3000000000000002E-2</v>
      </c>
      <c r="G2">
        <v>0.05</v>
      </c>
      <c r="H2" t="s">
        <v>78</v>
      </c>
      <c r="I2" t="str">
        <f t="shared" ref="I2:I65" si="0">IF(ABS(F2)&gt;G2,"Review","OK")</f>
        <v>OK</v>
      </c>
      <c r="J2">
        <f>COUNTIF(E2:E301,"&lt;0")</f>
        <v>1</v>
      </c>
    </row>
    <row r="3" spans="1:10" hidden="1" x14ac:dyDescent="0.3">
      <c r="A3" s="1">
        <v>45778</v>
      </c>
      <c r="B3" t="s">
        <v>40</v>
      </c>
      <c r="C3">
        <v>1</v>
      </c>
      <c r="D3">
        <v>274677</v>
      </c>
      <c r="E3">
        <v>10097</v>
      </c>
      <c r="F3">
        <v>3.6999999999999998E-2</v>
      </c>
      <c r="G3">
        <v>0.05</v>
      </c>
      <c r="H3" t="s">
        <v>78</v>
      </c>
      <c r="I3" t="str">
        <f t="shared" si="0"/>
        <v>OK</v>
      </c>
    </row>
    <row r="4" spans="1:10" hidden="1" x14ac:dyDescent="0.3">
      <c r="A4" s="1">
        <v>45809</v>
      </c>
      <c r="B4" t="s">
        <v>40</v>
      </c>
      <c r="C4">
        <v>1</v>
      </c>
      <c r="D4">
        <v>611235</v>
      </c>
      <c r="E4">
        <v>6460</v>
      </c>
      <c r="F4">
        <v>1.0999999999999999E-2</v>
      </c>
      <c r="G4">
        <v>0.05</v>
      </c>
      <c r="H4" t="s">
        <v>78</v>
      </c>
      <c r="I4" t="str">
        <f t="shared" si="0"/>
        <v>OK</v>
      </c>
    </row>
    <row r="5" spans="1:10" hidden="1" x14ac:dyDescent="0.3">
      <c r="A5" s="1">
        <v>45839</v>
      </c>
      <c r="B5" t="s">
        <v>40</v>
      </c>
      <c r="C5">
        <v>1</v>
      </c>
      <c r="D5">
        <v>897647</v>
      </c>
      <c r="E5">
        <v>3103</v>
      </c>
      <c r="F5">
        <v>3.0000000000000001E-3</v>
      </c>
      <c r="G5">
        <v>0.05</v>
      </c>
      <c r="H5" t="s">
        <v>78</v>
      </c>
      <c r="I5" t="str">
        <f t="shared" si="0"/>
        <v>OK</v>
      </c>
    </row>
    <row r="6" spans="1:10" hidden="1" x14ac:dyDescent="0.3">
      <c r="A6" s="1">
        <v>45870</v>
      </c>
      <c r="B6" t="s">
        <v>40</v>
      </c>
      <c r="C6">
        <v>1</v>
      </c>
      <c r="D6">
        <v>448823</v>
      </c>
      <c r="E6">
        <v>5392</v>
      </c>
      <c r="F6">
        <v>1.2E-2</v>
      </c>
      <c r="G6">
        <v>0.05</v>
      </c>
      <c r="H6" t="s">
        <v>78</v>
      </c>
      <c r="I6" t="str">
        <f t="shared" si="0"/>
        <v>OK</v>
      </c>
    </row>
    <row r="7" spans="1:10" hidden="1" x14ac:dyDescent="0.3">
      <c r="A7" s="1">
        <v>45901</v>
      </c>
      <c r="B7" t="s">
        <v>40</v>
      </c>
      <c r="C7">
        <v>1</v>
      </c>
      <c r="D7">
        <v>217455</v>
      </c>
      <c r="E7">
        <v>9374</v>
      </c>
      <c r="F7">
        <v>4.2999999999999997E-2</v>
      </c>
      <c r="G7">
        <v>0.05</v>
      </c>
      <c r="H7" t="s">
        <v>78</v>
      </c>
      <c r="I7" t="str">
        <f t="shared" si="0"/>
        <v>OK</v>
      </c>
    </row>
    <row r="8" spans="1:10" x14ac:dyDescent="0.3">
      <c r="A8" s="1">
        <v>45931</v>
      </c>
      <c r="B8" t="s">
        <v>40</v>
      </c>
      <c r="C8">
        <v>1</v>
      </c>
      <c r="D8">
        <v>152769</v>
      </c>
      <c r="E8">
        <v>8546</v>
      </c>
      <c r="F8">
        <v>5.6000000000000001E-2</v>
      </c>
      <c r="G8">
        <v>0.05</v>
      </c>
      <c r="H8" t="s">
        <v>79</v>
      </c>
      <c r="I8" t="str">
        <f t="shared" si="0"/>
        <v>Review</v>
      </c>
    </row>
    <row r="9" spans="1:10" x14ac:dyDescent="0.3">
      <c r="A9" s="1">
        <v>45962</v>
      </c>
      <c r="B9" t="s">
        <v>40</v>
      </c>
      <c r="C9">
        <v>1</v>
      </c>
      <c r="D9">
        <v>216193</v>
      </c>
      <c r="E9">
        <v>23241</v>
      </c>
      <c r="F9">
        <v>0.107</v>
      </c>
      <c r="G9">
        <v>0.05</v>
      </c>
      <c r="H9" t="s">
        <v>79</v>
      </c>
      <c r="I9" t="str">
        <f t="shared" si="0"/>
        <v>Review</v>
      </c>
    </row>
    <row r="10" spans="1:10" hidden="1" x14ac:dyDescent="0.3">
      <c r="A10" s="1">
        <v>45992</v>
      </c>
      <c r="B10" t="s">
        <v>40</v>
      </c>
      <c r="C10">
        <v>1</v>
      </c>
      <c r="D10">
        <v>355304</v>
      </c>
      <c r="E10">
        <v>5498</v>
      </c>
      <c r="F10">
        <v>1.4999999999999999E-2</v>
      </c>
      <c r="G10">
        <v>0.05</v>
      </c>
      <c r="H10" t="s">
        <v>78</v>
      </c>
      <c r="I10" t="str">
        <f t="shared" si="0"/>
        <v>OK</v>
      </c>
    </row>
    <row r="11" spans="1:10" x14ac:dyDescent="0.3">
      <c r="A11" s="1">
        <v>46023</v>
      </c>
      <c r="B11" t="s">
        <v>40</v>
      </c>
      <c r="C11">
        <v>1</v>
      </c>
      <c r="D11">
        <v>83708</v>
      </c>
      <c r="E11">
        <v>38163</v>
      </c>
      <c r="F11">
        <v>0.45600000000000002</v>
      </c>
      <c r="G11">
        <v>0.05</v>
      </c>
      <c r="H11" t="s">
        <v>79</v>
      </c>
      <c r="I11" t="str">
        <f t="shared" si="0"/>
        <v>Review</v>
      </c>
    </row>
    <row r="12" spans="1:10" x14ac:dyDescent="0.3">
      <c r="A12" s="1">
        <v>46054</v>
      </c>
      <c r="B12" t="s">
        <v>40</v>
      </c>
      <c r="C12">
        <v>1</v>
      </c>
      <c r="D12">
        <v>101267</v>
      </c>
      <c r="E12">
        <v>29018</v>
      </c>
      <c r="F12">
        <v>0.28699999999999998</v>
      </c>
      <c r="G12">
        <v>0.05</v>
      </c>
      <c r="H12" t="s">
        <v>79</v>
      </c>
      <c r="I12" t="str">
        <f t="shared" si="0"/>
        <v>Review</v>
      </c>
    </row>
    <row r="13" spans="1:10" x14ac:dyDescent="0.3">
      <c r="A13" s="1">
        <v>46082</v>
      </c>
      <c r="B13" t="s">
        <v>40</v>
      </c>
      <c r="C13">
        <v>1</v>
      </c>
      <c r="D13">
        <v>95418</v>
      </c>
      <c r="E13">
        <v>30764</v>
      </c>
      <c r="F13">
        <v>0.32200000000000001</v>
      </c>
      <c r="G13">
        <v>0.05</v>
      </c>
      <c r="H13" t="s">
        <v>79</v>
      </c>
      <c r="I13" t="str">
        <f t="shared" si="0"/>
        <v>Review</v>
      </c>
    </row>
    <row r="14" spans="1:10" hidden="1" x14ac:dyDescent="0.3">
      <c r="A14" s="1">
        <v>45748</v>
      </c>
      <c r="B14" t="s">
        <v>40</v>
      </c>
      <c r="C14">
        <v>2</v>
      </c>
      <c r="D14">
        <v>59664</v>
      </c>
      <c r="E14">
        <v>-30</v>
      </c>
      <c r="F14">
        <v>-1E-3</v>
      </c>
      <c r="G14">
        <v>0.05</v>
      </c>
      <c r="H14" t="s">
        <v>78</v>
      </c>
      <c r="I14" t="str">
        <f t="shared" si="0"/>
        <v>OK</v>
      </c>
    </row>
    <row r="15" spans="1:10" hidden="1" x14ac:dyDescent="0.3">
      <c r="A15" s="1">
        <v>45778</v>
      </c>
      <c r="B15" t="s">
        <v>40</v>
      </c>
      <c r="C15">
        <v>2</v>
      </c>
      <c r="D15">
        <v>142434</v>
      </c>
      <c r="E15">
        <v>3432</v>
      </c>
      <c r="F15">
        <v>2.4E-2</v>
      </c>
      <c r="G15">
        <v>0.05</v>
      </c>
      <c r="H15" t="s">
        <v>78</v>
      </c>
      <c r="I15" t="str">
        <f t="shared" si="0"/>
        <v>OK</v>
      </c>
    </row>
    <row r="16" spans="1:10" hidden="1" x14ac:dyDescent="0.3">
      <c r="A16" s="1">
        <v>45809</v>
      </c>
      <c r="B16" t="s">
        <v>40</v>
      </c>
      <c r="C16">
        <v>2</v>
      </c>
      <c r="D16">
        <v>209574</v>
      </c>
      <c r="E16">
        <v>282</v>
      </c>
      <c r="F16">
        <v>1E-3</v>
      </c>
      <c r="G16">
        <v>0.05</v>
      </c>
      <c r="H16" t="s">
        <v>78</v>
      </c>
      <c r="I16" t="str">
        <f t="shared" si="0"/>
        <v>OK</v>
      </c>
    </row>
    <row r="17" spans="1:9" hidden="1" x14ac:dyDescent="0.3">
      <c r="A17" s="1">
        <v>45839</v>
      </c>
      <c r="B17" t="s">
        <v>40</v>
      </c>
      <c r="C17">
        <v>2</v>
      </c>
      <c r="D17">
        <v>247152</v>
      </c>
      <c r="E17">
        <v>24</v>
      </c>
      <c r="F17">
        <v>0</v>
      </c>
      <c r="G17">
        <v>0.05</v>
      </c>
      <c r="H17" t="s">
        <v>78</v>
      </c>
      <c r="I17" t="str">
        <f t="shared" si="0"/>
        <v>OK</v>
      </c>
    </row>
    <row r="18" spans="1:9" hidden="1" x14ac:dyDescent="0.3">
      <c r="A18" s="1">
        <v>45870</v>
      </c>
      <c r="B18" t="s">
        <v>40</v>
      </c>
      <c r="C18">
        <v>2</v>
      </c>
      <c r="D18">
        <v>170958</v>
      </c>
      <c r="E18">
        <v>18</v>
      </c>
      <c r="F18">
        <v>0</v>
      </c>
      <c r="G18">
        <v>0.05</v>
      </c>
      <c r="H18" t="s">
        <v>78</v>
      </c>
      <c r="I18" t="str">
        <f t="shared" si="0"/>
        <v>OK</v>
      </c>
    </row>
    <row r="19" spans="1:9" hidden="1" x14ac:dyDescent="0.3">
      <c r="A19" s="1">
        <v>45901</v>
      </c>
      <c r="B19" t="s">
        <v>40</v>
      </c>
      <c r="C19">
        <v>2</v>
      </c>
      <c r="D19">
        <v>151764</v>
      </c>
      <c r="E19">
        <v>96</v>
      </c>
      <c r="F19">
        <v>1E-3</v>
      </c>
      <c r="G19">
        <v>0.05</v>
      </c>
      <c r="H19" t="s">
        <v>78</v>
      </c>
      <c r="I19" t="str">
        <f t="shared" si="0"/>
        <v>OK</v>
      </c>
    </row>
    <row r="20" spans="1:9" hidden="1" x14ac:dyDescent="0.3">
      <c r="A20" s="1">
        <v>45931</v>
      </c>
      <c r="B20" t="s">
        <v>40</v>
      </c>
      <c r="C20">
        <v>2</v>
      </c>
      <c r="D20">
        <v>64434</v>
      </c>
      <c r="E20">
        <v>570</v>
      </c>
      <c r="F20">
        <v>8.9999999999999993E-3</v>
      </c>
      <c r="G20">
        <v>0.05</v>
      </c>
      <c r="H20" t="s">
        <v>78</v>
      </c>
      <c r="I20" t="str">
        <f t="shared" si="0"/>
        <v>OK</v>
      </c>
    </row>
    <row r="21" spans="1:9" hidden="1" x14ac:dyDescent="0.3">
      <c r="A21" s="1">
        <v>45962</v>
      </c>
      <c r="B21" t="s">
        <v>40</v>
      </c>
      <c r="C21">
        <v>2</v>
      </c>
      <c r="D21">
        <v>36330</v>
      </c>
      <c r="E21">
        <v>1104</v>
      </c>
      <c r="F21">
        <v>0.03</v>
      </c>
      <c r="G21">
        <v>0.05</v>
      </c>
      <c r="H21" t="s">
        <v>78</v>
      </c>
      <c r="I21" t="str">
        <f t="shared" si="0"/>
        <v>OK</v>
      </c>
    </row>
    <row r="22" spans="1:9" x14ac:dyDescent="0.3">
      <c r="A22" s="1">
        <v>45992</v>
      </c>
      <c r="B22" t="s">
        <v>40</v>
      </c>
      <c r="C22">
        <v>2</v>
      </c>
      <c r="D22">
        <v>26292</v>
      </c>
      <c r="E22">
        <v>1638</v>
      </c>
      <c r="F22">
        <v>6.2E-2</v>
      </c>
      <c r="G22">
        <v>0.05</v>
      </c>
      <c r="H22" t="s">
        <v>79</v>
      </c>
      <c r="I22" t="str">
        <f t="shared" si="0"/>
        <v>Review</v>
      </c>
    </row>
    <row r="23" spans="1:9" hidden="1" x14ac:dyDescent="0.3">
      <c r="A23" s="1">
        <v>46023</v>
      </c>
      <c r="B23" t="s">
        <v>40</v>
      </c>
      <c r="C23">
        <v>2</v>
      </c>
      <c r="D23">
        <v>28206</v>
      </c>
      <c r="E23">
        <v>528</v>
      </c>
      <c r="F23">
        <v>1.9E-2</v>
      </c>
      <c r="G23">
        <v>0.05</v>
      </c>
      <c r="H23" t="s">
        <v>78</v>
      </c>
      <c r="I23" t="str">
        <f t="shared" si="0"/>
        <v>OK</v>
      </c>
    </row>
    <row r="24" spans="1:9" hidden="1" x14ac:dyDescent="0.3">
      <c r="A24" s="1">
        <v>46054</v>
      </c>
      <c r="B24" t="s">
        <v>40</v>
      </c>
      <c r="C24">
        <v>2</v>
      </c>
      <c r="D24">
        <v>24264</v>
      </c>
      <c r="E24">
        <v>1158</v>
      </c>
      <c r="F24">
        <v>4.8000000000000001E-2</v>
      </c>
      <c r="G24">
        <v>0.05</v>
      </c>
      <c r="H24" t="s">
        <v>78</v>
      </c>
      <c r="I24" t="str">
        <f t="shared" si="0"/>
        <v>OK</v>
      </c>
    </row>
    <row r="25" spans="1:9" hidden="1" x14ac:dyDescent="0.3">
      <c r="A25" s="1">
        <v>46082</v>
      </c>
      <c r="B25" t="s">
        <v>40</v>
      </c>
      <c r="C25">
        <v>2</v>
      </c>
      <c r="D25">
        <v>36072</v>
      </c>
      <c r="E25">
        <v>810</v>
      </c>
      <c r="F25">
        <v>2.1999999999999999E-2</v>
      </c>
      <c r="G25">
        <v>0.05</v>
      </c>
      <c r="H25" t="s">
        <v>78</v>
      </c>
      <c r="I25" t="str">
        <f t="shared" si="0"/>
        <v>OK</v>
      </c>
    </row>
    <row r="26" spans="1:9" hidden="1" x14ac:dyDescent="0.3">
      <c r="A26" s="1">
        <v>45748</v>
      </c>
      <c r="B26" t="s">
        <v>40</v>
      </c>
      <c r="C26">
        <v>3</v>
      </c>
      <c r="D26">
        <v>261840</v>
      </c>
      <c r="E26">
        <v>0</v>
      </c>
      <c r="F26">
        <v>0</v>
      </c>
      <c r="G26">
        <v>0.05</v>
      </c>
      <c r="H26" t="s">
        <v>78</v>
      </c>
      <c r="I26" t="str">
        <f t="shared" si="0"/>
        <v>OK</v>
      </c>
    </row>
    <row r="27" spans="1:9" hidden="1" x14ac:dyDescent="0.3">
      <c r="A27" s="1">
        <v>45778</v>
      </c>
      <c r="B27" t="s">
        <v>40</v>
      </c>
      <c r="C27">
        <v>3</v>
      </c>
      <c r="D27">
        <v>579600</v>
      </c>
      <c r="E27">
        <v>0</v>
      </c>
      <c r="F27">
        <v>0</v>
      </c>
      <c r="G27">
        <v>0.05</v>
      </c>
      <c r="H27" t="s">
        <v>78</v>
      </c>
      <c r="I27" t="str">
        <f t="shared" si="0"/>
        <v>OK</v>
      </c>
    </row>
    <row r="28" spans="1:9" hidden="1" x14ac:dyDescent="0.3">
      <c r="A28" s="1">
        <v>45809</v>
      </c>
      <c r="B28" t="s">
        <v>40</v>
      </c>
      <c r="C28">
        <v>3</v>
      </c>
      <c r="D28">
        <v>887940</v>
      </c>
      <c r="E28">
        <v>0</v>
      </c>
      <c r="F28">
        <v>0</v>
      </c>
      <c r="G28">
        <v>0.05</v>
      </c>
      <c r="H28" t="s">
        <v>78</v>
      </c>
      <c r="I28" t="str">
        <f t="shared" si="0"/>
        <v>OK</v>
      </c>
    </row>
    <row r="29" spans="1:9" hidden="1" x14ac:dyDescent="0.3">
      <c r="A29" s="1">
        <v>45839</v>
      </c>
      <c r="B29" t="s">
        <v>40</v>
      </c>
      <c r="C29">
        <v>3</v>
      </c>
      <c r="D29">
        <v>1208880</v>
      </c>
      <c r="E29">
        <v>0</v>
      </c>
      <c r="F29">
        <v>0</v>
      </c>
      <c r="G29">
        <v>0.05</v>
      </c>
      <c r="H29" t="s">
        <v>78</v>
      </c>
      <c r="I29" t="str">
        <f t="shared" si="0"/>
        <v>OK</v>
      </c>
    </row>
    <row r="30" spans="1:9" hidden="1" x14ac:dyDescent="0.3">
      <c r="A30" s="1">
        <v>45870</v>
      </c>
      <c r="B30" t="s">
        <v>40</v>
      </c>
      <c r="C30">
        <v>3</v>
      </c>
      <c r="D30">
        <v>834270</v>
      </c>
      <c r="E30">
        <v>0</v>
      </c>
      <c r="F30">
        <v>0</v>
      </c>
      <c r="G30">
        <v>0.05</v>
      </c>
      <c r="H30" t="s">
        <v>78</v>
      </c>
      <c r="I30" t="str">
        <f t="shared" si="0"/>
        <v>OK</v>
      </c>
    </row>
    <row r="31" spans="1:9" hidden="1" x14ac:dyDescent="0.3">
      <c r="A31" s="1">
        <v>45901</v>
      </c>
      <c r="B31" t="s">
        <v>40</v>
      </c>
      <c r="C31">
        <v>3</v>
      </c>
      <c r="D31">
        <v>597360</v>
      </c>
      <c r="E31">
        <v>0</v>
      </c>
      <c r="F31">
        <v>0</v>
      </c>
      <c r="G31">
        <v>0.05</v>
      </c>
      <c r="H31" t="s">
        <v>78</v>
      </c>
      <c r="I31" t="str">
        <f t="shared" si="0"/>
        <v>OK</v>
      </c>
    </row>
    <row r="32" spans="1:9" hidden="1" x14ac:dyDescent="0.3">
      <c r="A32" s="1">
        <v>45931</v>
      </c>
      <c r="B32" t="s">
        <v>40</v>
      </c>
      <c r="C32">
        <v>3</v>
      </c>
      <c r="D32">
        <v>237390</v>
      </c>
      <c r="E32">
        <v>0</v>
      </c>
      <c r="F32">
        <v>0</v>
      </c>
      <c r="G32">
        <v>0.05</v>
      </c>
      <c r="H32" t="s">
        <v>78</v>
      </c>
      <c r="I32" t="str">
        <f t="shared" si="0"/>
        <v>OK</v>
      </c>
    </row>
    <row r="33" spans="1:9" hidden="1" x14ac:dyDescent="0.3">
      <c r="A33" s="1">
        <v>45962</v>
      </c>
      <c r="B33" t="s">
        <v>40</v>
      </c>
      <c r="C33">
        <v>3</v>
      </c>
      <c r="D33">
        <v>150810</v>
      </c>
      <c r="E33">
        <v>120</v>
      </c>
      <c r="F33">
        <v>1E-3</v>
      </c>
      <c r="G33">
        <v>0.05</v>
      </c>
      <c r="H33" t="s">
        <v>78</v>
      </c>
      <c r="I33" t="str">
        <f t="shared" si="0"/>
        <v>OK</v>
      </c>
    </row>
    <row r="34" spans="1:9" hidden="1" x14ac:dyDescent="0.3">
      <c r="A34" s="1">
        <v>45992</v>
      </c>
      <c r="B34" t="s">
        <v>40</v>
      </c>
      <c r="C34">
        <v>3</v>
      </c>
      <c r="D34">
        <v>175080</v>
      </c>
      <c r="E34">
        <v>90</v>
      </c>
      <c r="F34">
        <v>1E-3</v>
      </c>
      <c r="G34">
        <v>0.05</v>
      </c>
      <c r="H34" t="s">
        <v>78</v>
      </c>
      <c r="I34" t="str">
        <f t="shared" si="0"/>
        <v>OK</v>
      </c>
    </row>
    <row r="35" spans="1:9" hidden="1" x14ac:dyDescent="0.3">
      <c r="A35" s="1">
        <v>46023</v>
      </c>
      <c r="B35" t="s">
        <v>40</v>
      </c>
      <c r="C35">
        <v>3</v>
      </c>
      <c r="D35">
        <v>200040</v>
      </c>
      <c r="E35">
        <v>90</v>
      </c>
      <c r="F35">
        <v>0</v>
      </c>
      <c r="G35">
        <v>0.05</v>
      </c>
      <c r="H35" t="s">
        <v>78</v>
      </c>
      <c r="I35" t="str">
        <f t="shared" si="0"/>
        <v>OK</v>
      </c>
    </row>
    <row r="36" spans="1:9" hidden="1" x14ac:dyDescent="0.3">
      <c r="A36" s="1">
        <v>46054</v>
      </c>
      <c r="B36" t="s">
        <v>40</v>
      </c>
      <c r="C36">
        <v>3</v>
      </c>
      <c r="D36">
        <v>155580</v>
      </c>
      <c r="E36">
        <v>30</v>
      </c>
      <c r="F36">
        <v>0</v>
      </c>
      <c r="G36">
        <v>0.05</v>
      </c>
      <c r="H36" t="s">
        <v>78</v>
      </c>
      <c r="I36" t="str">
        <f t="shared" si="0"/>
        <v>OK</v>
      </c>
    </row>
    <row r="37" spans="1:9" hidden="1" x14ac:dyDescent="0.3">
      <c r="A37" s="1">
        <v>46082</v>
      </c>
      <c r="B37" t="s">
        <v>40</v>
      </c>
      <c r="C37">
        <v>3</v>
      </c>
      <c r="D37">
        <v>160590</v>
      </c>
      <c r="E37">
        <v>0</v>
      </c>
      <c r="F37">
        <v>0</v>
      </c>
      <c r="G37">
        <v>0.05</v>
      </c>
      <c r="H37" t="s">
        <v>78</v>
      </c>
      <c r="I37" t="str">
        <f t="shared" si="0"/>
        <v>OK</v>
      </c>
    </row>
    <row r="38" spans="1:9" hidden="1" x14ac:dyDescent="0.3">
      <c r="A38" s="1">
        <v>45748</v>
      </c>
      <c r="B38" t="s">
        <v>40</v>
      </c>
      <c r="C38">
        <v>4</v>
      </c>
      <c r="D38">
        <v>261840</v>
      </c>
      <c r="E38">
        <v>2147</v>
      </c>
      <c r="F38">
        <v>8.0000000000000002E-3</v>
      </c>
      <c r="G38">
        <v>0.05</v>
      </c>
      <c r="H38" t="s">
        <v>78</v>
      </c>
      <c r="I38" t="str">
        <f t="shared" si="0"/>
        <v>OK</v>
      </c>
    </row>
    <row r="39" spans="1:9" hidden="1" x14ac:dyDescent="0.3">
      <c r="A39" s="1">
        <v>45778</v>
      </c>
      <c r="B39" t="s">
        <v>40</v>
      </c>
      <c r="C39">
        <v>4</v>
      </c>
      <c r="D39">
        <v>579600</v>
      </c>
      <c r="E39">
        <v>18530</v>
      </c>
      <c r="F39">
        <v>3.2000000000000001E-2</v>
      </c>
      <c r="G39">
        <v>0.05</v>
      </c>
      <c r="H39" t="s">
        <v>78</v>
      </c>
      <c r="I39" t="str">
        <f t="shared" si="0"/>
        <v>OK</v>
      </c>
    </row>
    <row r="40" spans="1:9" hidden="1" x14ac:dyDescent="0.3">
      <c r="A40" s="1">
        <v>45809</v>
      </c>
      <c r="B40" t="s">
        <v>40</v>
      </c>
      <c r="C40">
        <v>4</v>
      </c>
      <c r="D40">
        <v>887940</v>
      </c>
      <c r="E40">
        <v>23504</v>
      </c>
      <c r="F40">
        <v>2.5999999999999999E-2</v>
      </c>
      <c r="G40">
        <v>0.05</v>
      </c>
      <c r="H40" t="s">
        <v>78</v>
      </c>
      <c r="I40" t="str">
        <f t="shared" si="0"/>
        <v>OK</v>
      </c>
    </row>
    <row r="41" spans="1:9" hidden="1" x14ac:dyDescent="0.3">
      <c r="A41" s="1">
        <v>45839</v>
      </c>
      <c r="B41" t="s">
        <v>40</v>
      </c>
      <c r="C41">
        <v>4</v>
      </c>
      <c r="D41">
        <v>1208880</v>
      </c>
      <c r="E41">
        <v>40661</v>
      </c>
      <c r="F41">
        <v>3.4000000000000002E-2</v>
      </c>
      <c r="G41">
        <v>0.05</v>
      </c>
      <c r="H41" t="s">
        <v>78</v>
      </c>
      <c r="I41" t="str">
        <f t="shared" si="0"/>
        <v>OK</v>
      </c>
    </row>
    <row r="42" spans="1:9" x14ac:dyDescent="0.3">
      <c r="A42" s="1">
        <v>45870</v>
      </c>
      <c r="B42" t="s">
        <v>40</v>
      </c>
      <c r="C42">
        <v>4</v>
      </c>
      <c r="D42">
        <v>834270</v>
      </c>
      <c r="E42">
        <v>50600</v>
      </c>
      <c r="F42">
        <v>6.0999999999999999E-2</v>
      </c>
      <c r="G42">
        <v>0.05</v>
      </c>
      <c r="H42" t="s">
        <v>79</v>
      </c>
      <c r="I42" t="str">
        <f t="shared" si="0"/>
        <v>Review</v>
      </c>
    </row>
    <row r="43" spans="1:9" x14ac:dyDescent="0.3">
      <c r="A43" s="1">
        <v>45901</v>
      </c>
      <c r="B43" t="s">
        <v>40</v>
      </c>
      <c r="C43">
        <v>4</v>
      </c>
      <c r="D43">
        <v>597360</v>
      </c>
      <c r="E43">
        <v>39477</v>
      </c>
      <c r="F43">
        <v>6.6000000000000003E-2</v>
      </c>
      <c r="G43">
        <v>0.05</v>
      </c>
      <c r="H43" t="s">
        <v>79</v>
      </c>
      <c r="I43" t="str">
        <f t="shared" si="0"/>
        <v>Review</v>
      </c>
    </row>
    <row r="44" spans="1:9" hidden="1" x14ac:dyDescent="0.3">
      <c r="A44" s="1">
        <v>45931</v>
      </c>
      <c r="B44" t="s">
        <v>40</v>
      </c>
      <c r="C44">
        <v>4</v>
      </c>
      <c r="D44">
        <v>237390</v>
      </c>
      <c r="E44">
        <v>5479</v>
      </c>
      <c r="F44">
        <v>2.3E-2</v>
      </c>
      <c r="G44">
        <v>0.05</v>
      </c>
      <c r="H44" t="s">
        <v>78</v>
      </c>
      <c r="I44" t="str">
        <f t="shared" si="0"/>
        <v>OK</v>
      </c>
    </row>
    <row r="45" spans="1:9" hidden="1" x14ac:dyDescent="0.3">
      <c r="A45" s="1">
        <v>45962</v>
      </c>
      <c r="B45" t="s">
        <v>40</v>
      </c>
      <c r="C45">
        <v>4</v>
      </c>
      <c r="D45">
        <v>150810</v>
      </c>
      <c r="E45">
        <v>3736</v>
      </c>
      <c r="F45">
        <v>2.5000000000000001E-2</v>
      </c>
      <c r="G45">
        <v>0.05</v>
      </c>
      <c r="H45" t="s">
        <v>78</v>
      </c>
      <c r="I45" t="str">
        <f t="shared" si="0"/>
        <v>OK</v>
      </c>
    </row>
    <row r="46" spans="1:9" hidden="1" x14ac:dyDescent="0.3">
      <c r="A46" s="1">
        <v>45992</v>
      </c>
      <c r="B46" t="s">
        <v>40</v>
      </c>
      <c r="C46">
        <v>4</v>
      </c>
      <c r="D46">
        <v>175080</v>
      </c>
      <c r="E46">
        <v>4565</v>
      </c>
      <c r="F46">
        <v>2.5999999999999999E-2</v>
      </c>
      <c r="G46">
        <v>0.05</v>
      </c>
      <c r="H46" t="s">
        <v>78</v>
      </c>
      <c r="I46" t="str">
        <f t="shared" si="0"/>
        <v>OK</v>
      </c>
    </row>
    <row r="47" spans="1:9" hidden="1" x14ac:dyDescent="0.3">
      <c r="A47" s="1">
        <v>46023</v>
      </c>
      <c r="B47" t="s">
        <v>40</v>
      </c>
      <c r="C47">
        <v>4</v>
      </c>
      <c r="D47">
        <v>200040</v>
      </c>
      <c r="E47">
        <v>5515</v>
      </c>
      <c r="F47">
        <v>2.8000000000000001E-2</v>
      </c>
      <c r="G47">
        <v>0.05</v>
      </c>
      <c r="H47" t="s">
        <v>78</v>
      </c>
      <c r="I47" t="str">
        <f t="shared" si="0"/>
        <v>OK</v>
      </c>
    </row>
    <row r="48" spans="1:9" hidden="1" x14ac:dyDescent="0.3">
      <c r="A48" s="1">
        <v>46054</v>
      </c>
      <c r="B48" t="s">
        <v>40</v>
      </c>
      <c r="C48">
        <v>4</v>
      </c>
      <c r="D48">
        <v>155580</v>
      </c>
      <c r="E48">
        <v>1811</v>
      </c>
      <c r="F48">
        <v>1.2E-2</v>
      </c>
      <c r="G48">
        <v>0.05</v>
      </c>
      <c r="H48" t="s">
        <v>78</v>
      </c>
      <c r="I48" t="str">
        <f t="shared" si="0"/>
        <v>OK</v>
      </c>
    </row>
    <row r="49" spans="1:9" hidden="1" x14ac:dyDescent="0.3">
      <c r="A49" s="1">
        <v>46082</v>
      </c>
      <c r="B49" t="s">
        <v>40</v>
      </c>
      <c r="C49">
        <v>4</v>
      </c>
      <c r="D49">
        <v>160590</v>
      </c>
      <c r="E49">
        <v>4348</v>
      </c>
      <c r="F49">
        <v>2.7E-2</v>
      </c>
      <c r="G49">
        <v>0.05</v>
      </c>
      <c r="H49" t="s">
        <v>78</v>
      </c>
      <c r="I49" t="str">
        <f t="shared" si="0"/>
        <v>OK</v>
      </c>
    </row>
    <row r="50" spans="1:9" hidden="1" x14ac:dyDescent="0.3">
      <c r="A50" s="1">
        <v>45748</v>
      </c>
      <c r="B50" t="s">
        <v>40</v>
      </c>
      <c r="C50">
        <v>5</v>
      </c>
      <c r="D50">
        <v>110052</v>
      </c>
      <c r="E50">
        <v>1212</v>
      </c>
      <c r="F50">
        <v>1.0999999999999999E-2</v>
      </c>
      <c r="G50">
        <v>0.05</v>
      </c>
      <c r="H50" t="s">
        <v>78</v>
      </c>
      <c r="I50" t="str">
        <f t="shared" si="0"/>
        <v>OK</v>
      </c>
    </row>
    <row r="51" spans="1:9" hidden="1" x14ac:dyDescent="0.3">
      <c r="A51" s="1">
        <v>45778</v>
      </c>
      <c r="B51" t="s">
        <v>40</v>
      </c>
      <c r="C51">
        <v>5</v>
      </c>
      <c r="D51">
        <v>224220</v>
      </c>
      <c r="E51">
        <v>672</v>
      </c>
      <c r="F51">
        <v>3.0000000000000001E-3</v>
      </c>
      <c r="G51">
        <v>0.05</v>
      </c>
      <c r="H51" t="s">
        <v>78</v>
      </c>
      <c r="I51" t="str">
        <f t="shared" si="0"/>
        <v>OK</v>
      </c>
    </row>
    <row r="52" spans="1:9" hidden="1" x14ac:dyDescent="0.3">
      <c r="A52" s="1">
        <v>45809</v>
      </c>
      <c r="B52" t="s">
        <v>40</v>
      </c>
      <c r="C52">
        <v>5</v>
      </c>
      <c r="D52">
        <v>309600</v>
      </c>
      <c r="E52">
        <v>108</v>
      </c>
      <c r="F52">
        <v>0</v>
      </c>
      <c r="G52">
        <v>0.05</v>
      </c>
      <c r="H52" t="s">
        <v>78</v>
      </c>
      <c r="I52" t="str">
        <f t="shared" si="0"/>
        <v>OK</v>
      </c>
    </row>
    <row r="53" spans="1:9" hidden="1" x14ac:dyDescent="0.3">
      <c r="A53" s="1">
        <v>45839</v>
      </c>
      <c r="B53" t="s">
        <v>40</v>
      </c>
      <c r="C53">
        <v>5</v>
      </c>
      <c r="D53">
        <v>484140</v>
      </c>
      <c r="E53">
        <v>312</v>
      </c>
      <c r="F53">
        <v>1E-3</v>
      </c>
      <c r="G53">
        <v>0.05</v>
      </c>
      <c r="H53" t="s">
        <v>78</v>
      </c>
      <c r="I53" t="str">
        <f t="shared" si="0"/>
        <v>OK</v>
      </c>
    </row>
    <row r="54" spans="1:9" hidden="1" x14ac:dyDescent="0.3">
      <c r="A54" s="1">
        <v>45870</v>
      </c>
      <c r="B54" t="s">
        <v>40</v>
      </c>
      <c r="C54">
        <v>5</v>
      </c>
      <c r="D54">
        <v>358464</v>
      </c>
      <c r="E54">
        <v>3336</v>
      </c>
      <c r="F54">
        <v>8.9999999999999993E-3</v>
      </c>
      <c r="G54">
        <v>0.05</v>
      </c>
      <c r="H54" t="s">
        <v>78</v>
      </c>
      <c r="I54" t="str">
        <f t="shared" si="0"/>
        <v>OK</v>
      </c>
    </row>
    <row r="55" spans="1:9" hidden="1" x14ac:dyDescent="0.3">
      <c r="A55" s="1">
        <v>45901</v>
      </c>
      <c r="B55" t="s">
        <v>40</v>
      </c>
      <c r="C55">
        <v>5</v>
      </c>
      <c r="D55">
        <v>304452</v>
      </c>
      <c r="E55">
        <v>1644</v>
      </c>
      <c r="F55">
        <v>5.0000000000000001E-3</v>
      </c>
      <c r="G55">
        <v>0.05</v>
      </c>
      <c r="H55" t="s">
        <v>78</v>
      </c>
      <c r="I55" t="str">
        <f t="shared" si="0"/>
        <v>OK</v>
      </c>
    </row>
    <row r="56" spans="1:9" x14ac:dyDescent="0.3">
      <c r="A56" s="1">
        <v>45931</v>
      </c>
      <c r="B56" t="s">
        <v>40</v>
      </c>
      <c r="C56">
        <v>5</v>
      </c>
      <c r="D56">
        <v>130080</v>
      </c>
      <c r="E56">
        <v>19452</v>
      </c>
      <c r="F56">
        <v>0.15</v>
      </c>
      <c r="G56">
        <v>0.05</v>
      </c>
      <c r="H56" t="s">
        <v>79</v>
      </c>
      <c r="I56" t="str">
        <f t="shared" si="0"/>
        <v>Review</v>
      </c>
    </row>
    <row r="57" spans="1:9" x14ac:dyDescent="0.3">
      <c r="A57" s="1">
        <v>45962</v>
      </c>
      <c r="B57" t="s">
        <v>40</v>
      </c>
      <c r="C57">
        <v>5</v>
      </c>
      <c r="D57">
        <v>109752</v>
      </c>
      <c r="E57">
        <v>13416</v>
      </c>
      <c r="F57">
        <v>0.122</v>
      </c>
      <c r="G57">
        <v>0.05</v>
      </c>
      <c r="H57" t="s">
        <v>79</v>
      </c>
      <c r="I57" t="str">
        <f t="shared" si="0"/>
        <v>Review</v>
      </c>
    </row>
    <row r="58" spans="1:9" x14ac:dyDescent="0.3">
      <c r="A58" s="1">
        <v>45992</v>
      </c>
      <c r="B58" t="s">
        <v>40</v>
      </c>
      <c r="C58">
        <v>5</v>
      </c>
      <c r="D58">
        <v>119412</v>
      </c>
      <c r="E58">
        <v>9972</v>
      </c>
      <c r="F58">
        <v>8.4000000000000005E-2</v>
      </c>
      <c r="G58">
        <v>0.05</v>
      </c>
      <c r="H58" t="s">
        <v>79</v>
      </c>
      <c r="I58" t="str">
        <f t="shared" si="0"/>
        <v>Review</v>
      </c>
    </row>
    <row r="59" spans="1:9" x14ac:dyDescent="0.3">
      <c r="A59" s="1">
        <v>46023</v>
      </c>
      <c r="B59" t="s">
        <v>40</v>
      </c>
      <c r="C59">
        <v>5</v>
      </c>
      <c r="D59">
        <v>137700</v>
      </c>
      <c r="E59">
        <v>9372</v>
      </c>
      <c r="F59">
        <v>6.8000000000000005E-2</v>
      </c>
      <c r="G59">
        <v>0.05</v>
      </c>
      <c r="H59" t="s">
        <v>79</v>
      </c>
      <c r="I59" t="str">
        <f t="shared" si="0"/>
        <v>Review</v>
      </c>
    </row>
    <row r="60" spans="1:9" x14ac:dyDescent="0.3">
      <c r="A60" s="1">
        <v>46054</v>
      </c>
      <c r="B60" t="s">
        <v>40</v>
      </c>
      <c r="C60">
        <v>5</v>
      </c>
      <c r="D60">
        <v>89196</v>
      </c>
      <c r="E60">
        <v>12444</v>
      </c>
      <c r="F60">
        <v>0.14000000000000001</v>
      </c>
      <c r="G60">
        <v>0.05</v>
      </c>
      <c r="H60" t="s">
        <v>79</v>
      </c>
      <c r="I60" t="str">
        <f t="shared" si="0"/>
        <v>Review</v>
      </c>
    </row>
    <row r="61" spans="1:9" x14ac:dyDescent="0.3">
      <c r="A61" s="1">
        <v>46082</v>
      </c>
      <c r="B61" t="s">
        <v>40</v>
      </c>
      <c r="C61">
        <v>5</v>
      </c>
      <c r="D61">
        <v>79152</v>
      </c>
      <c r="E61">
        <v>7920</v>
      </c>
      <c r="F61">
        <v>0.1</v>
      </c>
      <c r="G61">
        <v>0.05</v>
      </c>
      <c r="H61" t="s">
        <v>79</v>
      </c>
      <c r="I61" t="str">
        <f t="shared" si="0"/>
        <v>Review</v>
      </c>
    </row>
    <row r="62" spans="1:9" hidden="1" x14ac:dyDescent="0.3">
      <c r="A62" s="1">
        <v>45748</v>
      </c>
      <c r="B62" t="s">
        <v>40</v>
      </c>
      <c r="C62">
        <v>6</v>
      </c>
      <c r="D62">
        <v>323682</v>
      </c>
      <c r="E62">
        <v>1063</v>
      </c>
      <c r="F62">
        <v>3.0000000000000001E-3</v>
      </c>
      <c r="G62">
        <v>0.05</v>
      </c>
      <c r="H62" t="s">
        <v>78</v>
      </c>
      <c r="I62" t="str">
        <f t="shared" si="0"/>
        <v>OK</v>
      </c>
    </row>
    <row r="63" spans="1:9" hidden="1" x14ac:dyDescent="0.3">
      <c r="A63" s="1">
        <v>45778</v>
      </c>
      <c r="B63" t="s">
        <v>40</v>
      </c>
      <c r="C63">
        <v>6</v>
      </c>
      <c r="D63">
        <v>255734</v>
      </c>
      <c r="E63">
        <v>1950</v>
      </c>
      <c r="F63">
        <v>8.0000000000000002E-3</v>
      </c>
      <c r="G63">
        <v>0.05</v>
      </c>
      <c r="H63" t="s">
        <v>78</v>
      </c>
      <c r="I63" t="str">
        <f t="shared" si="0"/>
        <v>OK</v>
      </c>
    </row>
    <row r="64" spans="1:9" hidden="1" x14ac:dyDescent="0.3">
      <c r="A64" s="1">
        <v>45809</v>
      </c>
      <c r="B64" t="s">
        <v>40</v>
      </c>
      <c r="C64">
        <v>6</v>
      </c>
      <c r="D64">
        <v>517407</v>
      </c>
      <c r="E64">
        <v>1164</v>
      </c>
      <c r="F64">
        <v>2E-3</v>
      </c>
      <c r="G64">
        <v>0.05</v>
      </c>
      <c r="H64" t="s">
        <v>78</v>
      </c>
      <c r="I64" t="str">
        <f t="shared" si="0"/>
        <v>OK</v>
      </c>
    </row>
    <row r="65" spans="1:9" hidden="1" x14ac:dyDescent="0.3">
      <c r="A65" s="1">
        <v>45839</v>
      </c>
      <c r="B65" t="s">
        <v>40</v>
      </c>
      <c r="C65">
        <v>6</v>
      </c>
      <c r="D65">
        <v>480028</v>
      </c>
      <c r="E65">
        <v>149</v>
      </c>
      <c r="F65">
        <v>0</v>
      </c>
      <c r="G65">
        <v>0.05</v>
      </c>
      <c r="H65" t="s">
        <v>78</v>
      </c>
      <c r="I65" t="str">
        <f t="shared" si="0"/>
        <v>OK</v>
      </c>
    </row>
    <row r="66" spans="1:9" hidden="1" x14ac:dyDescent="0.3">
      <c r="A66" s="1">
        <v>45870</v>
      </c>
      <c r="B66" t="s">
        <v>40</v>
      </c>
      <c r="C66">
        <v>6</v>
      </c>
      <c r="D66">
        <v>373756</v>
      </c>
      <c r="E66">
        <v>468</v>
      </c>
      <c r="F66">
        <v>1E-3</v>
      </c>
      <c r="G66">
        <v>0.05</v>
      </c>
      <c r="H66" t="s">
        <v>78</v>
      </c>
      <c r="I66" t="str">
        <f t="shared" ref="I66:I129" si="1">IF(ABS(F66)&gt;G66,"Review","OK")</f>
        <v>OK</v>
      </c>
    </row>
    <row r="67" spans="1:9" hidden="1" x14ac:dyDescent="0.3">
      <c r="A67" s="1">
        <v>45901</v>
      </c>
      <c r="B67" t="s">
        <v>40</v>
      </c>
      <c r="C67">
        <v>6</v>
      </c>
      <c r="D67">
        <v>276438</v>
      </c>
      <c r="E67">
        <v>973</v>
      </c>
      <c r="F67">
        <v>4.0000000000000001E-3</v>
      </c>
      <c r="G67">
        <v>0.05</v>
      </c>
      <c r="H67" t="s">
        <v>78</v>
      </c>
      <c r="I67" t="str">
        <f t="shared" si="1"/>
        <v>OK</v>
      </c>
    </row>
    <row r="68" spans="1:9" x14ac:dyDescent="0.3">
      <c r="A68" s="1">
        <v>45931</v>
      </c>
      <c r="B68" t="s">
        <v>40</v>
      </c>
      <c r="C68">
        <v>6</v>
      </c>
      <c r="D68">
        <v>88630</v>
      </c>
      <c r="E68">
        <v>5971</v>
      </c>
      <c r="F68">
        <v>6.7000000000000004E-2</v>
      </c>
      <c r="G68">
        <v>0.05</v>
      </c>
      <c r="H68" t="s">
        <v>79</v>
      </c>
      <c r="I68" t="str">
        <f t="shared" si="1"/>
        <v>Review</v>
      </c>
    </row>
    <row r="69" spans="1:9" hidden="1" x14ac:dyDescent="0.3">
      <c r="A69" s="1">
        <v>45962</v>
      </c>
      <c r="B69" t="s">
        <v>40</v>
      </c>
      <c r="C69">
        <v>6</v>
      </c>
      <c r="D69">
        <v>73745</v>
      </c>
      <c r="E69">
        <v>3639</v>
      </c>
      <c r="F69">
        <v>4.9000000000000002E-2</v>
      </c>
      <c r="G69">
        <v>0.05</v>
      </c>
      <c r="H69" t="s">
        <v>78</v>
      </c>
      <c r="I69" t="str">
        <f t="shared" si="1"/>
        <v>OK</v>
      </c>
    </row>
    <row r="70" spans="1:9" hidden="1" x14ac:dyDescent="0.3">
      <c r="A70" s="1">
        <v>45992</v>
      </c>
      <c r="B70" t="s">
        <v>40</v>
      </c>
      <c r="C70">
        <v>6</v>
      </c>
      <c r="D70">
        <v>82779</v>
      </c>
      <c r="E70">
        <v>2021</v>
      </c>
      <c r="F70">
        <v>2.4E-2</v>
      </c>
      <c r="G70">
        <v>0.05</v>
      </c>
      <c r="H70" t="s">
        <v>78</v>
      </c>
      <c r="I70" t="str">
        <f t="shared" si="1"/>
        <v>OK</v>
      </c>
    </row>
    <row r="71" spans="1:9" hidden="1" x14ac:dyDescent="0.3">
      <c r="A71" s="1">
        <v>46023</v>
      </c>
      <c r="B71" t="s">
        <v>40</v>
      </c>
      <c r="C71">
        <v>6</v>
      </c>
      <c r="D71">
        <v>68041</v>
      </c>
      <c r="E71">
        <v>3193</v>
      </c>
      <c r="F71">
        <v>4.7E-2</v>
      </c>
      <c r="G71">
        <v>0.05</v>
      </c>
      <c r="H71" t="s">
        <v>78</v>
      </c>
      <c r="I71" t="str">
        <f t="shared" si="1"/>
        <v>OK</v>
      </c>
    </row>
    <row r="72" spans="1:9" x14ac:dyDescent="0.3">
      <c r="A72" s="1">
        <v>46054</v>
      </c>
      <c r="B72" t="s">
        <v>40</v>
      </c>
      <c r="C72">
        <v>6</v>
      </c>
      <c r="D72">
        <v>58988</v>
      </c>
      <c r="E72">
        <v>4657</v>
      </c>
      <c r="F72">
        <v>7.9000000000000001E-2</v>
      </c>
      <c r="G72">
        <v>0.05</v>
      </c>
      <c r="H72" t="s">
        <v>79</v>
      </c>
      <c r="I72" t="str">
        <f t="shared" si="1"/>
        <v>Review</v>
      </c>
    </row>
    <row r="73" spans="1:9" hidden="1" x14ac:dyDescent="0.3">
      <c r="A73" s="1">
        <v>46082</v>
      </c>
      <c r="B73" t="s">
        <v>40</v>
      </c>
      <c r="C73">
        <v>6</v>
      </c>
      <c r="D73">
        <v>145516</v>
      </c>
      <c r="E73">
        <v>4159</v>
      </c>
      <c r="F73">
        <v>2.9000000000000001E-2</v>
      </c>
      <c r="G73">
        <v>0.05</v>
      </c>
      <c r="H73" t="s">
        <v>78</v>
      </c>
      <c r="I73" t="str">
        <f t="shared" si="1"/>
        <v>OK</v>
      </c>
    </row>
    <row r="74" spans="1:9" hidden="1" x14ac:dyDescent="0.3">
      <c r="A74" s="1">
        <v>45748</v>
      </c>
      <c r="B74" t="s">
        <v>40</v>
      </c>
      <c r="C74">
        <v>7</v>
      </c>
      <c r="D74">
        <v>207898</v>
      </c>
      <c r="E74">
        <v>3623</v>
      </c>
      <c r="F74">
        <v>1.7000000000000001E-2</v>
      </c>
      <c r="G74">
        <v>0.05</v>
      </c>
      <c r="H74" t="s">
        <v>78</v>
      </c>
      <c r="I74" t="str">
        <f t="shared" si="1"/>
        <v>OK</v>
      </c>
    </row>
    <row r="75" spans="1:9" hidden="1" x14ac:dyDescent="0.3">
      <c r="A75" s="1">
        <v>45778</v>
      </c>
      <c r="B75" t="s">
        <v>40</v>
      </c>
      <c r="C75">
        <v>7</v>
      </c>
      <c r="D75">
        <v>286144</v>
      </c>
      <c r="E75">
        <v>3562</v>
      </c>
      <c r="F75">
        <v>1.2E-2</v>
      </c>
      <c r="G75">
        <v>0.05</v>
      </c>
      <c r="H75" t="s">
        <v>78</v>
      </c>
      <c r="I75" t="str">
        <f t="shared" si="1"/>
        <v>OK</v>
      </c>
    </row>
    <row r="76" spans="1:9" hidden="1" x14ac:dyDescent="0.3">
      <c r="A76" s="1">
        <v>45809</v>
      </c>
      <c r="B76" t="s">
        <v>40</v>
      </c>
      <c r="C76">
        <v>7</v>
      </c>
      <c r="D76">
        <v>694213</v>
      </c>
      <c r="E76">
        <v>1082</v>
      </c>
      <c r="F76">
        <v>2E-3</v>
      </c>
      <c r="G76">
        <v>0.05</v>
      </c>
      <c r="H76" t="s">
        <v>78</v>
      </c>
      <c r="I76" t="str">
        <f t="shared" si="1"/>
        <v>OK</v>
      </c>
    </row>
    <row r="77" spans="1:9" hidden="1" x14ac:dyDescent="0.3">
      <c r="A77" s="1">
        <v>45839</v>
      </c>
      <c r="B77" t="s">
        <v>40</v>
      </c>
      <c r="C77">
        <v>7</v>
      </c>
      <c r="D77">
        <v>864747</v>
      </c>
      <c r="E77">
        <v>228</v>
      </c>
      <c r="F77">
        <v>0</v>
      </c>
      <c r="G77">
        <v>0.05</v>
      </c>
      <c r="H77" t="s">
        <v>78</v>
      </c>
      <c r="I77" t="str">
        <f t="shared" si="1"/>
        <v>OK</v>
      </c>
    </row>
    <row r="78" spans="1:9" hidden="1" x14ac:dyDescent="0.3">
      <c r="A78" s="1">
        <v>45870</v>
      </c>
      <c r="B78" t="s">
        <v>40</v>
      </c>
      <c r="C78">
        <v>7</v>
      </c>
      <c r="D78">
        <v>537907</v>
      </c>
      <c r="E78">
        <v>1279</v>
      </c>
      <c r="F78">
        <v>2E-3</v>
      </c>
      <c r="G78">
        <v>0.05</v>
      </c>
      <c r="H78" t="s">
        <v>78</v>
      </c>
      <c r="I78" t="str">
        <f t="shared" si="1"/>
        <v>OK</v>
      </c>
    </row>
    <row r="79" spans="1:9" hidden="1" x14ac:dyDescent="0.3">
      <c r="A79" s="1">
        <v>45901</v>
      </c>
      <c r="B79" t="s">
        <v>40</v>
      </c>
      <c r="C79">
        <v>7</v>
      </c>
      <c r="D79">
        <v>337010</v>
      </c>
      <c r="E79">
        <v>2186</v>
      </c>
      <c r="F79">
        <v>6.0000000000000001E-3</v>
      </c>
      <c r="G79">
        <v>0.05</v>
      </c>
      <c r="H79" t="s">
        <v>78</v>
      </c>
      <c r="I79" t="str">
        <f t="shared" si="1"/>
        <v>OK</v>
      </c>
    </row>
    <row r="80" spans="1:9" hidden="1" x14ac:dyDescent="0.3">
      <c r="A80" s="1">
        <v>45931</v>
      </c>
      <c r="B80" t="s">
        <v>40</v>
      </c>
      <c r="C80">
        <v>7</v>
      </c>
      <c r="D80">
        <v>239036</v>
      </c>
      <c r="E80">
        <v>1305</v>
      </c>
      <c r="F80">
        <v>5.0000000000000001E-3</v>
      </c>
      <c r="G80">
        <v>0.05</v>
      </c>
      <c r="H80" t="s">
        <v>78</v>
      </c>
      <c r="I80" t="str">
        <f t="shared" si="1"/>
        <v>OK</v>
      </c>
    </row>
    <row r="81" spans="1:9" hidden="1" x14ac:dyDescent="0.3">
      <c r="A81" s="1">
        <v>45962</v>
      </c>
      <c r="B81" t="s">
        <v>40</v>
      </c>
      <c r="C81">
        <v>7</v>
      </c>
      <c r="D81">
        <v>230110</v>
      </c>
      <c r="E81">
        <v>1721</v>
      </c>
      <c r="F81">
        <v>7.0000000000000001E-3</v>
      </c>
      <c r="G81">
        <v>0.05</v>
      </c>
      <c r="H81" t="s">
        <v>78</v>
      </c>
      <c r="I81" t="str">
        <f t="shared" si="1"/>
        <v>OK</v>
      </c>
    </row>
    <row r="82" spans="1:9" hidden="1" x14ac:dyDescent="0.3">
      <c r="A82" s="1">
        <v>45992</v>
      </c>
      <c r="B82" t="s">
        <v>40</v>
      </c>
      <c r="C82">
        <v>7</v>
      </c>
      <c r="D82">
        <v>251404</v>
      </c>
      <c r="E82">
        <v>750</v>
      </c>
      <c r="F82">
        <v>3.0000000000000001E-3</v>
      </c>
      <c r="G82">
        <v>0.05</v>
      </c>
      <c r="H82" t="s">
        <v>78</v>
      </c>
      <c r="I82" t="str">
        <f t="shared" si="1"/>
        <v>OK</v>
      </c>
    </row>
    <row r="83" spans="1:9" hidden="1" x14ac:dyDescent="0.3">
      <c r="A83" s="1">
        <v>46023</v>
      </c>
      <c r="B83" t="s">
        <v>40</v>
      </c>
      <c r="C83">
        <v>7</v>
      </c>
      <c r="D83">
        <v>155774</v>
      </c>
      <c r="E83">
        <v>2533</v>
      </c>
      <c r="F83">
        <v>1.6E-2</v>
      </c>
      <c r="G83">
        <v>0.05</v>
      </c>
      <c r="H83" t="s">
        <v>78</v>
      </c>
      <c r="I83" t="str">
        <f t="shared" si="1"/>
        <v>OK</v>
      </c>
    </row>
    <row r="84" spans="1:9" hidden="1" x14ac:dyDescent="0.3">
      <c r="A84" s="1">
        <v>46054</v>
      </c>
      <c r="B84" t="s">
        <v>40</v>
      </c>
      <c r="C84">
        <v>7</v>
      </c>
      <c r="D84">
        <v>101237</v>
      </c>
      <c r="E84">
        <v>2291</v>
      </c>
      <c r="F84">
        <v>2.3E-2</v>
      </c>
      <c r="G84">
        <v>0.05</v>
      </c>
      <c r="H84" t="s">
        <v>78</v>
      </c>
      <c r="I84" t="str">
        <f t="shared" si="1"/>
        <v>OK</v>
      </c>
    </row>
    <row r="85" spans="1:9" hidden="1" x14ac:dyDescent="0.3">
      <c r="A85" s="1">
        <v>46082</v>
      </c>
      <c r="B85" t="s">
        <v>40</v>
      </c>
      <c r="C85">
        <v>7</v>
      </c>
      <c r="D85">
        <v>150263</v>
      </c>
      <c r="E85">
        <v>3729</v>
      </c>
      <c r="F85">
        <v>2.5000000000000001E-2</v>
      </c>
      <c r="G85">
        <v>0.05</v>
      </c>
      <c r="H85" t="s">
        <v>78</v>
      </c>
      <c r="I85" t="str">
        <f t="shared" si="1"/>
        <v>OK</v>
      </c>
    </row>
    <row r="86" spans="1:9" x14ac:dyDescent="0.3">
      <c r="A86" s="1">
        <v>45748</v>
      </c>
      <c r="B86" t="s">
        <v>40</v>
      </c>
      <c r="C86">
        <v>8</v>
      </c>
      <c r="D86">
        <v>441827</v>
      </c>
      <c r="E86">
        <v>27216</v>
      </c>
      <c r="F86">
        <v>6.2E-2</v>
      </c>
      <c r="G86">
        <v>0.05</v>
      </c>
      <c r="H86" t="s">
        <v>79</v>
      </c>
      <c r="I86" t="str">
        <f t="shared" si="1"/>
        <v>Review</v>
      </c>
    </row>
    <row r="87" spans="1:9" x14ac:dyDescent="0.3">
      <c r="A87" s="1">
        <v>45778</v>
      </c>
      <c r="B87" t="s">
        <v>40</v>
      </c>
      <c r="C87">
        <v>8</v>
      </c>
      <c r="D87">
        <v>626816</v>
      </c>
      <c r="E87">
        <v>59907</v>
      </c>
      <c r="F87">
        <v>9.6000000000000002E-2</v>
      </c>
      <c r="G87">
        <v>0.05</v>
      </c>
      <c r="H87" t="s">
        <v>79</v>
      </c>
      <c r="I87" t="str">
        <f t="shared" si="1"/>
        <v>Review</v>
      </c>
    </row>
    <row r="88" spans="1:9" x14ac:dyDescent="0.3">
      <c r="A88" s="1">
        <v>45809</v>
      </c>
      <c r="B88" t="s">
        <v>40</v>
      </c>
      <c r="C88">
        <v>8</v>
      </c>
      <c r="D88">
        <v>1655025</v>
      </c>
      <c r="E88">
        <v>285745</v>
      </c>
      <c r="F88">
        <v>0.17299999999999999</v>
      </c>
      <c r="G88">
        <v>0.05</v>
      </c>
      <c r="H88" t="s">
        <v>79</v>
      </c>
      <c r="I88" t="str">
        <f t="shared" si="1"/>
        <v>Review</v>
      </c>
    </row>
    <row r="89" spans="1:9" x14ac:dyDescent="0.3">
      <c r="A89" s="1">
        <v>45839</v>
      </c>
      <c r="B89" t="s">
        <v>40</v>
      </c>
      <c r="C89">
        <v>8</v>
      </c>
      <c r="D89">
        <v>1651751</v>
      </c>
      <c r="E89">
        <v>292428</v>
      </c>
      <c r="F89">
        <v>0.17699999999999999</v>
      </c>
      <c r="G89">
        <v>0.05</v>
      </c>
      <c r="H89" t="s">
        <v>79</v>
      </c>
      <c r="I89" t="str">
        <f t="shared" si="1"/>
        <v>Review</v>
      </c>
    </row>
    <row r="90" spans="1:9" x14ac:dyDescent="0.3">
      <c r="A90" s="1">
        <v>45870</v>
      </c>
      <c r="B90" t="s">
        <v>40</v>
      </c>
      <c r="C90">
        <v>8</v>
      </c>
      <c r="D90">
        <v>993951</v>
      </c>
      <c r="E90">
        <v>98211</v>
      </c>
      <c r="F90">
        <v>9.9000000000000005E-2</v>
      </c>
      <c r="G90">
        <v>0.05</v>
      </c>
      <c r="H90" t="s">
        <v>79</v>
      </c>
      <c r="I90" t="str">
        <f t="shared" si="1"/>
        <v>Review</v>
      </c>
    </row>
    <row r="91" spans="1:9" x14ac:dyDescent="0.3">
      <c r="A91" s="1">
        <v>45901</v>
      </c>
      <c r="B91" t="s">
        <v>40</v>
      </c>
      <c r="C91">
        <v>8</v>
      </c>
      <c r="D91">
        <v>691147</v>
      </c>
      <c r="E91">
        <v>47634</v>
      </c>
      <c r="F91">
        <v>6.9000000000000006E-2</v>
      </c>
      <c r="G91">
        <v>0.05</v>
      </c>
      <c r="H91" t="s">
        <v>79</v>
      </c>
      <c r="I91" t="str">
        <f t="shared" si="1"/>
        <v>Review</v>
      </c>
    </row>
    <row r="92" spans="1:9" hidden="1" x14ac:dyDescent="0.3">
      <c r="A92" s="1">
        <v>45931</v>
      </c>
      <c r="B92" t="s">
        <v>40</v>
      </c>
      <c r="C92">
        <v>8</v>
      </c>
      <c r="D92">
        <v>380298</v>
      </c>
      <c r="E92">
        <v>8646</v>
      </c>
      <c r="F92">
        <v>2.3E-2</v>
      </c>
      <c r="G92">
        <v>0.05</v>
      </c>
      <c r="H92" t="s">
        <v>78</v>
      </c>
      <c r="I92" t="str">
        <f t="shared" si="1"/>
        <v>OK</v>
      </c>
    </row>
    <row r="93" spans="1:9" x14ac:dyDescent="0.3">
      <c r="A93" s="1">
        <v>45962</v>
      </c>
      <c r="B93" t="s">
        <v>40</v>
      </c>
      <c r="C93">
        <v>8</v>
      </c>
      <c r="D93">
        <v>590454</v>
      </c>
      <c r="E93">
        <v>29935</v>
      </c>
      <c r="F93">
        <v>5.0999999999999997E-2</v>
      </c>
      <c r="G93">
        <v>0.05</v>
      </c>
      <c r="H93" t="s">
        <v>79</v>
      </c>
      <c r="I93" t="str">
        <f t="shared" si="1"/>
        <v>Review</v>
      </c>
    </row>
    <row r="94" spans="1:9" hidden="1" x14ac:dyDescent="0.3">
      <c r="A94" s="1">
        <v>45992</v>
      </c>
      <c r="B94" t="s">
        <v>40</v>
      </c>
      <c r="C94">
        <v>8</v>
      </c>
      <c r="D94">
        <v>753687</v>
      </c>
      <c r="E94">
        <v>28840</v>
      </c>
      <c r="F94">
        <v>3.7999999999999999E-2</v>
      </c>
      <c r="G94">
        <v>0.05</v>
      </c>
      <c r="H94" t="s">
        <v>78</v>
      </c>
      <c r="I94" t="str">
        <f t="shared" si="1"/>
        <v>OK</v>
      </c>
    </row>
    <row r="95" spans="1:9" x14ac:dyDescent="0.3">
      <c r="A95" s="1">
        <v>46023</v>
      </c>
      <c r="B95" t="s">
        <v>40</v>
      </c>
      <c r="C95">
        <v>8</v>
      </c>
      <c r="D95">
        <v>282805</v>
      </c>
      <c r="E95">
        <v>100791</v>
      </c>
      <c r="F95">
        <v>0.35599999999999998</v>
      </c>
      <c r="G95">
        <v>0.05</v>
      </c>
      <c r="H95" t="s">
        <v>79</v>
      </c>
      <c r="I95" t="str">
        <f t="shared" si="1"/>
        <v>Review</v>
      </c>
    </row>
    <row r="96" spans="1:9" x14ac:dyDescent="0.3">
      <c r="A96" s="1">
        <v>46054</v>
      </c>
      <c r="B96" t="s">
        <v>40</v>
      </c>
      <c r="C96">
        <v>8</v>
      </c>
      <c r="D96">
        <v>232502</v>
      </c>
      <c r="E96">
        <v>72775</v>
      </c>
      <c r="F96">
        <v>0.313</v>
      </c>
      <c r="G96">
        <v>0.05</v>
      </c>
      <c r="H96" t="s">
        <v>79</v>
      </c>
      <c r="I96" t="str">
        <f t="shared" si="1"/>
        <v>Review</v>
      </c>
    </row>
    <row r="97" spans="1:9" x14ac:dyDescent="0.3">
      <c r="A97" s="1">
        <v>46082</v>
      </c>
      <c r="B97" t="s">
        <v>40</v>
      </c>
      <c r="C97">
        <v>8</v>
      </c>
      <c r="D97">
        <v>360310</v>
      </c>
      <c r="E97">
        <v>41201</v>
      </c>
      <c r="F97">
        <v>0.114</v>
      </c>
      <c r="G97">
        <v>0.05</v>
      </c>
      <c r="H97" t="s">
        <v>79</v>
      </c>
      <c r="I97" t="str">
        <f t="shared" si="1"/>
        <v>Review</v>
      </c>
    </row>
    <row r="98" spans="1:9" x14ac:dyDescent="0.3">
      <c r="A98" s="1">
        <v>45748</v>
      </c>
      <c r="B98" t="s">
        <v>40</v>
      </c>
      <c r="C98">
        <v>9</v>
      </c>
      <c r="D98">
        <v>137022</v>
      </c>
      <c r="E98">
        <v>7500</v>
      </c>
      <c r="F98">
        <v>5.5E-2</v>
      </c>
      <c r="G98">
        <v>0.05</v>
      </c>
      <c r="H98" t="s">
        <v>79</v>
      </c>
      <c r="I98" t="str">
        <f t="shared" si="1"/>
        <v>Review</v>
      </c>
    </row>
    <row r="99" spans="1:9" hidden="1" x14ac:dyDescent="0.3">
      <c r="A99" s="1">
        <v>45778</v>
      </c>
      <c r="B99" t="s">
        <v>40</v>
      </c>
      <c r="C99">
        <v>9</v>
      </c>
      <c r="D99">
        <v>264196</v>
      </c>
      <c r="E99">
        <v>3300</v>
      </c>
      <c r="F99">
        <v>1.2E-2</v>
      </c>
      <c r="G99">
        <v>0.05</v>
      </c>
      <c r="H99" t="s">
        <v>78</v>
      </c>
      <c r="I99" t="str">
        <f t="shared" si="1"/>
        <v>OK</v>
      </c>
    </row>
    <row r="100" spans="1:9" hidden="1" x14ac:dyDescent="0.3">
      <c r="A100" s="1">
        <v>45809</v>
      </c>
      <c r="B100" t="s">
        <v>40</v>
      </c>
      <c r="C100">
        <v>9</v>
      </c>
      <c r="D100">
        <v>423789</v>
      </c>
      <c r="E100">
        <v>300</v>
      </c>
      <c r="F100">
        <v>1E-3</v>
      </c>
      <c r="G100">
        <v>0.05</v>
      </c>
      <c r="H100" t="s">
        <v>78</v>
      </c>
      <c r="I100" t="str">
        <f t="shared" si="1"/>
        <v>OK</v>
      </c>
    </row>
    <row r="101" spans="1:9" hidden="1" x14ac:dyDescent="0.3">
      <c r="A101" s="1">
        <v>45839</v>
      </c>
      <c r="B101" t="s">
        <v>40</v>
      </c>
      <c r="C101">
        <v>9</v>
      </c>
      <c r="D101">
        <v>615882</v>
      </c>
      <c r="E101">
        <v>0</v>
      </c>
      <c r="F101">
        <v>0</v>
      </c>
      <c r="G101">
        <v>0.05</v>
      </c>
      <c r="H101" t="s">
        <v>78</v>
      </c>
      <c r="I101" t="str">
        <f t="shared" si="1"/>
        <v>OK</v>
      </c>
    </row>
    <row r="102" spans="1:9" hidden="1" x14ac:dyDescent="0.3">
      <c r="A102" s="1">
        <v>45870</v>
      </c>
      <c r="B102" t="s">
        <v>40</v>
      </c>
      <c r="C102">
        <v>9</v>
      </c>
      <c r="D102">
        <v>508221</v>
      </c>
      <c r="E102">
        <v>1500</v>
      </c>
      <c r="F102">
        <v>3.0000000000000001E-3</v>
      </c>
      <c r="G102">
        <v>0.05</v>
      </c>
      <c r="H102" t="s">
        <v>78</v>
      </c>
      <c r="I102" t="str">
        <f t="shared" si="1"/>
        <v>OK</v>
      </c>
    </row>
    <row r="103" spans="1:9" hidden="1" x14ac:dyDescent="0.3">
      <c r="A103" s="1">
        <v>45901</v>
      </c>
      <c r="B103" t="s">
        <v>40</v>
      </c>
      <c r="C103">
        <v>9</v>
      </c>
      <c r="D103">
        <v>315109</v>
      </c>
      <c r="E103">
        <v>900</v>
      </c>
      <c r="F103">
        <v>3.0000000000000001E-3</v>
      </c>
      <c r="G103">
        <v>0.05</v>
      </c>
      <c r="H103" t="s">
        <v>78</v>
      </c>
      <c r="I103" t="str">
        <f t="shared" si="1"/>
        <v>OK</v>
      </c>
    </row>
    <row r="104" spans="1:9" hidden="1" x14ac:dyDescent="0.3">
      <c r="A104" s="1">
        <v>45931</v>
      </c>
      <c r="B104" t="s">
        <v>40</v>
      </c>
      <c r="C104">
        <v>9</v>
      </c>
      <c r="D104">
        <v>227708</v>
      </c>
      <c r="E104">
        <v>3900</v>
      </c>
      <c r="F104">
        <v>1.7000000000000001E-2</v>
      </c>
      <c r="G104">
        <v>0.05</v>
      </c>
      <c r="H104" t="s">
        <v>78</v>
      </c>
      <c r="I104" t="str">
        <f t="shared" si="1"/>
        <v>OK</v>
      </c>
    </row>
    <row r="105" spans="1:9" hidden="1" x14ac:dyDescent="0.3">
      <c r="A105" s="1">
        <v>45962</v>
      </c>
      <c r="B105" t="s">
        <v>40</v>
      </c>
      <c r="C105">
        <v>9</v>
      </c>
      <c r="D105">
        <v>191891</v>
      </c>
      <c r="E105">
        <v>2400</v>
      </c>
      <c r="F105">
        <v>1.2999999999999999E-2</v>
      </c>
      <c r="G105">
        <v>0.05</v>
      </c>
      <c r="H105" t="s">
        <v>78</v>
      </c>
      <c r="I105" t="str">
        <f t="shared" si="1"/>
        <v>OK</v>
      </c>
    </row>
    <row r="106" spans="1:9" hidden="1" x14ac:dyDescent="0.3">
      <c r="A106" s="1">
        <v>45992</v>
      </c>
      <c r="B106" t="s">
        <v>40</v>
      </c>
      <c r="C106">
        <v>9</v>
      </c>
      <c r="D106">
        <v>250326</v>
      </c>
      <c r="E106">
        <v>2100</v>
      </c>
      <c r="F106">
        <v>8.0000000000000002E-3</v>
      </c>
      <c r="G106">
        <v>0.05</v>
      </c>
      <c r="H106" t="s">
        <v>78</v>
      </c>
      <c r="I106" t="str">
        <f t="shared" si="1"/>
        <v>OK</v>
      </c>
    </row>
    <row r="107" spans="1:9" hidden="1" x14ac:dyDescent="0.3">
      <c r="A107" s="1">
        <v>46023</v>
      </c>
      <c r="B107" t="s">
        <v>40</v>
      </c>
      <c r="C107">
        <v>9</v>
      </c>
      <c r="D107">
        <v>114966</v>
      </c>
      <c r="E107">
        <v>4200</v>
      </c>
      <c r="F107">
        <v>3.6999999999999998E-2</v>
      </c>
      <c r="G107">
        <v>0.05</v>
      </c>
      <c r="H107" t="s">
        <v>78</v>
      </c>
      <c r="I107" t="str">
        <f t="shared" si="1"/>
        <v>OK</v>
      </c>
    </row>
    <row r="108" spans="1:9" x14ac:dyDescent="0.3">
      <c r="A108" s="1">
        <v>46054</v>
      </c>
      <c r="B108" t="s">
        <v>40</v>
      </c>
      <c r="C108">
        <v>9</v>
      </c>
      <c r="D108">
        <v>101644</v>
      </c>
      <c r="E108">
        <v>5700</v>
      </c>
      <c r="F108">
        <v>5.6000000000000001E-2</v>
      </c>
      <c r="G108">
        <v>0.05</v>
      </c>
      <c r="H108" t="s">
        <v>79</v>
      </c>
      <c r="I108" t="str">
        <f t="shared" si="1"/>
        <v>Review</v>
      </c>
    </row>
    <row r="109" spans="1:9" x14ac:dyDescent="0.3">
      <c r="A109" s="1">
        <v>46082</v>
      </c>
      <c r="B109" t="s">
        <v>40</v>
      </c>
      <c r="C109">
        <v>9</v>
      </c>
      <c r="D109">
        <v>94005</v>
      </c>
      <c r="E109">
        <v>9300</v>
      </c>
      <c r="F109">
        <v>9.9000000000000005E-2</v>
      </c>
      <c r="G109">
        <v>0.05</v>
      </c>
      <c r="H109" t="s">
        <v>79</v>
      </c>
      <c r="I109" t="str">
        <f t="shared" si="1"/>
        <v>Review</v>
      </c>
    </row>
    <row r="110" spans="1:9" hidden="1" x14ac:dyDescent="0.3">
      <c r="A110" s="1">
        <v>45748</v>
      </c>
      <c r="B110" t="s">
        <v>40</v>
      </c>
      <c r="C110">
        <v>10</v>
      </c>
      <c r="D110">
        <v>250800</v>
      </c>
      <c r="E110">
        <v>195</v>
      </c>
      <c r="F110">
        <v>1E-3</v>
      </c>
      <c r="G110">
        <v>0.05</v>
      </c>
      <c r="H110" t="s">
        <v>78</v>
      </c>
      <c r="I110" t="str">
        <f t="shared" si="1"/>
        <v>OK</v>
      </c>
    </row>
    <row r="111" spans="1:9" hidden="1" x14ac:dyDescent="0.3">
      <c r="A111" s="1">
        <v>45778</v>
      </c>
      <c r="B111" t="s">
        <v>40</v>
      </c>
      <c r="C111">
        <v>10</v>
      </c>
      <c r="D111">
        <v>695400</v>
      </c>
      <c r="E111">
        <v>297</v>
      </c>
      <c r="F111">
        <v>0</v>
      </c>
      <c r="G111">
        <v>0.05</v>
      </c>
      <c r="H111" t="s">
        <v>78</v>
      </c>
      <c r="I111" t="str">
        <f t="shared" si="1"/>
        <v>OK</v>
      </c>
    </row>
    <row r="112" spans="1:9" hidden="1" x14ac:dyDescent="0.3">
      <c r="A112" s="1">
        <v>45809</v>
      </c>
      <c r="B112" t="s">
        <v>40</v>
      </c>
      <c r="C112">
        <v>10</v>
      </c>
      <c r="D112">
        <v>1079100</v>
      </c>
      <c r="E112">
        <v>126</v>
      </c>
      <c r="F112">
        <v>0</v>
      </c>
      <c r="G112">
        <v>0.05</v>
      </c>
      <c r="H112" t="s">
        <v>78</v>
      </c>
      <c r="I112" t="str">
        <f t="shared" si="1"/>
        <v>OK</v>
      </c>
    </row>
    <row r="113" spans="1:9" hidden="1" x14ac:dyDescent="0.3">
      <c r="A113" s="1">
        <v>45839</v>
      </c>
      <c r="B113" t="s">
        <v>40</v>
      </c>
      <c r="C113">
        <v>10</v>
      </c>
      <c r="D113">
        <v>1250700</v>
      </c>
      <c r="E113">
        <v>8</v>
      </c>
      <c r="F113">
        <v>0</v>
      </c>
      <c r="G113">
        <v>0.05</v>
      </c>
      <c r="H113" t="s">
        <v>78</v>
      </c>
      <c r="I113" t="str">
        <f t="shared" si="1"/>
        <v>OK</v>
      </c>
    </row>
    <row r="114" spans="1:9" hidden="1" x14ac:dyDescent="0.3">
      <c r="A114" s="1">
        <v>45870</v>
      </c>
      <c r="B114" t="s">
        <v>40</v>
      </c>
      <c r="C114">
        <v>10</v>
      </c>
      <c r="D114">
        <v>775500</v>
      </c>
      <c r="E114">
        <v>6</v>
      </c>
      <c r="F114">
        <v>0</v>
      </c>
      <c r="G114">
        <v>0.05</v>
      </c>
      <c r="H114" t="s">
        <v>78</v>
      </c>
      <c r="I114" t="str">
        <f t="shared" si="1"/>
        <v>OK</v>
      </c>
    </row>
    <row r="115" spans="1:9" hidden="1" x14ac:dyDescent="0.3">
      <c r="A115" s="1">
        <v>45901</v>
      </c>
      <c r="B115" t="s">
        <v>40</v>
      </c>
      <c r="C115">
        <v>10</v>
      </c>
      <c r="D115">
        <v>572100</v>
      </c>
      <c r="E115">
        <v>2</v>
      </c>
      <c r="F115">
        <v>0</v>
      </c>
      <c r="G115">
        <v>0.05</v>
      </c>
      <c r="H115" t="s">
        <v>78</v>
      </c>
      <c r="I115" t="str">
        <f t="shared" si="1"/>
        <v>OK</v>
      </c>
    </row>
    <row r="116" spans="1:9" hidden="1" x14ac:dyDescent="0.3">
      <c r="A116" s="1">
        <v>45931</v>
      </c>
      <c r="B116" t="s">
        <v>40</v>
      </c>
      <c r="C116">
        <v>10</v>
      </c>
      <c r="D116">
        <v>354900</v>
      </c>
      <c r="E116">
        <v>2</v>
      </c>
      <c r="F116">
        <v>0</v>
      </c>
      <c r="G116">
        <v>0.05</v>
      </c>
      <c r="H116" t="s">
        <v>78</v>
      </c>
      <c r="I116" t="str">
        <f t="shared" si="1"/>
        <v>OK</v>
      </c>
    </row>
    <row r="117" spans="1:9" hidden="1" x14ac:dyDescent="0.3">
      <c r="A117" s="1">
        <v>45962</v>
      </c>
      <c r="B117" t="s">
        <v>40</v>
      </c>
      <c r="C117">
        <v>10</v>
      </c>
      <c r="D117">
        <v>326700</v>
      </c>
      <c r="E117">
        <v>0</v>
      </c>
      <c r="F117">
        <v>0</v>
      </c>
      <c r="G117">
        <v>0.05</v>
      </c>
      <c r="H117" t="s">
        <v>78</v>
      </c>
      <c r="I117" t="str">
        <f t="shared" si="1"/>
        <v>OK</v>
      </c>
    </row>
    <row r="118" spans="1:9" hidden="1" x14ac:dyDescent="0.3">
      <c r="A118" s="1">
        <v>45992</v>
      </c>
      <c r="B118" t="s">
        <v>40</v>
      </c>
      <c r="C118">
        <v>10</v>
      </c>
      <c r="D118">
        <v>462000</v>
      </c>
      <c r="E118">
        <v>0</v>
      </c>
      <c r="F118">
        <v>0</v>
      </c>
      <c r="G118">
        <v>0.05</v>
      </c>
      <c r="H118" t="s">
        <v>78</v>
      </c>
      <c r="I118" t="str">
        <f t="shared" si="1"/>
        <v>OK</v>
      </c>
    </row>
    <row r="119" spans="1:9" hidden="1" x14ac:dyDescent="0.3">
      <c r="A119" s="1">
        <v>46023</v>
      </c>
      <c r="B119" t="s">
        <v>40</v>
      </c>
      <c r="C119">
        <v>10</v>
      </c>
      <c r="D119">
        <v>431700</v>
      </c>
      <c r="E119">
        <v>199</v>
      </c>
      <c r="F119">
        <v>0</v>
      </c>
      <c r="G119">
        <v>0.05</v>
      </c>
      <c r="H119" t="s">
        <v>78</v>
      </c>
      <c r="I119" t="str">
        <f t="shared" si="1"/>
        <v>OK</v>
      </c>
    </row>
    <row r="120" spans="1:9" hidden="1" x14ac:dyDescent="0.3">
      <c r="A120" s="1">
        <v>46054</v>
      </c>
      <c r="B120" t="s">
        <v>40</v>
      </c>
      <c r="C120">
        <v>10</v>
      </c>
      <c r="D120">
        <v>323100</v>
      </c>
      <c r="E120">
        <v>0</v>
      </c>
      <c r="F120">
        <v>0</v>
      </c>
      <c r="G120">
        <v>0.05</v>
      </c>
      <c r="H120" t="s">
        <v>78</v>
      </c>
      <c r="I120" t="str">
        <f t="shared" si="1"/>
        <v>OK</v>
      </c>
    </row>
    <row r="121" spans="1:9" hidden="1" x14ac:dyDescent="0.3">
      <c r="A121" s="1">
        <v>46082</v>
      </c>
      <c r="B121" t="s">
        <v>40</v>
      </c>
      <c r="C121">
        <v>10</v>
      </c>
      <c r="D121">
        <v>249900</v>
      </c>
      <c r="E121">
        <v>0</v>
      </c>
      <c r="F121">
        <v>0</v>
      </c>
      <c r="G121">
        <v>0.05</v>
      </c>
      <c r="H121" t="s">
        <v>78</v>
      </c>
      <c r="I121" t="str">
        <f t="shared" si="1"/>
        <v>OK</v>
      </c>
    </row>
    <row r="122" spans="1:9" hidden="1" x14ac:dyDescent="0.3">
      <c r="A122" s="1">
        <v>45748</v>
      </c>
      <c r="B122" t="s">
        <v>40</v>
      </c>
      <c r="C122">
        <v>11</v>
      </c>
      <c r="D122">
        <v>168457</v>
      </c>
      <c r="E122">
        <v>27</v>
      </c>
      <c r="F122">
        <v>0</v>
      </c>
      <c r="G122">
        <v>0.05</v>
      </c>
      <c r="H122" t="s">
        <v>78</v>
      </c>
      <c r="I122" t="str">
        <f t="shared" si="1"/>
        <v>OK</v>
      </c>
    </row>
    <row r="123" spans="1:9" hidden="1" x14ac:dyDescent="0.3">
      <c r="A123" s="1">
        <v>45778</v>
      </c>
      <c r="B123" t="s">
        <v>40</v>
      </c>
      <c r="C123">
        <v>11</v>
      </c>
      <c r="D123">
        <v>191144</v>
      </c>
      <c r="E123">
        <v>8</v>
      </c>
      <c r="F123">
        <v>0</v>
      </c>
      <c r="G123">
        <v>0.05</v>
      </c>
      <c r="H123" t="s">
        <v>78</v>
      </c>
      <c r="I123" t="str">
        <f t="shared" si="1"/>
        <v>OK</v>
      </c>
    </row>
    <row r="124" spans="1:9" hidden="1" x14ac:dyDescent="0.3">
      <c r="A124" s="1">
        <v>45809</v>
      </c>
      <c r="B124" t="s">
        <v>40</v>
      </c>
      <c r="C124">
        <v>11</v>
      </c>
      <c r="D124">
        <v>370909</v>
      </c>
      <c r="E124">
        <v>60</v>
      </c>
      <c r="F124">
        <v>0</v>
      </c>
      <c r="G124">
        <v>0.05</v>
      </c>
      <c r="H124" t="s">
        <v>78</v>
      </c>
      <c r="I124" t="str">
        <f t="shared" si="1"/>
        <v>OK</v>
      </c>
    </row>
    <row r="125" spans="1:9" hidden="1" x14ac:dyDescent="0.3">
      <c r="A125" s="1">
        <v>45839</v>
      </c>
      <c r="B125" t="s">
        <v>40</v>
      </c>
      <c r="C125">
        <v>11</v>
      </c>
      <c r="D125">
        <v>406505</v>
      </c>
      <c r="E125">
        <v>17</v>
      </c>
      <c r="F125">
        <v>0</v>
      </c>
      <c r="G125">
        <v>0.05</v>
      </c>
      <c r="H125" t="s">
        <v>78</v>
      </c>
      <c r="I125" t="str">
        <f t="shared" si="1"/>
        <v>OK</v>
      </c>
    </row>
    <row r="126" spans="1:9" hidden="1" x14ac:dyDescent="0.3">
      <c r="A126" s="1">
        <v>45870</v>
      </c>
      <c r="B126" t="s">
        <v>40</v>
      </c>
      <c r="C126">
        <v>11</v>
      </c>
      <c r="D126">
        <v>239028</v>
      </c>
      <c r="E126">
        <v>60</v>
      </c>
      <c r="F126">
        <v>0</v>
      </c>
      <c r="G126">
        <v>0.05</v>
      </c>
      <c r="H126" t="s">
        <v>78</v>
      </c>
      <c r="I126" t="str">
        <f t="shared" si="1"/>
        <v>OK</v>
      </c>
    </row>
    <row r="127" spans="1:9" hidden="1" x14ac:dyDescent="0.3">
      <c r="A127" s="1">
        <v>45901</v>
      </c>
      <c r="B127" t="s">
        <v>40</v>
      </c>
      <c r="C127">
        <v>11</v>
      </c>
      <c r="D127">
        <v>203462</v>
      </c>
      <c r="E127">
        <v>1178</v>
      </c>
      <c r="F127">
        <v>6.0000000000000001E-3</v>
      </c>
      <c r="G127">
        <v>0.05</v>
      </c>
      <c r="H127" t="s">
        <v>78</v>
      </c>
      <c r="I127" t="str">
        <f t="shared" si="1"/>
        <v>OK</v>
      </c>
    </row>
    <row r="128" spans="1:9" hidden="1" x14ac:dyDescent="0.3">
      <c r="A128" s="1">
        <v>45931</v>
      </c>
      <c r="B128" t="s">
        <v>40</v>
      </c>
      <c r="C128">
        <v>11</v>
      </c>
      <c r="D128">
        <v>152718</v>
      </c>
      <c r="E128">
        <v>0</v>
      </c>
      <c r="F128">
        <v>0</v>
      </c>
      <c r="G128">
        <v>0.05</v>
      </c>
      <c r="H128" t="s">
        <v>78</v>
      </c>
      <c r="I128" t="str">
        <f t="shared" si="1"/>
        <v>OK</v>
      </c>
    </row>
    <row r="129" spans="1:9" hidden="1" x14ac:dyDescent="0.3">
      <c r="A129" s="1">
        <v>45962</v>
      </c>
      <c r="B129" t="s">
        <v>40</v>
      </c>
      <c r="C129">
        <v>11</v>
      </c>
      <c r="D129">
        <v>144096</v>
      </c>
      <c r="E129">
        <v>0</v>
      </c>
      <c r="F129">
        <v>0</v>
      </c>
      <c r="G129">
        <v>0.05</v>
      </c>
      <c r="H129" t="s">
        <v>78</v>
      </c>
      <c r="I129" t="str">
        <f t="shared" si="1"/>
        <v>OK</v>
      </c>
    </row>
    <row r="130" spans="1:9" hidden="1" x14ac:dyDescent="0.3">
      <c r="A130" s="1">
        <v>45992</v>
      </c>
      <c r="B130" t="s">
        <v>40</v>
      </c>
      <c r="C130">
        <v>11</v>
      </c>
      <c r="D130">
        <v>197919</v>
      </c>
      <c r="E130">
        <v>0</v>
      </c>
      <c r="F130">
        <v>0</v>
      </c>
      <c r="G130">
        <v>0.05</v>
      </c>
      <c r="H130" t="s">
        <v>78</v>
      </c>
      <c r="I130" t="str">
        <f t="shared" ref="I130:I193" si="2">IF(ABS(F130)&gt;G130,"Review","OK")</f>
        <v>OK</v>
      </c>
    </row>
    <row r="131" spans="1:9" hidden="1" x14ac:dyDescent="0.3">
      <c r="A131" s="1">
        <v>46023</v>
      </c>
      <c r="B131" t="s">
        <v>40</v>
      </c>
      <c r="C131">
        <v>11</v>
      </c>
      <c r="D131">
        <v>87138</v>
      </c>
      <c r="E131">
        <v>2</v>
      </c>
      <c r="F131">
        <v>0</v>
      </c>
      <c r="G131">
        <v>0.05</v>
      </c>
      <c r="H131" t="s">
        <v>78</v>
      </c>
      <c r="I131" t="str">
        <f t="shared" si="2"/>
        <v>OK</v>
      </c>
    </row>
    <row r="132" spans="1:9" hidden="1" x14ac:dyDescent="0.3">
      <c r="A132" s="1">
        <v>46054</v>
      </c>
      <c r="B132" t="s">
        <v>40</v>
      </c>
      <c r="C132">
        <v>11</v>
      </c>
      <c r="D132">
        <v>62945</v>
      </c>
      <c r="E132">
        <v>115</v>
      </c>
      <c r="F132">
        <v>2E-3</v>
      </c>
      <c r="G132">
        <v>0.05</v>
      </c>
      <c r="H132" t="s">
        <v>78</v>
      </c>
      <c r="I132" t="str">
        <f t="shared" si="2"/>
        <v>OK</v>
      </c>
    </row>
    <row r="133" spans="1:9" hidden="1" x14ac:dyDescent="0.3">
      <c r="A133" s="1">
        <v>46082</v>
      </c>
      <c r="B133" t="s">
        <v>40</v>
      </c>
      <c r="C133">
        <v>11</v>
      </c>
      <c r="D133">
        <v>76165</v>
      </c>
      <c r="E133">
        <v>1</v>
      </c>
      <c r="F133">
        <v>0</v>
      </c>
      <c r="G133">
        <v>0.05</v>
      </c>
      <c r="H133" t="s">
        <v>78</v>
      </c>
      <c r="I133" t="str">
        <f t="shared" si="2"/>
        <v>OK</v>
      </c>
    </row>
    <row r="134" spans="1:9" x14ac:dyDescent="0.3">
      <c r="A134" s="1">
        <v>45748</v>
      </c>
      <c r="B134" t="s">
        <v>40</v>
      </c>
      <c r="C134">
        <v>12</v>
      </c>
      <c r="D134">
        <v>95760</v>
      </c>
      <c r="E134">
        <v>5040</v>
      </c>
      <c r="F134">
        <v>5.2999999999999999E-2</v>
      </c>
      <c r="G134">
        <v>0.05</v>
      </c>
      <c r="H134" t="s">
        <v>79</v>
      </c>
      <c r="I134" t="str">
        <f t="shared" si="2"/>
        <v>Review</v>
      </c>
    </row>
    <row r="135" spans="1:9" hidden="1" x14ac:dyDescent="0.3">
      <c r="A135" s="1">
        <v>45778</v>
      </c>
      <c r="B135" t="s">
        <v>40</v>
      </c>
      <c r="C135">
        <v>12</v>
      </c>
      <c r="D135">
        <v>329640</v>
      </c>
      <c r="E135">
        <v>2880</v>
      </c>
      <c r="F135">
        <v>8.9999999999999993E-3</v>
      </c>
      <c r="G135">
        <v>0.05</v>
      </c>
      <c r="H135" t="s">
        <v>78</v>
      </c>
      <c r="I135" t="str">
        <f t="shared" si="2"/>
        <v>OK</v>
      </c>
    </row>
    <row r="136" spans="1:9" hidden="1" x14ac:dyDescent="0.3">
      <c r="A136" s="1">
        <v>45809</v>
      </c>
      <c r="B136" t="s">
        <v>40</v>
      </c>
      <c r="C136">
        <v>12</v>
      </c>
      <c r="D136">
        <v>507120</v>
      </c>
      <c r="E136">
        <v>840</v>
      </c>
      <c r="F136">
        <v>2E-3</v>
      </c>
      <c r="G136">
        <v>0.05</v>
      </c>
      <c r="H136" t="s">
        <v>78</v>
      </c>
      <c r="I136" t="str">
        <f t="shared" si="2"/>
        <v>OK</v>
      </c>
    </row>
    <row r="137" spans="1:9" hidden="1" x14ac:dyDescent="0.3">
      <c r="A137" s="1">
        <v>45839</v>
      </c>
      <c r="B137" t="s">
        <v>40</v>
      </c>
      <c r="C137">
        <v>12</v>
      </c>
      <c r="D137">
        <v>557640</v>
      </c>
      <c r="E137">
        <v>720</v>
      </c>
      <c r="F137">
        <v>1E-3</v>
      </c>
      <c r="G137">
        <v>0.05</v>
      </c>
      <c r="H137" t="s">
        <v>78</v>
      </c>
      <c r="I137" t="str">
        <f t="shared" si="2"/>
        <v>OK</v>
      </c>
    </row>
    <row r="138" spans="1:9" hidden="1" x14ac:dyDescent="0.3">
      <c r="A138" s="1">
        <v>45870</v>
      </c>
      <c r="B138" t="s">
        <v>40</v>
      </c>
      <c r="C138">
        <v>12</v>
      </c>
      <c r="D138">
        <v>366120</v>
      </c>
      <c r="E138">
        <v>1440</v>
      </c>
      <c r="F138">
        <v>4.0000000000000001E-3</v>
      </c>
      <c r="G138">
        <v>0.05</v>
      </c>
      <c r="H138" t="s">
        <v>78</v>
      </c>
      <c r="I138" t="str">
        <f t="shared" si="2"/>
        <v>OK</v>
      </c>
    </row>
    <row r="139" spans="1:9" hidden="1" x14ac:dyDescent="0.3">
      <c r="A139" s="1">
        <v>45901</v>
      </c>
      <c r="B139" t="s">
        <v>40</v>
      </c>
      <c r="C139">
        <v>12</v>
      </c>
      <c r="D139">
        <v>324480</v>
      </c>
      <c r="E139">
        <v>1200</v>
      </c>
      <c r="F139">
        <v>4.0000000000000001E-3</v>
      </c>
      <c r="G139">
        <v>0.05</v>
      </c>
      <c r="H139" t="s">
        <v>78</v>
      </c>
      <c r="I139" t="str">
        <f t="shared" si="2"/>
        <v>OK</v>
      </c>
    </row>
    <row r="140" spans="1:9" hidden="1" x14ac:dyDescent="0.3">
      <c r="A140" s="1">
        <v>45931</v>
      </c>
      <c r="B140" t="s">
        <v>40</v>
      </c>
      <c r="C140">
        <v>12</v>
      </c>
      <c r="D140">
        <v>211560</v>
      </c>
      <c r="E140">
        <v>2880</v>
      </c>
      <c r="F140">
        <v>1.4E-2</v>
      </c>
      <c r="G140">
        <v>0.05</v>
      </c>
      <c r="H140" t="s">
        <v>78</v>
      </c>
      <c r="I140" t="str">
        <f t="shared" si="2"/>
        <v>OK</v>
      </c>
    </row>
    <row r="141" spans="1:9" hidden="1" x14ac:dyDescent="0.3">
      <c r="A141" s="1">
        <v>45962</v>
      </c>
      <c r="B141" t="s">
        <v>40</v>
      </c>
      <c r="C141">
        <v>12</v>
      </c>
      <c r="D141">
        <v>112920</v>
      </c>
      <c r="E141">
        <v>3360</v>
      </c>
      <c r="F141">
        <v>0.03</v>
      </c>
      <c r="G141">
        <v>0.05</v>
      </c>
      <c r="H141" t="s">
        <v>78</v>
      </c>
      <c r="I141" t="str">
        <f t="shared" si="2"/>
        <v>OK</v>
      </c>
    </row>
    <row r="142" spans="1:9" hidden="1" x14ac:dyDescent="0.3">
      <c r="A142" s="1">
        <v>45992</v>
      </c>
      <c r="B142" t="s">
        <v>40</v>
      </c>
      <c r="C142">
        <v>12</v>
      </c>
      <c r="D142">
        <v>148800</v>
      </c>
      <c r="E142">
        <v>2880</v>
      </c>
      <c r="F142">
        <v>1.9E-2</v>
      </c>
      <c r="G142">
        <v>0.05</v>
      </c>
      <c r="H142" t="s">
        <v>78</v>
      </c>
      <c r="I142" t="str">
        <f t="shared" si="2"/>
        <v>OK</v>
      </c>
    </row>
    <row r="143" spans="1:9" hidden="1" x14ac:dyDescent="0.3">
      <c r="A143" s="1">
        <v>46023</v>
      </c>
      <c r="B143" t="s">
        <v>40</v>
      </c>
      <c r="C143">
        <v>12</v>
      </c>
      <c r="D143">
        <v>164880</v>
      </c>
      <c r="E143">
        <v>2040</v>
      </c>
      <c r="F143">
        <v>1.2E-2</v>
      </c>
      <c r="G143">
        <v>0.05</v>
      </c>
      <c r="H143" t="s">
        <v>78</v>
      </c>
      <c r="I143" t="str">
        <f t="shared" si="2"/>
        <v>OK</v>
      </c>
    </row>
    <row r="144" spans="1:9" hidden="1" x14ac:dyDescent="0.3">
      <c r="A144" s="1">
        <v>46054</v>
      </c>
      <c r="B144" t="s">
        <v>40</v>
      </c>
      <c r="C144">
        <v>12</v>
      </c>
      <c r="D144">
        <v>120840</v>
      </c>
      <c r="E144">
        <v>3699</v>
      </c>
      <c r="F144">
        <v>3.1E-2</v>
      </c>
      <c r="G144">
        <v>0.05</v>
      </c>
      <c r="H144" t="s">
        <v>78</v>
      </c>
      <c r="I144" t="str">
        <f t="shared" si="2"/>
        <v>OK</v>
      </c>
    </row>
    <row r="145" spans="1:9" hidden="1" x14ac:dyDescent="0.3">
      <c r="A145" s="1">
        <v>46082</v>
      </c>
      <c r="B145" t="s">
        <v>40</v>
      </c>
      <c r="C145">
        <v>12</v>
      </c>
      <c r="D145">
        <v>105720</v>
      </c>
      <c r="E145">
        <v>4800</v>
      </c>
      <c r="F145">
        <v>4.4999999999999998E-2</v>
      </c>
      <c r="G145">
        <v>0.05</v>
      </c>
      <c r="H145" t="s">
        <v>78</v>
      </c>
      <c r="I145" t="str">
        <f t="shared" si="2"/>
        <v>OK</v>
      </c>
    </row>
    <row r="146" spans="1:9" hidden="1" x14ac:dyDescent="0.3">
      <c r="A146" s="1">
        <v>45748</v>
      </c>
      <c r="B146" t="s">
        <v>40</v>
      </c>
      <c r="C146">
        <v>13</v>
      </c>
      <c r="D146">
        <v>78720</v>
      </c>
      <c r="E146">
        <v>120</v>
      </c>
      <c r="F146">
        <v>2E-3</v>
      </c>
      <c r="G146">
        <v>0.05</v>
      </c>
      <c r="H146" t="s">
        <v>78</v>
      </c>
      <c r="I146" t="str">
        <f t="shared" si="2"/>
        <v>OK</v>
      </c>
    </row>
    <row r="147" spans="1:9" hidden="1" x14ac:dyDescent="0.3">
      <c r="A147" s="1">
        <v>45778</v>
      </c>
      <c r="B147" t="s">
        <v>40</v>
      </c>
      <c r="C147">
        <v>13</v>
      </c>
      <c r="D147">
        <v>300480</v>
      </c>
      <c r="E147">
        <v>0</v>
      </c>
      <c r="F147">
        <v>0</v>
      </c>
      <c r="G147">
        <v>0.05</v>
      </c>
      <c r="H147" t="s">
        <v>78</v>
      </c>
      <c r="I147" t="str">
        <f t="shared" si="2"/>
        <v>OK</v>
      </c>
    </row>
    <row r="148" spans="1:9" hidden="1" x14ac:dyDescent="0.3">
      <c r="A148" s="1">
        <v>45809</v>
      </c>
      <c r="B148" t="s">
        <v>40</v>
      </c>
      <c r="C148">
        <v>13</v>
      </c>
      <c r="D148">
        <v>447600</v>
      </c>
      <c r="E148">
        <v>0</v>
      </c>
      <c r="F148">
        <v>0</v>
      </c>
      <c r="G148">
        <v>0.05</v>
      </c>
      <c r="H148" t="s">
        <v>78</v>
      </c>
      <c r="I148" t="str">
        <f t="shared" si="2"/>
        <v>OK</v>
      </c>
    </row>
    <row r="149" spans="1:9" hidden="1" x14ac:dyDescent="0.3">
      <c r="A149" s="1">
        <v>45839</v>
      </c>
      <c r="B149" t="s">
        <v>40</v>
      </c>
      <c r="C149">
        <v>13</v>
      </c>
      <c r="D149">
        <v>570960</v>
      </c>
      <c r="E149">
        <v>0</v>
      </c>
      <c r="F149">
        <v>0</v>
      </c>
      <c r="G149">
        <v>0.05</v>
      </c>
      <c r="H149" t="s">
        <v>78</v>
      </c>
      <c r="I149" t="str">
        <f t="shared" si="2"/>
        <v>OK</v>
      </c>
    </row>
    <row r="150" spans="1:9" hidden="1" x14ac:dyDescent="0.3">
      <c r="A150" s="1">
        <v>45870</v>
      </c>
      <c r="B150" t="s">
        <v>40</v>
      </c>
      <c r="C150">
        <v>13</v>
      </c>
      <c r="D150">
        <v>331320</v>
      </c>
      <c r="E150">
        <v>0</v>
      </c>
      <c r="F150">
        <v>0</v>
      </c>
      <c r="G150">
        <v>0.05</v>
      </c>
      <c r="H150" t="s">
        <v>78</v>
      </c>
      <c r="I150" t="str">
        <f t="shared" si="2"/>
        <v>OK</v>
      </c>
    </row>
    <row r="151" spans="1:9" hidden="1" x14ac:dyDescent="0.3">
      <c r="A151" s="1">
        <v>45901</v>
      </c>
      <c r="B151" t="s">
        <v>40</v>
      </c>
      <c r="C151">
        <v>13</v>
      </c>
      <c r="D151">
        <v>282960</v>
      </c>
      <c r="E151">
        <v>0</v>
      </c>
      <c r="F151">
        <v>0</v>
      </c>
      <c r="G151">
        <v>0.05</v>
      </c>
      <c r="H151" t="s">
        <v>78</v>
      </c>
      <c r="I151" t="str">
        <f t="shared" si="2"/>
        <v>OK</v>
      </c>
    </row>
    <row r="152" spans="1:9" hidden="1" x14ac:dyDescent="0.3">
      <c r="A152" s="1">
        <v>45931</v>
      </c>
      <c r="B152" t="s">
        <v>40</v>
      </c>
      <c r="C152">
        <v>13</v>
      </c>
      <c r="D152">
        <v>190920</v>
      </c>
      <c r="E152">
        <v>120</v>
      </c>
      <c r="F152">
        <v>1E-3</v>
      </c>
      <c r="G152">
        <v>0.05</v>
      </c>
      <c r="H152" t="s">
        <v>78</v>
      </c>
      <c r="I152" t="str">
        <f t="shared" si="2"/>
        <v>OK</v>
      </c>
    </row>
    <row r="153" spans="1:9" hidden="1" x14ac:dyDescent="0.3">
      <c r="A153" s="1">
        <v>45962</v>
      </c>
      <c r="B153" t="s">
        <v>40</v>
      </c>
      <c r="C153">
        <v>13</v>
      </c>
      <c r="D153">
        <v>121920</v>
      </c>
      <c r="E153">
        <v>120</v>
      </c>
      <c r="F153">
        <v>1E-3</v>
      </c>
      <c r="G153">
        <v>0.05</v>
      </c>
      <c r="H153" t="s">
        <v>78</v>
      </c>
      <c r="I153" t="str">
        <f t="shared" si="2"/>
        <v>OK</v>
      </c>
    </row>
    <row r="154" spans="1:9" hidden="1" x14ac:dyDescent="0.3">
      <c r="A154" s="1">
        <v>45992</v>
      </c>
      <c r="B154" t="s">
        <v>40</v>
      </c>
      <c r="C154">
        <v>13</v>
      </c>
      <c r="D154">
        <v>188520</v>
      </c>
      <c r="E154">
        <v>0</v>
      </c>
      <c r="F154">
        <v>0</v>
      </c>
      <c r="G154">
        <v>0.05</v>
      </c>
      <c r="H154" t="s">
        <v>78</v>
      </c>
      <c r="I154" t="str">
        <f t="shared" si="2"/>
        <v>OK</v>
      </c>
    </row>
    <row r="155" spans="1:9" hidden="1" x14ac:dyDescent="0.3">
      <c r="A155" s="1">
        <v>46023</v>
      </c>
      <c r="B155" t="s">
        <v>40</v>
      </c>
      <c r="C155">
        <v>13</v>
      </c>
      <c r="D155">
        <v>174000</v>
      </c>
      <c r="E155">
        <v>0</v>
      </c>
      <c r="F155">
        <v>0</v>
      </c>
      <c r="G155">
        <v>0.05</v>
      </c>
      <c r="H155" t="s">
        <v>78</v>
      </c>
      <c r="I155" t="str">
        <f t="shared" si="2"/>
        <v>OK</v>
      </c>
    </row>
    <row r="156" spans="1:9" hidden="1" x14ac:dyDescent="0.3">
      <c r="A156" s="1">
        <v>46054</v>
      </c>
      <c r="B156" t="s">
        <v>40</v>
      </c>
      <c r="C156">
        <v>13</v>
      </c>
      <c r="D156">
        <v>132240</v>
      </c>
      <c r="E156">
        <v>0</v>
      </c>
      <c r="F156">
        <v>0</v>
      </c>
      <c r="G156">
        <v>0.05</v>
      </c>
      <c r="H156" t="s">
        <v>78</v>
      </c>
      <c r="I156" t="str">
        <f t="shared" si="2"/>
        <v>OK</v>
      </c>
    </row>
    <row r="157" spans="1:9" hidden="1" x14ac:dyDescent="0.3">
      <c r="A157" s="1">
        <v>46082</v>
      </c>
      <c r="B157" t="s">
        <v>40</v>
      </c>
      <c r="C157">
        <v>13</v>
      </c>
      <c r="D157">
        <v>92880</v>
      </c>
      <c r="E157">
        <v>0</v>
      </c>
      <c r="F157">
        <v>0</v>
      </c>
      <c r="G157">
        <v>0.05</v>
      </c>
      <c r="H157" t="s">
        <v>78</v>
      </c>
      <c r="I157" t="str">
        <f t="shared" si="2"/>
        <v>OK</v>
      </c>
    </row>
    <row r="158" spans="1:9" hidden="1" x14ac:dyDescent="0.3">
      <c r="A158" s="1">
        <v>45748</v>
      </c>
      <c r="B158" t="s">
        <v>40</v>
      </c>
      <c r="C158">
        <v>14</v>
      </c>
      <c r="D158">
        <v>72960</v>
      </c>
      <c r="E158">
        <v>120</v>
      </c>
      <c r="F158">
        <v>2E-3</v>
      </c>
      <c r="G158">
        <v>0.05</v>
      </c>
      <c r="H158" t="s">
        <v>78</v>
      </c>
      <c r="I158" t="str">
        <f t="shared" si="2"/>
        <v>OK</v>
      </c>
    </row>
    <row r="159" spans="1:9" hidden="1" x14ac:dyDescent="0.3">
      <c r="A159" s="1">
        <v>45778</v>
      </c>
      <c r="B159" t="s">
        <v>40</v>
      </c>
      <c r="C159">
        <v>14</v>
      </c>
      <c r="D159">
        <v>265800</v>
      </c>
      <c r="E159">
        <v>0</v>
      </c>
      <c r="F159">
        <v>0</v>
      </c>
      <c r="G159">
        <v>0.05</v>
      </c>
      <c r="H159" t="s">
        <v>78</v>
      </c>
      <c r="I159" t="str">
        <f t="shared" si="2"/>
        <v>OK</v>
      </c>
    </row>
    <row r="160" spans="1:9" hidden="1" x14ac:dyDescent="0.3">
      <c r="A160" s="1">
        <v>45809</v>
      </c>
      <c r="B160" t="s">
        <v>40</v>
      </c>
      <c r="C160">
        <v>14</v>
      </c>
      <c r="D160">
        <v>436680</v>
      </c>
      <c r="E160">
        <v>0</v>
      </c>
      <c r="F160">
        <v>0</v>
      </c>
      <c r="G160">
        <v>0.05</v>
      </c>
      <c r="H160" t="s">
        <v>78</v>
      </c>
      <c r="I160" t="str">
        <f t="shared" si="2"/>
        <v>OK</v>
      </c>
    </row>
    <row r="161" spans="1:9" hidden="1" x14ac:dyDescent="0.3">
      <c r="A161" s="1">
        <v>45839</v>
      </c>
      <c r="B161" t="s">
        <v>40</v>
      </c>
      <c r="C161">
        <v>14</v>
      </c>
      <c r="D161">
        <v>543960</v>
      </c>
      <c r="E161">
        <v>0</v>
      </c>
      <c r="F161">
        <v>0</v>
      </c>
      <c r="G161">
        <v>0.05</v>
      </c>
      <c r="H161" t="s">
        <v>78</v>
      </c>
      <c r="I161" t="str">
        <f t="shared" si="2"/>
        <v>OK</v>
      </c>
    </row>
    <row r="162" spans="1:9" hidden="1" x14ac:dyDescent="0.3">
      <c r="A162" s="1">
        <v>45870</v>
      </c>
      <c r="B162" t="s">
        <v>40</v>
      </c>
      <c r="C162">
        <v>14</v>
      </c>
      <c r="D162">
        <v>314760</v>
      </c>
      <c r="E162">
        <v>0</v>
      </c>
      <c r="F162">
        <v>0</v>
      </c>
      <c r="G162">
        <v>0.05</v>
      </c>
      <c r="H162" t="s">
        <v>78</v>
      </c>
      <c r="I162" t="str">
        <f t="shared" si="2"/>
        <v>OK</v>
      </c>
    </row>
    <row r="163" spans="1:9" hidden="1" x14ac:dyDescent="0.3">
      <c r="A163" s="1">
        <v>45901</v>
      </c>
      <c r="B163" t="s">
        <v>40</v>
      </c>
      <c r="C163">
        <v>14</v>
      </c>
      <c r="D163">
        <v>293880</v>
      </c>
      <c r="E163">
        <v>0</v>
      </c>
      <c r="F163">
        <v>0</v>
      </c>
      <c r="G163">
        <v>0.05</v>
      </c>
      <c r="H163" t="s">
        <v>78</v>
      </c>
      <c r="I163" t="str">
        <f t="shared" si="2"/>
        <v>OK</v>
      </c>
    </row>
    <row r="164" spans="1:9" hidden="1" x14ac:dyDescent="0.3">
      <c r="A164" s="1">
        <v>45931</v>
      </c>
      <c r="B164" t="s">
        <v>40</v>
      </c>
      <c r="C164">
        <v>14</v>
      </c>
      <c r="D164">
        <v>160320</v>
      </c>
      <c r="E164">
        <v>120</v>
      </c>
      <c r="F164">
        <v>1E-3</v>
      </c>
      <c r="G164">
        <v>0.05</v>
      </c>
      <c r="H164" t="s">
        <v>78</v>
      </c>
      <c r="I164" t="str">
        <f t="shared" si="2"/>
        <v>OK</v>
      </c>
    </row>
    <row r="165" spans="1:9" hidden="1" x14ac:dyDescent="0.3">
      <c r="A165" s="1">
        <v>45962</v>
      </c>
      <c r="B165" t="s">
        <v>40</v>
      </c>
      <c r="C165">
        <v>14</v>
      </c>
      <c r="D165">
        <v>81600</v>
      </c>
      <c r="E165">
        <v>0</v>
      </c>
      <c r="F165">
        <v>0</v>
      </c>
      <c r="G165">
        <v>0.05</v>
      </c>
      <c r="H165" t="s">
        <v>78</v>
      </c>
      <c r="I165" t="str">
        <f t="shared" si="2"/>
        <v>OK</v>
      </c>
    </row>
    <row r="166" spans="1:9" hidden="1" x14ac:dyDescent="0.3">
      <c r="A166" s="1">
        <v>45992</v>
      </c>
      <c r="B166" t="s">
        <v>40</v>
      </c>
      <c r="C166">
        <v>14</v>
      </c>
      <c r="D166">
        <v>120960</v>
      </c>
      <c r="E166">
        <v>120</v>
      </c>
      <c r="F166">
        <v>1E-3</v>
      </c>
      <c r="G166">
        <v>0.05</v>
      </c>
      <c r="H166" t="s">
        <v>78</v>
      </c>
      <c r="I166" t="str">
        <f t="shared" si="2"/>
        <v>OK</v>
      </c>
    </row>
    <row r="167" spans="1:9" hidden="1" x14ac:dyDescent="0.3">
      <c r="A167" s="1">
        <v>46023</v>
      </c>
      <c r="B167" t="s">
        <v>40</v>
      </c>
      <c r="C167">
        <v>14</v>
      </c>
      <c r="D167">
        <v>130320</v>
      </c>
      <c r="E167">
        <v>0</v>
      </c>
      <c r="F167">
        <v>0</v>
      </c>
      <c r="G167">
        <v>0.05</v>
      </c>
      <c r="H167" t="s">
        <v>78</v>
      </c>
      <c r="I167" t="str">
        <f t="shared" si="2"/>
        <v>OK</v>
      </c>
    </row>
    <row r="168" spans="1:9" hidden="1" x14ac:dyDescent="0.3">
      <c r="A168" s="1">
        <v>46054</v>
      </c>
      <c r="B168" t="s">
        <v>40</v>
      </c>
      <c r="C168">
        <v>14</v>
      </c>
      <c r="D168">
        <v>93240</v>
      </c>
      <c r="E168">
        <v>120</v>
      </c>
      <c r="F168">
        <v>1E-3</v>
      </c>
      <c r="G168">
        <v>0.05</v>
      </c>
      <c r="H168" t="s">
        <v>78</v>
      </c>
      <c r="I168" t="str">
        <f t="shared" si="2"/>
        <v>OK</v>
      </c>
    </row>
    <row r="169" spans="1:9" hidden="1" x14ac:dyDescent="0.3">
      <c r="A169" s="1">
        <v>46082</v>
      </c>
      <c r="B169" t="s">
        <v>40</v>
      </c>
      <c r="C169">
        <v>14</v>
      </c>
      <c r="D169">
        <v>78120</v>
      </c>
      <c r="E169">
        <v>0</v>
      </c>
      <c r="F169">
        <v>0</v>
      </c>
      <c r="G169">
        <v>0.05</v>
      </c>
      <c r="H169" t="s">
        <v>78</v>
      </c>
      <c r="I169" t="str">
        <f t="shared" si="2"/>
        <v>OK</v>
      </c>
    </row>
    <row r="170" spans="1:9" hidden="1" x14ac:dyDescent="0.3">
      <c r="A170" s="1">
        <v>45748</v>
      </c>
      <c r="B170" t="s">
        <v>40</v>
      </c>
      <c r="C170">
        <v>15</v>
      </c>
      <c r="D170">
        <v>65022</v>
      </c>
      <c r="E170">
        <v>27</v>
      </c>
      <c r="F170">
        <v>0</v>
      </c>
      <c r="G170">
        <v>0.05</v>
      </c>
      <c r="H170" t="s">
        <v>78</v>
      </c>
      <c r="I170" t="str">
        <f t="shared" si="2"/>
        <v>OK</v>
      </c>
    </row>
    <row r="171" spans="1:9" hidden="1" x14ac:dyDescent="0.3">
      <c r="A171" s="1">
        <v>45778</v>
      </c>
      <c r="B171" t="s">
        <v>40</v>
      </c>
      <c r="C171">
        <v>15</v>
      </c>
      <c r="D171">
        <v>413562</v>
      </c>
      <c r="E171">
        <v>8</v>
      </c>
      <c r="F171">
        <v>0</v>
      </c>
      <c r="G171">
        <v>0.05</v>
      </c>
      <c r="H171" t="s">
        <v>78</v>
      </c>
      <c r="I171" t="str">
        <f t="shared" si="2"/>
        <v>OK</v>
      </c>
    </row>
    <row r="172" spans="1:9" hidden="1" x14ac:dyDescent="0.3">
      <c r="A172" s="1">
        <v>45809</v>
      </c>
      <c r="B172" t="s">
        <v>40</v>
      </c>
      <c r="C172">
        <v>15</v>
      </c>
      <c r="D172">
        <v>698968</v>
      </c>
      <c r="E172">
        <v>60</v>
      </c>
      <c r="F172">
        <v>0</v>
      </c>
      <c r="G172">
        <v>0.05</v>
      </c>
      <c r="H172" t="s">
        <v>78</v>
      </c>
      <c r="I172" t="str">
        <f t="shared" si="2"/>
        <v>OK</v>
      </c>
    </row>
    <row r="173" spans="1:9" hidden="1" x14ac:dyDescent="0.3">
      <c r="A173" s="1">
        <v>45839</v>
      </c>
      <c r="B173" t="s">
        <v>40</v>
      </c>
      <c r="C173">
        <v>15</v>
      </c>
      <c r="D173">
        <v>774886</v>
      </c>
      <c r="E173">
        <v>17</v>
      </c>
      <c r="F173">
        <v>0</v>
      </c>
      <c r="G173">
        <v>0.05</v>
      </c>
      <c r="H173" t="s">
        <v>78</v>
      </c>
      <c r="I173" t="str">
        <f t="shared" si="2"/>
        <v>OK</v>
      </c>
    </row>
    <row r="174" spans="1:9" hidden="1" x14ac:dyDescent="0.3">
      <c r="A174" s="1">
        <v>45870</v>
      </c>
      <c r="B174" t="s">
        <v>40</v>
      </c>
      <c r="C174">
        <v>15</v>
      </c>
      <c r="D174">
        <v>553290</v>
      </c>
      <c r="E174">
        <v>60</v>
      </c>
      <c r="F174">
        <v>0</v>
      </c>
      <c r="G174">
        <v>0.05</v>
      </c>
      <c r="H174" t="s">
        <v>78</v>
      </c>
      <c r="I174" t="str">
        <f t="shared" si="2"/>
        <v>OK</v>
      </c>
    </row>
    <row r="175" spans="1:9" hidden="1" x14ac:dyDescent="0.3">
      <c r="A175" s="1">
        <v>45901</v>
      </c>
      <c r="B175" t="s">
        <v>40</v>
      </c>
      <c r="C175">
        <v>15</v>
      </c>
      <c r="D175">
        <v>535034</v>
      </c>
      <c r="E175">
        <v>1178</v>
      </c>
      <c r="F175">
        <v>2E-3</v>
      </c>
      <c r="G175">
        <v>0.05</v>
      </c>
      <c r="H175" t="s">
        <v>78</v>
      </c>
      <c r="I175" t="str">
        <f t="shared" si="2"/>
        <v>OK</v>
      </c>
    </row>
    <row r="176" spans="1:9" hidden="1" x14ac:dyDescent="0.3">
      <c r="A176" s="1">
        <v>45931</v>
      </c>
      <c r="B176" t="s">
        <v>40</v>
      </c>
      <c r="C176">
        <v>15</v>
      </c>
      <c r="D176">
        <v>180214</v>
      </c>
      <c r="E176">
        <v>0</v>
      </c>
      <c r="F176">
        <v>0</v>
      </c>
      <c r="G176">
        <v>0.05</v>
      </c>
      <c r="H176" t="s">
        <v>78</v>
      </c>
      <c r="I176" t="str">
        <f t="shared" si="2"/>
        <v>OK</v>
      </c>
    </row>
    <row r="177" spans="1:9" hidden="1" x14ac:dyDescent="0.3">
      <c r="A177" s="1">
        <v>45962</v>
      </c>
      <c r="B177" t="s">
        <v>40</v>
      </c>
      <c r="C177">
        <v>15</v>
      </c>
      <c r="D177">
        <v>62608</v>
      </c>
      <c r="E177">
        <v>0</v>
      </c>
      <c r="F177">
        <v>0</v>
      </c>
      <c r="G177">
        <v>0.05</v>
      </c>
      <c r="H177" t="s">
        <v>78</v>
      </c>
      <c r="I177" t="str">
        <f t="shared" si="2"/>
        <v>OK</v>
      </c>
    </row>
    <row r="178" spans="1:9" hidden="1" x14ac:dyDescent="0.3">
      <c r="A178" s="1">
        <v>45992</v>
      </c>
      <c r="B178" t="s">
        <v>40</v>
      </c>
      <c r="C178">
        <v>15</v>
      </c>
      <c r="D178">
        <v>44072</v>
      </c>
      <c r="E178">
        <v>0</v>
      </c>
      <c r="F178">
        <v>0</v>
      </c>
      <c r="G178">
        <v>0.05</v>
      </c>
      <c r="H178" t="s">
        <v>78</v>
      </c>
      <c r="I178" t="str">
        <f t="shared" si="2"/>
        <v>OK</v>
      </c>
    </row>
    <row r="179" spans="1:9" hidden="1" x14ac:dyDescent="0.3">
      <c r="A179" s="1">
        <v>46023</v>
      </c>
      <c r="B179" t="s">
        <v>40</v>
      </c>
      <c r="C179">
        <v>15</v>
      </c>
      <c r="D179">
        <v>51382</v>
      </c>
      <c r="E179">
        <v>2</v>
      </c>
      <c r="F179">
        <v>0</v>
      </c>
      <c r="G179">
        <v>0.05</v>
      </c>
      <c r="H179" t="s">
        <v>78</v>
      </c>
      <c r="I179" t="str">
        <f t="shared" si="2"/>
        <v>OK</v>
      </c>
    </row>
    <row r="180" spans="1:9" hidden="1" x14ac:dyDescent="0.3">
      <c r="A180" s="1">
        <v>46054</v>
      </c>
      <c r="B180" t="s">
        <v>40</v>
      </c>
      <c r="C180">
        <v>15</v>
      </c>
      <c r="D180">
        <v>44156</v>
      </c>
      <c r="E180">
        <v>115</v>
      </c>
      <c r="F180">
        <v>3.0000000000000001E-3</v>
      </c>
      <c r="G180">
        <v>0.05</v>
      </c>
      <c r="H180" t="s">
        <v>78</v>
      </c>
      <c r="I180" t="str">
        <f t="shared" si="2"/>
        <v>OK</v>
      </c>
    </row>
    <row r="181" spans="1:9" hidden="1" x14ac:dyDescent="0.3">
      <c r="A181" s="1">
        <v>46082</v>
      </c>
      <c r="B181" t="s">
        <v>40</v>
      </c>
      <c r="C181">
        <v>15</v>
      </c>
      <c r="D181">
        <v>35926</v>
      </c>
      <c r="E181">
        <v>1</v>
      </c>
      <c r="F181">
        <v>0</v>
      </c>
      <c r="G181">
        <v>0.05</v>
      </c>
      <c r="H181" t="s">
        <v>78</v>
      </c>
      <c r="I181" t="str">
        <f t="shared" si="2"/>
        <v>OK</v>
      </c>
    </row>
    <row r="182" spans="1:9" x14ac:dyDescent="0.3">
      <c r="A182" s="1">
        <v>45748</v>
      </c>
      <c r="B182" t="s">
        <v>40</v>
      </c>
      <c r="C182">
        <v>16</v>
      </c>
      <c r="D182">
        <v>71310</v>
      </c>
      <c r="E182">
        <v>7128</v>
      </c>
      <c r="F182">
        <v>0.1</v>
      </c>
      <c r="G182">
        <v>0.05</v>
      </c>
      <c r="H182" t="s">
        <v>79</v>
      </c>
      <c r="I182" t="str">
        <f t="shared" si="2"/>
        <v>Review</v>
      </c>
    </row>
    <row r="183" spans="1:9" hidden="1" x14ac:dyDescent="0.3">
      <c r="A183" s="1">
        <v>45778</v>
      </c>
      <c r="B183" t="s">
        <v>40</v>
      </c>
      <c r="C183">
        <v>16</v>
      </c>
      <c r="D183">
        <v>426274</v>
      </c>
      <c r="E183">
        <v>5595</v>
      </c>
      <c r="F183">
        <v>1.2999999999999999E-2</v>
      </c>
      <c r="G183">
        <v>0.05</v>
      </c>
      <c r="H183" t="s">
        <v>78</v>
      </c>
      <c r="I183" t="str">
        <f t="shared" si="2"/>
        <v>OK</v>
      </c>
    </row>
    <row r="184" spans="1:9" hidden="1" x14ac:dyDescent="0.3">
      <c r="A184" s="1">
        <v>45809</v>
      </c>
      <c r="B184" t="s">
        <v>40</v>
      </c>
      <c r="C184">
        <v>16</v>
      </c>
      <c r="D184">
        <v>725368</v>
      </c>
      <c r="E184">
        <v>1145</v>
      </c>
      <c r="F184">
        <v>2E-3</v>
      </c>
      <c r="G184">
        <v>0.05</v>
      </c>
      <c r="H184" t="s">
        <v>78</v>
      </c>
      <c r="I184" t="str">
        <f t="shared" si="2"/>
        <v>OK</v>
      </c>
    </row>
    <row r="185" spans="1:9" hidden="1" x14ac:dyDescent="0.3">
      <c r="A185" s="1">
        <v>45839</v>
      </c>
      <c r="B185" t="s">
        <v>40</v>
      </c>
      <c r="C185">
        <v>16</v>
      </c>
      <c r="D185">
        <v>806478</v>
      </c>
      <c r="E185">
        <v>22</v>
      </c>
      <c r="F185">
        <v>0</v>
      </c>
      <c r="G185">
        <v>0.05</v>
      </c>
      <c r="H185" t="s">
        <v>78</v>
      </c>
      <c r="I185" t="str">
        <f t="shared" si="2"/>
        <v>OK</v>
      </c>
    </row>
    <row r="186" spans="1:9" hidden="1" x14ac:dyDescent="0.3">
      <c r="A186" s="1">
        <v>45870</v>
      </c>
      <c r="B186" t="s">
        <v>40</v>
      </c>
      <c r="C186">
        <v>16</v>
      </c>
      <c r="D186">
        <v>581134</v>
      </c>
      <c r="E186">
        <v>1202</v>
      </c>
      <c r="F186">
        <v>2E-3</v>
      </c>
      <c r="G186">
        <v>0.05</v>
      </c>
      <c r="H186" t="s">
        <v>78</v>
      </c>
      <c r="I186" t="str">
        <f t="shared" si="2"/>
        <v>OK</v>
      </c>
    </row>
    <row r="187" spans="1:9" hidden="1" x14ac:dyDescent="0.3">
      <c r="A187" s="1">
        <v>45901</v>
      </c>
      <c r="B187" t="s">
        <v>40</v>
      </c>
      <c r="C187">
        <v>16</v>
      </c>
      <c r="D187">
        <v>567424</v>
      </c>
      <c r="E187">
        <v>3815</v>
      </c>
      <c r="F187">
        <v>7.0000000000000001E-3</v>
      </c>
      <c r="G187">
        <v>0.05</v>
      </c>
      <c r="H187" t="s">
        <v>78</v>
      </c>
      <c r="I187" t="str">
        <f t="shared" si="2"/>
        <v>OK</v>
      </c>
    </row>
    <row r="188" spans="1:9" hidden="1" x14ac:dyDescent="0.3">
      <c r="A188" s="1">
        <v>45931</v>
      </c>
      <c r="B188" t="s">
        <v>40</v>
      </c>
      <c r="C188">
        <v>16</v>
      </c>
      <c r="D188">
        <v>190720</v>
      </c>
      <c r="E188">
        <v>2541</v>
      </c>
      <c r="F188">
        <v>1.2999999999999999E-2</v>
      </c>
      <c r="G188">
        <v>0.05</v>
      </c>
      <c r="H188" t="s">
        <v>78</v>
      </c>
      <c r="I188" t="str">
        <f t="shared" si="2"/>
        <v>OK</v>
      </c>
    </row>
    <row r="189" spans="1:9" x14ac:dyDescent="0.3">
      <c r="A189" s="1">
        <v>45962</v>
      </c>
      <c r="B189" t="s">
        <v>40</v>
      </c>
      <c r="C189">
        <v>16</v>
      </c>
      <c r="D189">
        <v>65346</v>
      </c>
      <c r="E189">
        <v>4688</v>
      </c>
      <c r="F189">
        <v>7.1999999999999995E-2</v>
      </c>
      <c r="G189">
        <v>0.05</v>
      </c>
      <c r="H189" t="s">
        <v>79</v>
      </c>
      <c r="I189" t="str">
        <f t="shared" si="2"/>
        <v>Review</v>
      </c>
    </row>
    <row r="190" spans="1:9" hidden="1" x14ac:dyDescent="0.3">
      <c r="A190" s="1">
        <v>45992</v>
      </c>
      <c r="B190" t="s">
        <v>40</v>
      </c>
      <c r="C190">
        <v>16</v>
      </c>
      <c r="D190">
        <v>51492</v>
      </c>
      <c r="E190">
        <v>2076</v>
      </c>
      <c r="F190">
        <v>0.04</v>
      </c>
      <c r="G190">
        <v>0.05</v>
      </c>
      <c r="H190" t="s">
        <v>78</v>
      </c>
      <c r="I190" t="str">
        <f t="shared" si="2"/>
        <v>OK</v>
      </c>
    </row>
    <row r="191" spans="1:9" x14ac:dyDescent="0.3">
      <c r="A191" s="1">
        <v>46023</v>
      </c>
      <c r="B191" t="s">
        <v>40</v>
      </c>
      <c r="C191">
        <v>16</v>
      </c>
      <c r="D191">
        <v>52996</v>
      </c>
      <c r="E191">
        <v>8888</v>
      </c>
      <c r="F191">
        <v>0.16800000000000001</v>
      </c>
      <c r="G191">
        <v>0.05</v>
      </c>
      <c r="H191" t="s">
        <v>79</v>
      </c>
      <c r="I191" t="str">
        <f t="shared" si="2"/>
        <v>Review</v>
      </c>
    </row>
    <row r="192" spans="1:9" x14ac:dyDescent="0.3">
      <c r="A192" s="1">
        <v>46054</v>
      </c>
      <c r="B192" t="s">
        <v>40</v>
      </c>
      <c r="C192">
        <v>16</v>
      </c>
      <c r="D192">
        <v>46190</v>
      </c>
      <c r="E192">
        <v>8345</v>
      </c>
      <c r="F192">
        <v>0.18099999999999999</v>
      </c>
      <c r="G192">
        <v>0.05</v>
      </c>
      <c r="H192" t="s">
        <v>79</v>
      </c>
      <c r="I192" t="str">
        <f t="shared" si="2"/>
        <v>Review</v>
      </c>
    </row>
    <row r="193" spans="1:9" x14ac:dyDescent="0.3">
      <c r="A193" s="1">
        <v>46082</v>
      </c>
      <c r="B193" t="s">
        <v>40</v>
      </c>
      <c r="C193">
        <v>16</v>
      </c>
      <c r="D193">
        <v>34570</v>
      </c>
      <c r="E193">
        <v>6189</v>
      </c>
      <c r="F193">
        <v>0.17899999999999999</v>
      </c>
      <c r="G193">
        <v>0.05</v>
      </c>
      <c r="H193" t="s">
        <v>79</v>
      </c>
      <c r="I193" t="str">
        <f t="shared" si="2"/>
        <v>Review</v>
      </c>
    </row>
    <row r="194" spans="1:9" hidden="1" x14ac:dyDescent="0.3">
      <c r="A194" s="1">
        <v>45748</v>
      </c>
      <c r="B194" t="s">
        <v>40</v>
      </c>
      <c r="C194">
        <v>17</v>
      </c>
      <c r="D194">
        <v>64986</v>
      </c>
      <c r="E194">
        <v>1920</v>
      </c>
      <c r="F194">
        <v>0.03</v>
      </c>
      <c r="G194">
        <v>0.05</v>
      </c>
      <c r="H194" t="s">
        <v>78</v>
      </c>
      <c r="I194" t="str">
        <f t="shared" ref="I194:I257" si="3">IF(ABS(F194)&gt;G194,"Review","OK")</f>
        <v>OK</v>
      </c>
    </row>
    <row r="195" spans="1:9" hidden="1" x14ac:dyDescent="0.3">
      <c r="A195" s="1">
        <v>45778</v>
      </c>
      <c r="B195" t="s">
        <v>40</v>
      </c>
      <c r="C195">
        <v>17</v>
      </c>
      <c r="D195">
        <v>420252</v>
      </c>
      <c r="E195">
        <v>834</v>
      </c>
      <c r="F195">
        <v>2E-3</v>
      </c>
      <c r="G195">
        <v>0.05</v>
      </c>
      <c r="H195" t="s">
        <v>78</v>
      </c>
      <c r="I195" t="str">
        <f t="shared" si="3"/>
        <v>OK</v>
      </c>
    </row>
    <row r="196" spans="1:9" hidden="1" x14ac:dyDescent="0.3">
      <c r="A196" s="1">
        <v>45809</v>
      </c>
      <c r="B196" t="s">
        <v>40</v>
      </c>
      <c r="C196">
        <v>17</v>
      </c>
      <c r="D196">
        <v>711634</v>
      </c>
      <c r="E196">
        <v>58</v>
      </c>
      <c r="F196">
        <v>0</v>
      </c>
      <c r="G196">
        <v>0.05</v>
      </c>
      <c r="H196" t="s">
        <v>78</v>
      </c>
      <c r="I196" t="str">
        <f t="shared" si="3"/>
        <v>OK</v>
      </c>
    </row>
    <row r="197" spans="1:9" hidden="1" x14ac:dyDescent="0.3">
      <c r="A197" s="1">
        <v>45839</v>
      </c>
      <c r="B197" t="s">
        <v>40</v>
      </c>
      <c r="C197">
        <v>17</v>
      </c>
      <c r="D197">
        <v>815826</v>
      </c>
      <c r="E197">
        <v>48</v>
      </c>
      <c r="F197">
        <v>0</v>
      </c>
      <c r="G197">
        <v>0.05</v>
      </c>
      <c r="H197" t="s">
        <v>78</v>
      </c>
      <c r="I197" t="str">
        <f t="shared" si="3"/>
        <v>OK</v>
      </c>
    </row>
    <row r="198" spans="1:9" hidden="1" x14ac:dyDescent="0.3">
      <c r="A198" s="1">
        <v>45870</v>
      </c>
      <c r="B198" t="s">
        <v>40</v>
      </c>
      <c r="C198">
        <v>17</v>
      </c>
      <c r="D198">
        <v>568096</v>
      </c>
      <c r="E198">
        <v>230</v>
      </c>
      <c r="F198">
        <v>0</v>
      </c>
      <c r="G198">
        <v>0.05</v>
      </c>
      <c r="H198" t="s">
        <v>78</v>
      </c>
      <c r="I198" t="str">
        <f t="shared" si="3"/>
        <v>OK</v>
      </c>
    </row>
    <row r="199" spans="1:9" hidden="1" x14ac:dyDescent="0.3">
      <c r="A199" s="1">
        <v>45901</v>
      </c>
      <c r="B199" t="s">
        <v>40</v>
      </c>
      <c r="C199">
        <v>17</v>
      </c>
      <c r="D199">
        <v>517522</v>
      </c>
      <c r="E199">
        <v>242</v>
      </c>
      <c r="F199">
        <v>0</v>
      </c>
      <c r="G199">
        <v>0.05</v>
      </c>
      <c r="H199" t="s">
        <v>78</v>
      </c>
      <c r="I199" t="str">
        <f t="shared" si="3"/>
        <v>OK</v>
      </c>
    </row>
    <row r="200" spans="1:9" hidden="1" x14ac:dyDescent="0.3">
      <c r="A200" s="1">
        <v>45931</v>
      </c>
      <c r="B200" t="s">
        <v>40</v>
      </c>
      <c r="C200">
        <v>17</v>
      </c>
      <c r="D200">
        <v>182192</v>
      </c>
      <c r="E200">
        <v>1526</v>
      </c>
      <c r="F200">
        <v>8.0000000000000002E-3</v>
      </c>
      <c r="G200">
        <v>0.05</v>
      </c>
      <c r="H200" t="s">
        <v>78</v>
      </c>
      <c r="I200" t="str">
        <f t="shared" si="3"/>
        <v>OK</v>
      </c>
    </row>
    <row r="201" spans="1:9" hidden="1" x14ac:dyDescent="0.3">
      <c r="A201" s="1">
        <v>45962</v>
      </c>
      <c r="B201" t="s">
        <v>40</v>
      </c>
      <c r="C201">
        <v>17</v>
      </c>
      <c r="D201">
        <v>70412</v>
      </c>
      <c r="E201">
        <v>2158</v>
      </c>
      <c r="F201">
        <v>3.1E-2</v>
      </c>
      <c r="G201">
        <v>0.05</v>
      </c>
      <c r="H201" t="s">
        <v>78</v>
      </c>
      <c r="I201" t="str">
        <f t="shared" si="3"/>
        <v>OK</v>
      </c>
    </row>
    <row r="202" spans="1:9" hidden="1" x14ac:dyDescent="0.3">
      <c r="A202" s="1">
        <v>45992</v>
      </c>
      <c r="B202" t="s">
        <v>40</v>
      </c>
      <c r="C202">
        <v>17</v>
      </c>
      <c r="D202">
        <v>51260</v>
      </c>
      <c r="E202">
        <v>2064</v>
      </c>
      <c r="F202">
        <v>0.04</v>
      </c>
      <c r="G202">
        <v>0.05</v>
      </c>
      <c r="H202" t="s">
        <v>78</v>
      </c>
      <c r="I202" t="str">
        <f t="shared" si="3"/>
        <v>OK</v>
      </c>
    </row>
    <row r="203" spans="1:9" hidden="1" x14ac:dyDescent="0.3">
      <c r="A203" s="1">
        <v>46023</v>
      </c>
      <c r="B203" t="s">
        <v>40</v>
      </c>
      <c r="C203">
        <v>17</v>
      </c>
      <c r="D203">
        <v>66704</v>
      </c>
      <c r="E203">
        <v>1524</v>
      </c>
      <c r="F203">
        <v>2.3E-2</v>
      </c>
      <c r="G203">
        <v>0.05</v>
      </c>
      <c r="H203" t="s">
        <v>78</v>
      </c>
      <c r="I203" t="str">
        <f t="shared" si="3"/>
        <v>OK</v>
      </c>
    </row>
    <row r="204" spans="1:9" hidden="1" x14ac:dyDescent="0.3">
      <c r="A204" s="1">
        <v>46054</v>
      </c>
      <c r="B204" t="s">
        <v>40</v>
      </c>
      <c r="C204">
        <v>17</v>
      </c>
      <c r="D204">
        <v>49396</v>
      </c>
      <c r="E204">
        <v>1400</v>
      </c>
      <c r="F204">
        <v>2.8000000000000001E-2</v>
      </c>
      <c r="G204">
        <v>0.05</v>
      </c>
      <c r="H204" t="s">
        <v>78</v>
      </c>
      <c r="I204" t="str">
        <f t="shared" si="3"/>
        <v>OK</v>
      </c>
    </row>
    <row r="205" spans="1:9" x14ac:dyDescent="0.3">
      <c r="A205" s="1">
        <v>46082</v>
      </c>
      <c r="B205" t="s">
        <v>40</v>
      </c>
      <c r="C205">
        <v>17</v>
      </c>
      <c r="D205">
        <v>38300</v>
      </c>
      <c r="E205">
        <v>1952</v>
      </c>
      <c r="F205">
        <v>5.0999999999999997E-2</v>
      </c>
      <c r="G205">
        <v>0.05</v>
      </c>
      <c r="H205" t="s">
        <v>79</v>
      </c>
      <c r="I205" t="str">
        <f t="shared" si="3"/>
        <v>Review</v>
      </c>
    </row>
    <row r="206" spans="1:9" hidden="1" x14ac:dyDescent="0.3">
      <c r="A206" s="1">
        <v>45748</v>
      </c>
      <c r="B206" t="s">
        <v>40</v>
      </c>
      <c r="C206">
        <v>18</v>
      </c>
      <c r="D206">
        <v>70940</v>
      </c>
      <c r="E206">
        <v>623</v>
      </c>
      <c r="F206">
        <v>8.9999999999999993E-3</v>
      </c>
      <c r="G206">
        <v>0.05</v>
      </c>
      <c r="H206" t="s">
        <v>78</v>
      </c>
      <c r="I206" t="str">
        <f t="shared" si="3"/>
        <v>OK</v>
      </c>
    </row>
    <row r="207" spans="1:9" hidden="1" x14ac:dyDescent="0.3">
      <c r="A207" s="1">
        <v>45778</v>
      </c>
      <c r="B207" t="s">
        <v>40</v>
      </c>
      <c r="C207">
        <v>18</v>
      </c>
      <c r="D207">
        <v>150951</v>
      </c>
      <c r="E207">
        <v>1265</v>
      </c>
      <c r="F207">
        <v>8.0000000000000002E-3</v>
      </c>
      <c r="G207">
        <v>0.05</v>
      </c>
      <c r="H207" t="s">
        <v>78</v>
      </c>
      <c r="I207" t="str">
        <f t="shared" si="3"/>
        <v>OK</v>
      </c>
    </row>
    <row r="208" spans="1:9" hidden="1" x14ac:dyDescent="0.3">
      <c r="A208" s="1">
        <v>45809</v>
      </c>
      <c r="B208" t="s">
        <v>40</v>
      </c>
      <c r="C208">
        <v>18</v>
      </c>
      <c r="D208">
        <v>300171</v>
      </c>
      <c r="E208">
        <v>851</v>
      </c>
      <c r="F208">
        <v>3.0000000000000001E-3</v>
      </c>
      <c r="G208">
        <v>0.05</v>
      </c>
      <c r="H208" t="s">
        <v>78</v>
      </c>
      <c r="I208" t="str">
        <f t="shared" si="3"/>
        <v>OK</v>
      </c>
    </row>
    <row r="209" spans="1:9" hidden="1" x14ac:dyDescent="0.3">
      <c r="A209" s="1">
        <v>45839</v>
      </c>
      <c r="B209" t="s">
        <v>40</v>
      </c>
      <c r="C209">
        <v>18</v>
      </c>
      <c r="D209">
        <v>430253</v>
      </c>
      <c r="E209">
        <v>1720</v>
      </c>
      <c r="F209">
        <v>4.0000000000000001E-3</v>
      </c>
      <c r="G209">
        <v>0.05</v>
      </c>
      <c r="H209" t="s">
        <v>78</v>
      </c>
      <c r="I209" t="str">
        <f t="shared" si="3"/>
        <v>OK</v>
      </c>
    </row>
    <row r="210" spans="1:9" hidden="1" x14ac:dyDescent="0.3">
      <c r="A210" s="1">
        <v>45870</v>
      </c>
      <c r="B210" t="s">
        <v>40</v>
      </c>
      <c r="C210">
        <v>18</v>
      </c>
      <c r="D210">
        <v>398629</v>
      </c>
      <c r="E210">
        <v>1506</v>
      </c>
      <c r="F210">
        <v>4.0000000000000001E-3</v>
      </c>
      <c r="G210">
        <v>0.05</v>
      </c>
      <c r="H210" t="s">
        <v>78</v>
      </c>
      <c r="I210" t="str">
        <f t="shared" si="3"/>
        <v>OK</v>
      </c>
    </row>
    <row r="211" spans="1:9" hidden="1" x14ac:dyDescent="0.3">
      <c r="A211" s="1">
        <v>45901</v>
      </c>
      <c r="B211" t="s">
        <v>40</v>
      </c>
      <c r="C211">
        <v>18</v>
      </c>
      <c r="D211">
        <v>243049</v>
      </c>
      <c r="E211">
        <v>1482</v>
      </c>
      <c r="F211">
        <v>6.0000000000000001E-3</v>
      </c>
      <c r="G211">
        <v>0.05</v>
      </c>
      <c r="H211" t="s">
        <v>78</v>
      </c>
      <c r="I211" t="str">
        <f t="shared" si="3"/>
        <v>OK</v>
      </c>
    </row>
    <row r="212" spans="1:9" hidden="1" x14ac:dyDescent="0.3">
      <c r="A212" s="1">
        <v>45931</v>
      </c>
      <c r="B212" t="s">
        <v>40</v>
      </c>
      <c r="C212">
        <v>18</v>
      </c>
      <c r="D212">
        <v>131227</v>
      </c>
      <c r="E212">
        <v>626</v>
      </c>
      <c r="F212">
        <v>5.0000000000000001E-3</v>
      </c>
      <c r="G212">
        <v>0.05</v>
      </c>
      <c r="H212" t="s">
        <v>78</v>
      </c>
      <c r="I212" t="str">
        <f t="shared" si="3"/>
        <v>OK</v>
      </c>
    </row>
    <row r="213" spans="1:9" hidden="1" x14ac:dyDescent="0.3">
      <c r="A213" s="1">
        <v>45962</v>
      </c>
      <c r="B213" t="s">
        <v>40</v>
      </c>
      <c r="C213">
        <v>18</v>
      </c>
      <c r="D213">
        <v>115746</v>
      </c>
      <c r="E213">
        <v>401</v>
      </c>
      <c r="F213">
        <v>3.0000000000000001E-3</v>
      </c>
      <c r="G213">
        <v>0.05</v>
      </c>
      <c r="H213" t="s">
        <v>78</v>
      </c>
      <c r="I213" t="str">
        <f t="shared" si="3"/>
        <v>OK</v>
      </c>
    </row>
    <row r="214" spans="1:9" hidden="1" x14ac:dyDescent="0.3">
      <c r="A214" s="1">
        <v>45992</v>
      </c>
      <c r="B214" t="s">
        <v>40</v>
      </c>
      <c r="C214">
        <v>18</v>
      </c>
      <c r="D214">
        <v>191232</v>
      </c>
      <c r="E214">
        <v>365</v>
      </c>
      <c r="F214">
        <v>2E-3</v>
      </c>
      <c r="G214">
        <v>0.05</v>
      </c>
      <c r="H214" t="s">
        <v>78</v>
      </c>
      <c r="I214" t="str">
        <f t="shared" si="3"/>
        <v>OK</v>
      </c>
    </row>
    <row r="215" spans="1:9" hidden="1" x14ac:dyDescent="0.3">
      <c r="A215" s="1">
        <v>46023</v>
      </c>
      <c r="B215" t="s">
        <v>40</v>
      </c>
      <c r="C215">
        <v>18</v>
      </c>
      <c r="D215">
        <v>61840</v>
      </c>
      <c r="E215">
        <v>517</v>
      </c>
      <c r="F215">
        <v>8.0000000000000002E-3</v>
      </c>
      <c r="G215">
        <v>0.05</v>
      </c>
      <c r="H215" t="s">
        <v>78</v>
      </c>
      <c r="I215" t="str">
        <f t="shared" si="3"/>
        <v>OK</v>
      </c>
    </row>
    <row r="216" spans="1:9" hidden="1" x14ac:dyDescent="0.3">
      <c r="A216" s="1">
        <v>46054</v>
      </c>
      <c r="B216" t="s">
        <v>40</v>
      </c>
      <c r="C216">
        <v>18</v>
      </c>
      <c r="D216">
        <v>42031</v>
      </c>
      <c r="E216">
        <v>616</v>
      </c>
      <c r="F216">
        <v>1.4999999999999999E-2</v>
      </c>
      <c r="G216">
        <v>0.05</v>
      </c>
      <c r="H216" t="s">
        <v>78</v>
      </c>
      <c r="I216" t="str">
        <f t="shared" si="3"/>
        <v>OK</v>
      </c>
    </row>
    <row r="217" spans="1:9" hidden="1" x14ac:dyDescent="0.3">
      <c r="A217" s="1">
        <v>46082</v>
      </c>
      <c r="B217" t="s">
        <v>40</v>
      </c>
      <c r="C217">
        <v>18</v>
      </c>
      <c r="D217">
        <v>58870</v>
      </c>
      <c r="E217">
        <v>540</v>
      </c>
      <c r="F217">
        <v>8.9999999999999993E-3</v>
      </c>
      <c r="G217">
        <v>0.05</v>
      </c>
      <c r="H217" t="s">
        <v>78</v>
      </c>
      <c r="I217" t="str">
        <f t="shared" si="3"/>
        <v>OK</v>
      </c>
    </row>
    <row r="218" spans="1:9" hidden="1" x14ac:dyDescent="0.3">
      <c r="A218" s="1">
        <v>45748</v>
      </c>
      <c r="B218" t="s">
        <v>40</v>
      </c>
      <c r="C218">
        <v>19</v>
      </c>
      <c r="D218">
        <v>150910</v>
      </c>
      <c r="E218">
        <v>315</v>
      </c>
      <c r="F218">
        <v>2E-3</v>
      </c>
      <c r="G218">
        <v>0.05</v>
      </c>
      <c r="H218" t="s">
        <v>78</v>
      </c>
      <c r="I218" t="str">
        <f t="shared" si="3"/>
        <v>OK</v>
      </c>
    </row>
    <row r="219" spans="1:9" hidden="1" x14ac:dyDescent="0.3">
      <c r="A219" s="1">
        <v>45778</v>
      </c>
      <c r="B219" t="s">
        <v>40</v>
      </c>
      <c r="C219">
        <v>19</v>
      </c>
      <c r="D219">
        <v>297003</v>
      </c>
      <c r="E219">
        <v>1517</v>
      </c>
      <c r="F219">
        <v>5.0000000000000001E-3</v>
      </c>
      <c r="G219">
        <v>0.05</v>
      </c>
      <c r="H219" t="s">
        <v>78</v>
      </c>
      <c r="I219" t="str">
        <f t="shared" si="3"/>
        <v>OK</v>
      </c>
    </row>
    <row r="220" spans="1:9" hidden="1" x14ac:dyDescent="0.3">
      <c r="A220" s="1">
        <v>45809</v>
      </c>
      <c r="B220" t="s">
        <v>40</v>
      </c>
      <c r="C220">
        <v>19</v>
      </c>
      <c r="D220">
        <v>912130</v>
      </c>
      <c r="E220">
        <v>2315</v>
      </c>
      <c r="F220">
        <v>3.0000000000000001E-3</v>
      </c>
      <c r="G220">
        <v>0.05</v>
      </c>
      <c r="H220" t="s">
        <v>78</v>
      </c>
      <c r="I220" t="str">
        <f t="shared" si="3"/>
        <v>OK</v>
      </c>
    </row>
    <row r="221" spans="1:9" hidden="1" x14ac:dyDescent="0.3">
      <c r="A221" s="1">
        <v>45839</v>
      </c>
      <c r="B221" t="s">
        <v>40</v>
      </c>
      <c r="C221">
        <v>19</v>
      </c>
      <c r="D221">
        <v>1162156</v>
      </c>
      <c r="E221">
        <v>4098</v>
      </c>
      <c r="F221">
        <v>4.0000000000000001E-3</v>
      </c>
      <c r="G221">
        <v>0.05</v>
      </c>
      <c r="H221" t="s">
        <v>78</v>
      </c>
      <c r="I221" t="str">
        <f t="shared" si="3"/>
        <v>OK</v>
      </c>
    </row>
    <row r="222" spans="1:9" hidden="1" x14ac:dyDescent="0.3">
      <c r="A222" s="1">
        <v>45870</v>
      </c>
      <c r="B222" t="s">
        <v>40</v>
      </c>
      <c r="C222">
        <v>19</v>
      </c>
      <c r="D222">
        <v>725434</v>
      </c>
      <c r="E222">
        <v>2280</v>
      </c>
      <c r="F222">
        <v>3.0000000000000001E-3</v>
      </c>
      <c r="G222">
        <v>0.05</v>
      </c>
      <c r="H222" t="s">
        <v>78</v>
      </c>
      <c r="I222" t="str">
        <f t="shared" si="3"/>
        <v>OK</v>
      </c>
    </row>
    <row r="223" spans="1:9" hidden="1" x14ac:dyDescent="0.3">
      <c r="A223" s="1">
        <v>45901</v>
      </c>
      <c r="B223" t="s">
        <v>40</v>
      </c>
      <c r="C223">
        <v>19</v>
      </c>
      <c r="D223">
        <v>422571</v>
      </c>
      <c r="E223">
        <v>1937</v>
      </c>
      <c r="F223">
        <v>5.0000000000000001E-3</v>
      </c>
      <c r="G223">
        <v>0.05</v>
      </c>
      <c r="H223" t="s">
        <v>78</v>
      </c>
      <c r="I223" t="str">
        <f t="shared" si="3"/>
        <v>OK</v>
      </c>
    </row>
    <row r="224" spans="1:9" hidden="1" x14ac:dyDescent="0.3">
      <c r="A224" s="1">
        <v>45931</v>
      </c>
      <c r="B224" t="s">
        <v>40</v>
      </c>
      <c r="C224">
        <v>19</v>
      </c>
      <c r="D224">
        <v>241172</v>
      </c>
      <c r="E224">
        <v>412</v>
      </c>
      <c r="F224">
        <v>2E-3</v>
      </c>
      <c r="G224">
        <v>0.05</v>
      </c>
      <c r="H224" t="s">
        <v>78</v>
      </c>
      <c r="I224" t="str">
        <f t="shared" si="3"/>
        <v>OK</v>
      </c>
    </row>
    <row r="225" spans="1:9" hidden="1" x14ac:dyDescent="0.3">
      <c r="A225" s="1">
        <v>45962</v>
      </c>
      <c r="B225" t="s">
        <v>40</v>
      </c>
      <c r="C225">
        <v>19</v>
      </c>
      <c r="D225">
        <v>236136</v>
      </c>
      <c r="E225">
        <v>151</v>
      </c>
      <c r="F225">
        <v>1E-3</v>
      </c>
      <c r="G225">
        <v>0.05</v>
      </c>
      <c r="H225" t="s">
        <v>78</v>
      </c>
      <c r="I225" t="str">
        <f t="shared" si="3"/>
        <v>OK</v>
      </c>
    </row>
    <row r="226" spans="1:9" hidden="1" x14ac:dyDescent="0.3">
      <c r="A226" s="1">
        <v>45992</v>
      </c>
      <c r="B226" t="s">
        <v>40</v>
      </c>
      <c r="C226">
        <v>19</v>
      </c>
      <c r="D226">
        <v>370684</v>
      </c>
      <c r="E226">
        <v>36</v>
      </c>
      <c r="F226">
        <v>0</v>
      </c>
      <c r="G226">
        <v>0.05</v>
      </c>
      <c r="H226" t="s">
        <v>78</v>
      </c>
      <c r="I226" t="str">
        <f t="shared" si="3"/>
        <v>OK</v>
      </c>
    </row>
    <row r="227" spans="1:9" hidden="1" x14ac:dyDescent="0.3">
      <c r="A227" s="1">
        <v>46023</v>
      </c>
      <c r="B227" t="s">
        <v>40</v>
      </c>
      <c r="C227">
        <v>19</v>
      </c>
      <c r="D227">
        <v>144683</v>
      </c>
      <c r="E227">
        <v>70</v>
      </c>
      <c r="F227">
        <v>0</v>
      </c>
      <c r="G227">
        <v>0.05</v>
      </c>
      <c r="H227" t="s">
        <v>78</v>
      </c>
      <c r="I227" t="str">
        <f t="shared" si="3"/>
        <v>OK</v>
      </c>
    </row>
    <row r="228" spans="1:9" hidden="1" x14ac:dyDescent="0.3">
      <c r="A228" s="1">
        <v>46054</v>
      </c>
      <c r="B228" t="s">
        <v>40</v>
      </c>
      <c r="C228">
        <v>19</v>
      </c>
      <c r="D228">
        <v>100234</v>
      </c>
      <c r="E228">
        <v>149</v>
      </c>
      <c r="F228">
        <v>1E-3</v>
      </c>
      <c r="G228">
        <v>0.05</v>
      </c>
      <c r="H228" t="s">
        <v>78</v>
      </c>
      <c r="I228" t="str">
        <f t="shared" si="3"/>
        <v>OK</v>
      </c>
    </row>
    <row r="229" spans="1:9" hidden="1" x14ac:dyDescent="0.3">
      <c r="A229" s="1">
        <v>46082</v>
      </c>
      <c r="B229" t="s">
        <v>40</v>
      </c>
      <c r="C229">
        <v>19</v>
      </c>
      <c r="D229">
        <v>126585</v>
      </c>
      <c r="E229">
        <v>146</v>
      </c>
      <c r="F229">
        <v>1E-3</v>
      </c>
      <c r="G229">
        <v>0.05</v>
      </c>
      <c r="H229" t="s">
        <v>78</v>
      </c>
      <c r="I229" t="str">
        <f t="shared" si="3"/>
        <v>OK</v>
      </c>
    </row>
    <row r="230" spans="1:9" hidden="1" x14ac:dyDescent="0.3">
      <c r="A230" s="1">
        <v>45748</v>
      </c>
      <c r="B230" t="s">
        <v>40</v>
      </c>
      <c r="C230">
        <v>20</v>
      </c>
      <c r="D230">
        <v>55212</v>
      </c>
      <c r="E230">
        <v>623</v>
      </c>
      <c r="F230">
        <v>1.0999999999999999E-2</v>
      </c>
      <c r="G230">
        <v>0.05</v>
      </c>
      <c r="H230" t="s">
        <v>78</v>
      </c>
      <c r="I230" t="str">
        <f t="shared" si="3"/>
        <v>OK</v>
      </c>
    </row>
    <row r="231" spans="1:9" hidden="1" x14ac:dyDescent="0.3">
      <c r="A231" s="1">
        <v>45778</v>
      </c>
      <c r="B231" t="s">
        <v>40</v>
      </c>
      <c r="C231">
        <v>20</v>
      </c>
      <c r="D231">
        <v>246334</v>
      </c>
      <c r="E231">
        <v>2131</v>
      </c>
      <c r="F231">
        <v>8.9999999999999993E-3</v>
      </c>
      <c r="G231">
        <v>0.05</v>
      </c>
      <c r="H231" t="s">
        <v>78</v>
      </c>
      <c r="I231" t="str">
        <f t="shared" si="3"/>
        <v>OK</v>
      </c>
    </row>
    <row r="232" spans="1:9" hidden="1" x14ac:dyDescent="0.3">
      <c r="A232" s="1">
        <v>45809</v>
      </c>
      <c r="B232" t="s">
        <v>40</v>
      </c>
      <c r="C232">
        <v>20</v>
      </c>
      <c r="D232">
        <v>405863</v>
      </c>
      <c r="E232">
        <v>9223</v>
      </c>
      <c r="F232">
        <v>2.3E-2</v>
      </c>
      <c r="G232">
        <v>0.05</v>
      </c>
      <c r="H232" t="s">
        <v>78</v>
      </c>
      <c r="I232" t="str">
        <f t="shared" si="3"/>
        <v>OK</v>
      </c>
    </row>
    <row r="233" spans="1:9" hidden="1" x14ac:dyDescent="0.3">
      <c r="A233" s="1">
        <v>45839</v>
      </c>
      <c r="B233" t="s">
        <v>40</v>
      </c>
      <c r="C233">
        <v>20</v>
      </c>
      <c r="D233">
        <v>510362</v>
      </c>
      <c r="E233">
        <v>11709</v>
      </c>
      <c r="F233">
        <v>2.3E-2</v>
      </c>
      <c r="G233">
        <v>0.05</v>
      </c>
      <c r="H233" t="s">
        <v>78</v>
      </c>
      <c r="I233" t="str">
        <f t="shared" si="3"/>
        <v>OK</v>
      </c>
    </row>
    <row r="234" spans="1:9" hidden="1" x14ac:dyDescent="0.3">
      <c r="A234" s="1">
        <v>45870</v>
      </c>
      <c r="B234" t="s">
        <v>40</v>
      </c>
      <c r="C234">
        <v>20</v>
      </c>
      <c r="D234">
        <v>339781</v>
      </c>
      <c r="E234">
        <v>2881</v>
      </c>
      <c r="F234">
        <v>8.0000000000000002E-3</v>
      </c>
      <c r="G234">
        <v>0.05</v>
      </c>
      <c r="H234" t="s">
        <v>78</v>
      </c>
      <c r="I234" t="str">
        <f t="shared" si="3"/>
        <v>OK</v>
      </c>
    </row>
    <row r="235" spans="1:9" hidden="1" x14ac:dyDescent="0.3">
      <c r="A235" s="1">
        <v>45901</v>
      </c>
      <c r="B235" t="s">
        <v>40</v>
      </c>
      <c r="C235">
        <v>20</v>
      </c>
      <c r="D235">
        <v>343584</v>
      </c>
      <c r="E235">
        <v>2661</v>
      </c>
      <c r="F235">
        <v>8.0000000000000002E-3</v>
      </c>
      <c r="G235">
        <v>0.05</v>
      </c>
      <c r="H235" t="s">
        <v>78</v>
      </c>
      <c r="I235" t="str">
        <f t="shared" si="3"/>
        <v>OK</v>
      </c>
    </row>
    <row r="236" spans="1:9" hidden="1" x14ac:dyDescent="0.3">
      <c r="A236" s="1">
        <v>45931</v>
      </c>
      <c r="B236" t="s">
        <v>40</v>
      </c>
      <c r="C236">
        <v>20</v>
      </c>
      <c r="D236">
        <v>101218</v>
      </c>
      <c r="E236">
        <v>767</v>
      </c>
      <c r="F236">
        <v>8.0000000000000002E-3</v>
      </c>
      <c r="G236">
        <v>0.05</v>
      </c>
      <c r="H236" t="s">
        <v>78</v>
      </c>
      <c r="I236" t="str">
        <f t="shared" si="3"/>
        <v>OK</v>
      </c>
    </row>
    <row r="237" spans="1:9" hidden="1" x14ac:dyDescent="0.3">
      <c r="A237" s="1">
        <v>45962</v>
      </c>
      <c r="B237" t="s">
        <v>40</v>
      </c>
      <c r="C237">
        <v>20</v>
      </c>
      <c r="D237">
        <v>20852</v>
      </c>
      <c r="E237">
        <v>243</v>
      </c>
      <c r="F237">
        <v>1.2E-2</v>
      </c>
      <c r="G237">
        <v>0.05</v>
      </c>
      <c r="H237" t="s">
        <v>78</v>
      </c>
      <c r="I237" t="str">
        <f t="shared" si="3"/>
        <v>OK</v>
      </c>
    </row>
    <row r="238" spans="1:9" hidden="1" x14ac:dyDescent="0.3">
      <c r="A238" s="1">
        <v>45992</v>
      </c>
      <c r="B238" t="s">
        <v>40</v>
      </c>
      <c r="C238">
        <v>20</v>
      </c>
      <c r="D238">
        <v>12645</v>
      </c>
      <c r="E238">
        <v>47</v>
      </c>
      <c r="F238">
        <v>4.0000000000000001E-3</v>
      </c>
      <c r="G238">
        <v>0.05</v>
      </c>
      <c r="H238" t="s">
        <v>78</v>
      </c>
      <c r="I238" t="str">
        <f t="shared" si="3"/>
        <v>OK</v>
      </c>
    </row>
    <row r="239" spans="1:9" hidden="1" x14ac:dyDescent="0.3">
      <c r="A239" s="1">
        <v>46023</v>
      </c>
      <c r="B239" t="s">
        <v>40</v>
      </c>
      <c r="C239">
        <v>20</v>
      </c>
      <c r="D239">
        <v>19720</v>
      </c>
      <c r="E239">
        <v>146</v>
      </c>
      <c r="F239">
        <v>7.0000000000000001E-3</v>
      </c>
      <c r="G239">
        <v>0.05</v>
      </c>
      <c r="H239" t="s">
        <v>78</v>
      </c>
      <c r="I239" t="str">
        <f t="shared" si="3"/>
        <v>OK</v>
      </c>
    </row>
    <row r="240" spans="1:9" hidden="1" x14ac:dyDescent="0.3">
      <c r="A240" s="1">
        <v>46054</v>
      </c>
      <c r="B240" t="s">
        <v>40</v>
      </c>
      <c r="C240">
        <v>20</v>
      </c>
      <c r="D240">
        <v>26233</v>
      </c>
      <c r="E240">
        <v>248</v>
      </c>
      <c r="F240">
        <v>8.9999999999999993E-3</v>
      </c>
      <c r="G240">
        <v>0.05</v>
      </c>
      <c r="H240" t="s">
        <v>78</v>
      </c>
      <c r="I240" t="str">
        <f t="shared" si="3"/>
        <v>OK</v>
      </c>
    </row>
    <row r="241" spans="1:9" hidden="1" x14ac:dyDescent="0.3">
      <c r="A241" s="1">
        <v>46082</v>
      </c>
      <c r="B241" t="s">
        <v>40</v>
      </c>
      <c r="C241">
        <v>20</v>
      </c>
      <c r="D241">
        <v>23291</v>
      </c>
      <c r="E241">
        <v>232</v>
      </c>
      <c r="F241">
        <v>0.01</v>
      </c>
      <c r="G241">
        <v>0.05</v>
      </c>
      <c r="H241" t="s">
        <v>78</v>
      </c>
      <c r="I241" t="str">
        <f t="shared" si="3"/>
        <v>OK</v>
      </c>
    </row>
    <row r="242" spans="1:9" x14ac:dyDescent="0.3">
      <c r="A242" s="1">
        <v>45748</v>
      </c>
      <c r="B242" t="s">
        <v>40</v>
      </c>
      <c r="C242">
        <v>21</v>
      </c>
      <c r="D242">
        <v>49032</v>
      </c>
      <c r="E242">
        <v>3310</v>
      </c>
      <c r="F242">
        <v>6.8000000000000005E-2</v>
      </c>
      <c r="G242">
        <v>0.05</v>
      </c>
      <c r="H242" t="s">
        <v>79</v>
      </c>
      <c r="I242" t="str">
        <f t="shared" si="3"/>
        <v>Review</v>
      </c>
    </row>
    <row r="243" spans="1:9" hidden="1" x14ac:dyDescent="0.3">
      <c r="A243" s="1">
        <v>45778</v>
      </c>
      <c r="B243" t="s">
        <v>40</v>
      </c>
      <c r="C243">
        <v>21</v>
      </c>
      <c r="D243">
        <v>217894</v>
      </c>
      <c r="E243">
        <v>6724</v>
      </c>
      <c r="F243">
        <v>3.1E-2</v>
      </c>
      <c r="G243">
        <v>0.05</v>
      </c>
      <c r="H243" t="s">
        <v>78</v>
      </c>
      <c r="I243" t="str">
        <f t="shared" si="3"/>
        <v>OK</v>
      </c>
    </row>
    <row r="244" spans="1:9" hidden="1" x14ac:dyDescent="0.3">
      <c r="A244" s="1">
        <v>45809</v>
      </c>
      <c r="B244" t="s">
        <v>40</v>
      </c>
      <c r="C244">
        <v>21</v>
      </c>
      <c r="D244">
        <v>343038</v>
      </c>
      <c r="E244">
        <v>7425</v>
      </c>
      <c r="F244">
        <v>2.1999999999999999E-2</v>
      </c>
      <c r="G244">
        <v>0.05</v>
      </c>
      <c r="H244" t="s">
        <v>78</v>
      </c>
      <c r="I244" t="str">
        <f t="shared" si="3"/>
        <v>OK</v>
      </c>
    </row>
    <row r="245" spans="1:9" hidden="1" x14ac:dyDescent="0.3">
      <c r="A245" s="1">
        <v>45839</v>
      </c>
      <c r="B245" t="s">
        <v>40</v>
      </c>
      <c r="C245">
        <v>21</v>
      </c>
      <c r="D245">
        <v>453002</v>
      </c>
      <c r="E245">
        <v>8680</v>
      </c>
      <c r="F245">
        <v>1.9E-2</v>
      </c>
      <c r="G245">
        <v>0.05</v>
      </c>
      <c r="H245" t="s">
        <v>78</v>
      </c>
      <c r="I245" t="str">
        <f t="shared" si="3"/>
        <v>OK</v>
      </c>
    </row>
    <row r="246" spans="1:9" hidden="1" x14ac:dyDescent="0.3">
      <c r="A246" s="1">
        <v>45870</v>
      </c>
      <c r="B246" t="s">
        <v>40</v>
      </c>
      <c r="C246">
        <v>21</v>
      </c>
      <c r="D246">
        <v>321516</v>
      </c>
      <c r="E246">
        <v>8680</v>
      </c>
      <c r="F246">
        <v>2.7E-2</v>
      </c>
      <c r="G246">
        <v>0.05</v>
      </c>
      <c r="H246" t="s">
        <v>78</v>
      </c>
      <c r="I246" t="str">
        <f t="shared" si="3"/>
        <v>OK</v>
      </c>
    </row>
    <row r="247" spans="1:9" hidden="1" x14ac:dyDescent="0.3">
      <c r="A247" s="1">
        <v>45901</v>
      </c>
      <c r="B247" t="s">
        <v>40</v>
      </c>
      <c r="C247">
        <v>21</v>
      </c>
      <c r="D247">
        <v>315162</v>
      </c>
      <c r="E247">
        <v>6720</v>
      </c>
      <c r="F247">
        <v>2.1000000000000001E-2</v>
      </c>
      <c r="G247">
        <v>0.05</v>
      </c>
      <c r="H247" t="s">
        <v>78</v>
      </c>
      <c r="I247" t="str">
        <f t="shared" si="3"/>
        <v>OK</v>
      </c>
    </row>
    <row r="248" spans="1:9" x14ac:dyDescent="0.3">
      <c r="A248" s="1">
        <v>45931</v>
      </c>
      <c r="B248" t="s">
        <v>40</v>
      </c>
      <c r="C248">
        <v>21</v>
      </c>
      <c r="D248">
        <v>76485</v>
      </c>
      <c r="E248">
        <v>5600</v>
      </c>
      <c r="F248">
        <v>7.2999999999999995E-2</v>
      </c>
      <c r="G248">
        <v>0.05</v>
      </c>
      <c r="H248" t="s">
        <v>79</v>
      </c>
      <c r="I248" t="str">
        <f t="shared" si="3"/>
        <v>Review</v>
      </c>
    </row>
    <row r="249" spans="1:9" hidden="1" x14ac:dyDescent="0.3">
      <c r="A249" s="1">
        <v>45962</v>
      </c>
      <c r="B249" t="s">
        <v>40</v>
      </c>
      <c r="C249">
        <v>21</v>
      </c>
      <c r="D249">
        <v>21226</v>
      </c>
      <c r="E249">
        <v>363</v>
      </c>
      <c r="F249">
        <v>1.7000000000000001E-2</v>
      </c>
      <c r="G249">
        <v>0.05</v>
      </c>
      <c r="H249" t="s">
        <v>78</v>
      </c>
      <c r="I249" t="str">
        <f t="shared" si="3"/>
        <v>OK</v>
      </c>
    </row>
    <row r="250" spans="1:9" hidden="1" x14ac:dyDescent="0.3">
      <c r="A250" s="1">
        <v>45992</v>
      </c>
      <c r="B250" t="s">
        <v>40</v>
      </c>
      <c r="C250">
        <v>21</v>
      </c>
      <c r="D250">
        <v>11446</v>
      </c>
      <c r="E250">
        <v>437</v>
      </c>
      <c r="F250">
        <v>3.7999999999999999E-2</v>
      </c>
      <c r="G250">
        <v>0.05</v>
      </c>
      <c r="H250" t="s">
        <v>78</v>
      </c>
      <c r="I250" t="str">
        <f t="shared" si="3"/>
        <v>OK</v>
      </c>
    </row>
    <row r="251" spans="1:9" hidden="1" x14ac:dyDescent="0.3">
      <c r="A251" s="1">
        <v>46023</v>
      </c>
      <c r="B251" t="s">
        <v>40</v>
      </c>
      <c r="C251">
        <v>21</v>
      </c>
      <c r="D251">
        <v>17667</v>
      </c>
      <c r="E251">
        <v>620</v>
      </c>
      <c r="F251">
        <v>3.5000000000000003E-2</v>
      </c>
      <c r="G251">
        <v>0.05</v>
      </c>
      <c r="H251" t="s">
        <v>78</v>
      </c>
      <c r="I251" t="str">
        <f t="shared" si="3"/>
        <v>OK</v>
      </c>
    </row>
    <row r="252" spans="1:9" hidden="1" x14ac:dyDescent="0.3">
      <c r="A252" s="1">
        <v>46054</v>
      </c>
      <c r="B252" t="s">
        <v>40</v>
      </c>
      <c r="C252">
        <v>21</v>
      </c>
      <c r="D252">
        <v>24744</v>
      </c>
      <c r="E252">
        <v>640</v>
      </c>
      <c r="F252">
        <v>2.5999999999999999E-2</v>
      </c>
      <c r="G252">
        <v>0.05</v>
      </c>
      <c r="H252" t="s">
        <v>78</v>
      </c>
      <c r="I252" t="str">
        <f t="shared" si="3"/>
        <v>OK</v>
      </c>
    </row>
    <row r="253" spans="1:9" hidden="1" x14ac:dyDescent="0.3">
      <c r="A253" s="1">
        <v>46082</v>
      </c>
      <c r="B253" t="s">
        <v>40</v>
      </c>
      <c r="C253">
        <v>21</v>
      </c>
      <c r="D253">
        <v>22730</v>
      </c>
      <c r="E253">
        <v>540</v>
      </c>
      <c r="F253">
        <v>2.4E-2</v>
      </c>
      <c r="G253">
        <v>0.05</v>
      </c>
      <c r="H253" t="s">
        <v>78</v>
      </c>
      <c r="I253" t="str">
        <f t="shared" si="3"/>
        <v>OK</v>
      </c>
    </row>
    <row r="254" spans="1:9" x14ac:dyDescent="0.3">
      <c r="A254" s="1">
        <v>45748</v>
      </c>
      <c r="B254" t="s">
        <v>40</v>
      </c>
      <c r="C254">
        <v>22</v>
      </c>
      <c r="D254">
        <v>55212</v>
      </c>
      <c r="E254">
        <v>4470</v>
      </c>
      <c r="F254">
        <v>8.1000000000000003E-2</v>
      </c>
      <c r="G254">
        <v>0.05</v>
      </c>
      <c r="H254" t="s">
        <v>79</v>
      </c>
      <c r="I254" t="str">
        <f t="shared" si="3"/>
        <v>Review</v>
      </c>
    </row>
    <row r="255" spans="1:9" hidden="1" x14ac:dyDescent="0.3">
      <c r="A255" s="1">
        <v>45778</v>
      </c>
      <c r="B255" t="s">
        <v>40</v>
      </c>
      <c r="C255">
        <v>22</v>
      </c>
      <c r="D255">
        <v>169017</v>
      </c>
      <c r="E255">
        <v>5257</v>
      </c>
      <c r="F255">
        <v>3.1E-2</v>
      </c>
      <c r="G255">
        <v>0.05</v>
      </c>
      <c r="H255" t="s">
        <v>78</v>
      </c>
      <c r="I255" t="str">
        <f t="shared" si="3"/>
        <v>OK</v>
      </c>
    </row>
    <row r="256" spans="1:9" hidden="1" x14ac:dyDescent="0.3">
      <c r="A256" s="1">
        <v>45809</v>
      </c>
      <c r="B256" t="s">
        <v>40</v>
      </c>
      <c r="C256">
        <v>22</v>
      </c>
      <c r="D256">
        <v>222654</v>
      </c>
      <c r="E256">
        <v>1533</v>
      </c>
      <c r="F256">
        <v>7.0000000000000001E-3</v>
      </c>
      <c r="G256">
        <v>0.05</v>
      </c>
      <c r="H256" t="s">
        <v>78</v>
      </c>
      <c r="I256" t="str">
        <f t="shared" si="3"/>
        <v>OK</v>
      </c>
    </row>
    <row r="257" spans="1:9" hidden="1" x14ac:dyDescent="0.3">
      <c r="A257" s="1">
        <v>45839</v>
      </c>
      <c r="B257" t="s">
        <v>40</v>
      </c>
      <c r="C257">
        <v>22</v>
      </c>
      <c r="D257">
        <v>267435</v>
      </c>
      <c r="E257">
        <v>55</v>
      </c>
      <c r="F257">
        <v>0</v>
      </c>
      <c r="G257">
        <v>0.05</v>
      </c>
      <c r="H257" t="s">
        <v>78</v>
      </c>
      <c r="I257" t="str">
        <f t="shared" si="3"/>
        <v>OK</v>
      </c>
    </row>
    <row r="258" spans="1:9" hidden="1" x14ac:dyDescent="0.3">
      <c r="A258" s="1">
        <v>45870</v>
      </c>
      <c r="B258" t="s">
        <v>40</v>
      </c>
      <c r="C258">
        <v>22</v>
      </c>
      <c r="D258">
        <v>225236</v>
      </c>
      <c r="E258">
        <v>1316</v>
      </c>
      <c r="F258">
        <v>6.0000000000000001E-3</v>
      </c>
      <c r="G258">
        <v>0.05</v>
      </c>
      <c r="H258" t="s">
        <v>78</v>
      </c>
      <c r="I258" t="str">
        <f t="shared" ref="I258:I301" si="4">IF(ABS(F258)&gt;G258,"Review","OK")</f>
        <v>OK</v>
      </c>
    </row>
    <row r="259" spans="1:9" hidden="1" x14ac:dyDescent="0.3">
      <c r="A259" s="1">
        <v>45901</v>
      </c>
      <c r="B259" t="s">
        <v>40</v>
      </c>
      <c r="C259">
        <v>22</v>
      </c>
      <c r="D259">
        <v>201857</v>
      </c>
      <c r="E259">
        <v>3111</v>
      </c>
      <c r="F259">
        <v>1.4999999999999999E-2</v>
      </c>
      <c r="G259">
        <v>0.05</v>
      </c>
      <c r="H259" t="s">
        <v>78</v>
      </c>
      <c r="I259" t="str">
        <f t="shared" si="4"/>
        <v>OK</v>
      </c>
    </row>
    <row r="260" spans="1:9" hidden="1" x14ac:dyDescent="0.3">
      <c r="A260" s="1">
        <v>45931</v>
      </c>
      <c r="B260" t="s">
        <v>40</v>
      </c>
      <c r="C260">
        <v>22</v>
      </c>
      <c r="D260">
        <v>72194</v>
      </c>
      <c r="E260">
        <v>1785</v>
      </c>
      <c r="F260">
        <v>2.5000000000000001E-2</v>
      </c>
      <c r="G260">
        <v>0.05</v>
      </c>
      <c r="H260" t="s">
        <v>78</v>
      </c>
      <c r="I260" t="str">
        <f t="shared" si="4"/>
        <v>OK</v>
      </c>
    </row>
    <row r="261" spans="1:9" hidden="1" x14ac:dyDescent="0.3">
      <c r="A261" s="1">
        <v>45962</v>
      </c>
      <c r="B261" t="s">
        <v>40</v>
      </c>
      <c r="C261">
        <v>22</v>
      </c>
      <c r="D261">
        <v>40403</v>
      </c>
      <c r="E261">
        <v>1584</v>
      </c>
      <c r="F261">
        <v>3.9E-2</v>
      </c>
      <c r="G261">
        <v>0.05</v>
      </c>
      <c r="H261" t="s">
        <v>78</v>
      </c>
      <c r="I261" t="str">
        <f t="shared" si="4"/>
        <v>OK</v>
      </c>
    </row>
    <row r="262" spans="1:9" hidden="1" x14ac:dyDescent="0.3">
      <c r="A262" s="1">
        <v>45992</v>
      </c>
      <c r="B262" t="s">
        <v>40</v>
      </c>
      <c r="C262">
        <v>22</v>
      </c>
      <c r="D262">
        <v>52561</v>
      </c>
      <c r="E262">
        <v>171</v>
      </c>
      <c r="F262">
        <v>3.0000000000000001E-3</v>
      </c>
      <c r="G262">
        <v>0.05</v>
      </c>
      <c r="H262" t="s">
        <v>78</v>
      </c>
      <c r="I262" t="str">
        <f t="shared" si="4"/>
        <v>OK</v>
      </c>
    </row>
    <row r="263" spans="1:9" hidden="1" x14ac:dyDescent="0.3">
      <c r="A263" s="1">
        <v>46023</v>
      </c>
      <c r="B263" t="s">
        <v>40</v>
      </c>
      <c r="C263">
        <v>22</v>
      </c>
      <c r="D263">
        <v>57832</v>
      </c>
      <c r="E263">
        <v>99</v>
      </c>
      <c r="F263">
        <v>2E-3</v>
      </c>
      <c r="G263">
        <v>0.05</v>
      </c>
      <c r="H263" t="s">
        <v>78</v>
      </c>
      <c r="I263" t="str">
        <f t="shared" si="4"/>
        <v>OK</v>
      </c>
    </row>
    <row r="264" spans="1:9" hidden="1" x14ac:dyDescent="0.3">
      <c r="A264" s="1">
        <v>46054</v>
      </c>
      <c r="B264" t="s">
        <v>40</v>
      </c>
      <c r="C264">
        <v>22</v>
      </c>
      <c r="D264">
        <v>49218</v>
      </c>
      <c r="E264">
        <v>240</v>
      </c>
      <c r="F264">
        <v>5.0000000000000001E-3</v>
      </c>
      <c r="G264">
        <v>0.05</v>
      </c>
      <c r="H264" t="s">
        <v>78</v>
      </c>
      <c r="I264" t="str">
        <f t="shared" si="4"/>
        <v>OK</v>
      </c>
    </row>
    <row r="265" spans="1:9" hidden="1" x14ac:dyDescent="0.3">
      <c r="A265" s="1">
        <v>46082</v>
      </c>
      <c r="B265" t="s">
        <v>40</v>
      </c>
      <c r="C265">
        <v>22</v>
      </c>
      <c r="D265">
        <v>29755</v>
      </c>
      <c r="E265">
        <v>630</v>
      </c>
      <c r="F265">
        <v>2.1000000000000001E-2</v>
      </c>
      <c r="G265">
        <v>0.05</v>
      </c>
      <c r="H265" t="s">
        <v>78</v>
      </c>
      <c r="I265" t="str">
        <f t="shared" si="4"/>
        <v>OK</v>
      </c>
    </row>
    <row r="266" spans="1:9" x14ac:dyDescent="0.3">
      <c r="A266" s="1">
        <v>45748</v>
      </c>
      <c r="B266" t="s">
        <v>40</v>
      </c>
      <c r="C266">
        <v>23</v>
      </c>
      <c r="D266">
        <v>68638</v>
      </c>
      <c r="E266">
        <v>4470</v>
      </c>
      <c r="F266">
        <v>6.5000000000000002E-2</v>
      </c>
      <c r="G266">
        <v>0.05</v>
      </c>
      <c r="H266" t="s">
        <v>79</v>
      </c>
      <c r="I266" t="str">
        <f t="shared" si="4"/>
        <v>Review</v>
      </c>
    </row>
    <row r="267" spans="1:9" hidden="1" x14ac:dyDescent="0.3">
      <c r="A267" s="1">
        <v>45778</v>
      </c>
      <c r="B267" t="s">
        <v>40</v>
      </c>
      <c r="C267">
        <v>23</v>
      </c>
      <c r="D267">
        <v>207567</v>
      </c>
      <c r="E267">
        <v>5257</v>
      </c>
      <c r="F267">
        <v>2.5000000000000001E-2</v>
      </c>
      <c r="G267">
        <v>0.05</v>
      </c>
      <c r="H267" t="s">
        <v>78</v>
      </c>
      <c r="I267" t="str">
        <f t="shared" si="4"/>
        <v>OK</v>
      </c>
    </row>
    <row r="268" spans="1:9" hidden="1" x14ac:dyDescent="0.3">
      <c r="A268" s="1">
        <v>45809</v>
      </c>
      <c r="B268" t="s">
        <v>40</v>
      </c>
      <c r="C268">
        <v>23</v>
      </c>
      <c r="D268">
        <v>278762</v>
      </c>
      <c r="E268">
        <v>1533</v>
      </c>
      <c r="F268">
        <v>5.0000000000000001E-3</v>
      </c>
      <c r="G268">
        <v>0.05</v>
      </c>
      <c r="H268" t="s">
        <v>78</v>
      </c>
      <c r="I268" t="str">
        <f t="shared" si="4"/>
        <v>OK</v>
      </c>
    </row>
    <row r="269" spans="1:9" hidden="1" x14ac:dyDescent="0.3">
      <c r="A269" s="1">
        <v>45839</v>
      </c>
      <c r="B269" t="s">
        <v>40</v>
      </c>
      <c r="C269">
        <v>23</v>
      </c>
      <c r="D269">
        <v>322060</v>
      </c>
      <c r="E269">
        <v>55</v>
      </c>
      <c r="F269">
        <v>0</v>
      </c>
      <c r="G269">
        <v>0.05</v>
      </c>
      <c r="H269" t="s">
        <v>78</v>
      </c>
      <c r="I269" t="str">
        <f t="shared" si="4"/>
        <v>OK</v>
      </c>
    </row>
    <row r="270" spans="1:9" hidden="1" x14ac:dyDescent="0.3">
      <c r="A270" s="1">
        <v>45870</v>
      </c>
      <c r="B270" t="s">
        <v>40</v>
      </c>
      <c r="C270">
        <v>23</v>
      </c>
      <c r="D270">
        <v>298180</v>
      </c>
      <c r="E270">
        <v>1316</v>
      </c>
      <c r="F270">
        <v>4.0000000000000001E-3</v>
      </c>
      <c r="G270">
        <v>0.05</v>
      </c>
      <c r="H270" t="s">
        <v>78</v>
      </c>
      <c r="I270" t="str">
        <f t="shared" si="4"/>
        <v>OK</v>
      </c>
    </row>
    <row r="271" spans="1:9" hidden="1" x14ac:dyDescent="0.3">
      <c r="A271" s="1">
        <v>45901</v>
      </c>
      <c r="B271" t="s">
        <v>40</v>
      </c>
      <c r="C271">
        <v>23</v>
      </c>
      <c r="D271">
        <v>259620</v>
      </c>
      <c r="E271">
        <v>3111</v>
      </c>
      <c r="F271">
        <v>1.2E-2</v>
      </c>
      <c r="G271">
        <v>0.05</v>
      </c>
      <c r="H271" t="s">
        <v>78</v>
      </c>
      <c r="I271" t="str">
        <f t="shared" si="4"/>
        <v>OK</v>
      </c>
    </row>
    <row r="272" spans="1:9" hidden="1" x14ac:dyDescent="0.3">
      <c r="A272" s="1">
        <v>45931</v>
      </c>
      <c r="B272" t="s">
        <v>40</v>
      </c>
      <c r="C272">
        <v>23</v>
      </c>
      <c r="D272">
        <v>79220</v>
      </c>
      <c r="E272">
        <v>1785</v>
      </c>
      <c r="F272">
        <v>2.3E-2</v>
      </c>
      <c r="G272">
        <v>0.05</v>
      </c>
      <c r="H272" t="s">
        <v>78</v>
      </c>
      <c r="I272" t="str">
        <f t="shared" si="4"/>
        <v>OK</v>
      </c>
    </row>
    <row r="273" spans="1:9" hidden="1" x14ac:dyDescent="0.3">
      <c r="A273" s="1">
        <v>45962</v>
      </c>
      <c r="B273" t="s">
        <v>40</v>
      </c>
      <c r="C273">
        <v>23</v>
      </c>
      <c r="D273">
        <v>45069</v>
      </c>
      <c r="E273">
        <v>1584</v>
      </c>
      <c r="F273">
        <v>3.5000000000000003E-2</v>
      </c>
      <c r="G273">
        <v>0.05</v>
      </c>
      <c r="H273" t="s">
        <v>78</v>
      </c>
      <c r="I273" t="str">
        <f t="shared" si="4"/>
        <v>OK</v>
      </c>
    </row>
    <row r="274" spans="1:9" hidden="1" x14ac:dyDescent="0.3">
      <c r="A274" s="1">
        <v>45992</v>
      </c>
      <c r="B274" t="s">
        <v>40</v>
      </c>
      <c r="C274">
        <v>23</v>
      </c>
      <c r="D274">
        <v>62931</v>
      </c>
      <c r="E274">
        <v>171</v>
      </c>
      <c r="F274">
        <v>3.0000000000000001E-3</v>
      </c>
      <c r="G274">
        <v>0.05</v>
      </c>
      <c r="H274" t="s">
        <v>78</v>
      </c>
      <c r="I274" t="str">
        <f t="shared" si="4"/>
        <v>OK</v>
      </c>
    </row>
    <row r="275" spans="1:9" hidden="1" x14ac:dyDescent="0.3">
      <c r="A275" s="1">
        <v>46023</v>
      </c>
      <c r="B275" t="s">
        <v>40</v>
      </c>
      <c r="C275">
        <v>23</v>
      </c>
      <c r="D275">
        <v>63880</v>
      </c>
      <c r="E275">
        <v>99</v>
      </c>
      <c r="F275">
        <v>2E-3</v>
      </c>
      <c r="G275">
        <v>0.05</v>
      </c>
      <c r="H275" t="s">
        <v>78</v>
      </c>
      <c r="I275" t="str">
        <f t="shared" si="4"/>
        <v>OK</v>
      </c>
    </row>
    <row r="276" spans="1:9" hidden="1" x14ac:dyDescent="0.3">
      <c r="A276" s="1">
        <v>46054</v>
      </c>
      <c r="B276" t="s">
        <v>40</v>
      </c>
      <c r="C276">
        <v>23</v>
      </c>
      <c r="D276">
        <v>54480</v>
      </c>
      <c r="E276">
        <v>240</v>
      </c>
      <c r="F276">
        <v>4.0000000000000001E-3</v>
      </c>
      <c r="G276">
        <v>0.05</v>
      </c>
      <c r="H276" t="s">
        <v>78</v>
      </c>
      <c r="I276" t="str">
        <f t="shared" si="4"/>
        <v>OK</v>
      </c>
    </row>
    <row r="277" spans="1:9" hidden="1" x14ac:dyDescent="0.3">
      <c r="A277" s="1">
        <v>46082</v>
      </c>
      <c r="B277" t="s">
        <v>40</v>
      </c>
      <c r="C277">
        <v>23</v>
      </c>
      <c r="D277">
        <v>31160</v>
      </c>
      <c r="E277">
        <v>630</v>
      </c>
      <c r="F277">
        <v>0.02</v>
      </c>
      <c r="G277">
        <v>0.05</v>
      </c>
      <c r="H277" t="s">
        <v>78</v>
      </c>
      <c r="I277" t="str">
        <f t="shared" si="4"/>
        <v>OK</v>
      </c>
    </row>
    <row r="278" spans="1:9" x14ac:dyDescent="0.3">
      <c r="A278" s="1">
        <v>45748</v>
      </c>
      <c r="B278" t="s">
        <v>40</v>
      </c>
      <c r="C278">
        <v>24</v>
      </c>
      <c r="D278">
        <v>80100</v>
      </c>
      <c r="E278">
        <v>4470</v>
      </c>
      <c r="F278">
        <v>5.6000000000000001E-2</v>
      </c>
      <c r="G278">
        <v>0.05</v>
      </c>
      <c r="H278" t="s">
        <v>79</v>
      </c>
      <c r="I278" t="str">
        <f t="shared" si="4"/>
        <v>Review</v>
      </c>
    </row>
    <row r="279" spans="1:9" hidden="1" x14ac:dyDescent="0.3">
      <c r="A279" s="1">
        <v>45778</v>
      </c>
      <c r="B279" t="s">
        <v>40</v>
      </c>
      <c r="C279">
        <v>24</v>
      </c>
      <c r="D279">
        <v>150255</v>
      </c>
      <c r="E279">
        <v>5257</v>
      </c>
      <c r="F279">
        <v>3.5000000000000003E-2</v>
      </c>
      <c r="G279">
        <v>0.05</v>
      </c>
      <c r="H279" t="s">
        <v>78</v>
      </c>
      <c r="I279" t="str">
        <f t="shared" si="4"/>
        <v>OK</v>
      </c>
    </row>
    <row r="280" spans="1:9" hidden="1" x14ac:dyDescent="0.3">
      <c r="A280" s="1">
        <v>45809</v>
      </c>
      <c r="B280" t="s">
        <v>40</v>
      </c>
      <c r="C280">
        <v>24</v>
      </c>
      <c r="D280">
        <v>249495</v>
      </c>
      <c r="E280">
        <v>1533</v>
      </c>
      <c r="F280">
        <v>6.0000000000000001E-3</v>
      </c>
      <c r="G280">
        <v>0.05</v>
      </c>
      <c r="H280" t="s">
        <v>78</v>
      </c>
      <c r="I280" t="str">
        <f t="shared" si="4"/>
        <v>OK</v>
      </c>
    </row>
    <row r="281" spans="1:9" hidden="1" x14ac:dyDescent="0.3">
      <c r="A281" s="1">
        <v>45839</v>
      </c>
      <c r="B281" t="s">
        <v>40</v>
      </c>
      <c r="C281">
        <v>24</v>
      </c>
      <c r="D281">
        <v>337710</v>
      </c>
      <c r="E281">
        <v>55</v>
      </c>
      <c r="F281">
        <v>0</v>
      </c>
      <c r="G281">
        <v>0.05</v>
      </c>
      <c r="H281" t="s">
        <v>78</v>
      </c>
      <c r="I281" t="str">
        <f t="shared" si="4"/>
        <v>OK</v>
      </c>
    </row>
    <row r="282" spans="1:9" hidden="1" x14ac:dyDescent="0.3">
      <c r="A282" s="1">
        <v>45870</v>
      </c>
      <c r="B282" t="s">
        <v>40</v>
      </c>
      <c r="C282">
        <v>24</v>
      </c>
      <c r="D282">
        <v>224708</v>
      </c>
      <c r="E282">
        <v>1316</v>
      </c>
      <c r="F282">
        <v>6.0000000000000001E-3</v>
      </c>
      <c r="G282">
        <v>0.05</v>
      </c>
      <c r="H282" t="s">
        <v>78</v>
      </c>
      <c r="I282" t="str">
        <f t="shared" si="4"/>
        <v>OK</v>
      </c>
    </row>
    <row r="283" spans="1:9" hidden="1" x14ac:dyDescent="0.3">
      <c r="A283" s="1">
        <v>45901</v>
      </c>
      <c r="B283" t="s">
        <v>40</v>
      </c>
      <c r="C283">
        <v>24</v>
      </c>
      <c r="D283">
        <v>202133</v>
      </c>
      <c r="E283">
        <v>3111</v>
      </c>
      <c r="F283">
        <v>1.4999999999999999E-2</v>
      </c>
      <c r="G283">
        <v>0.05</v>
      </c>
      <c r="H283" t="s">
        <v>78</v>
      </c>
      <c r="I283" t="str">
        <f t="shared" si="4"/>
        <v>OK</v>
      </c>
    </row>
    <row r="284" spans="1:9" hidden="1" x14ac:dyDescent="0.3">
      <c r="A284" s="1">
        <v>45931</v>
      </c>
      <c r="B284" t="s">
        <v>40</v>
      </c>
      <c r="C284">
        <v>24</v>
      </c>
      <c r="D284">
        <v>87578</v>
      </c>
      <c r="E284">
        <v>1785</v>
      </c>
      <c r="F284">
        <v>0.02</v>
      </c>
      <c r="G284">
        <v>0.05</v>
      </c>
      <c r="H284" t="s">
        <v>78</v>
      </c>
      <c r="I284" t="str">
        <f t="shared" si="4"/>
        <v>OK</v>
      </c>
    </row>
    <row r="285" spans="1:9" hidden="1" x14ac:dyDescent="0.3">
      <c r="A285" s="1">
        <v>45962</v>
      </c>
      <c r="B285" t="s">
        <v>40</v>
      </c>
      <c r="C285">
        <v>24</v>
      </c>
      <c r="D285">
        <v>65318</v>
      </c>
      <c r="E285">
        <v>1584</v>
      </c>
      <c r="F285">
        <v>2.4E-2</v>
      </c>
      <c r="G285">
        <v>0.05</v>
      </c>
      <c r="H285" t="s">
        <v>78</v>
      </c>
      <c r="I285" t="str">
        <f t="shared" si="4"/>
        <v>OK</v>
      </c>
    </row>
    <row r="286" spans="1:9" hidden="1" x14ac:dyDescent="0.3">
      <c r="A286" s="1">
        <v>45992</v>
      </c>
      <c r="B286" t="s">
        <v>40</v>
      </c>
      <c r="C286">
        <v>24</v>
      </c>
      <c r="D286">
        <v>66997</v>
      </c>
      <c r="E286">
        <v>171</v>
      </c>
      <c r="F286">
        <v>3.0000000000000001E-3</v>
      </c>
      <c r="G286">
        <v>0.05</v>
      </c>
      <c r="H286" t="s">
        <v>78</v>
      </c>
      <c r="I286" t="str">
        <f t="shared" si="4"/>
        <v>OK</v>
      </c>
    </row>
    <row r="287" spans="1:9" hidden="1" x14ac:dyDescent="0.3">
      <c r="A287" s="1">
        <v>46023</v>
      </c>
      <c r="B287" t="s">
        <v>40</v>
      </c>
      <c r="C287">
        <v>24</v>
      </c>
      <c r="D287">
        <v>75143</v>
      </c>
      <c r="E287">
        <v>99</v>
      </c>
      <c r="F287">
        <v>1E-3</v>
      </c>
      <c r="G287">
        <v>0.05</v>
      </c>
      <c r="H287" t="s">
        <v>78</v>
      </c>
      <c r="I287" t="str">
        <f t="shared" si="4"/>
        <v>OK</v>
      </c>
    </row>
    <row r="288" spans="1:9" hidden="1" x14ac:dyDescent="0.3">
      <c r="A288" s="1">
        <v>46054</v>
      </c>
      <c r="B288" t="s">
        <v>40</v>
      </c>
      <c r="C288">
        <v>24</v>
      </c>
      <c r="D288">
        <v>59160</v>
      </c>
      <c r="E288">
        <v>240</v>
      </c>
      <c r="F288">
        <v>4.0000000000000001E-3</v>
      </c>
      <c r="G288">
        <v>0.05</v>
      </c>
      <c r="H288" t="s">
        <v>78</v>
      </c>
      <c r="I288" t="str">
        <f t="shared" si="4"/>
        <v>OK</v>
      </c>
    </row>
    <row r="289" spans="1:9" hidden="1" x14ac:dyDescent="0.3">
      <c r="A289" s="1">
        <v>46082</v>
      </c>
      <c r="B289" t="s">
        <v>40</v>
      </c>
      <c r="C289">
        <v>24</v>
      </c>
      <c r="D289">
        <v>61950</v>
      </c>
      <c r="E289">
        <v>630</v>
      </c>
      <c r="F289">
        <v>0.01</v>
      </c>
      <c r="G289">
        <v>0.05</v>
      </c>
      <c r="H289" t="s">
        <v>78</v>
      </c>
      <c r="I289" t="str">
        <f t="shared" si="4"/>
        <v>OK</v>
      </c>
    </row>
    <row r="290" spans="1:9" hidden="1" x14ac:dyDescent="0.3">
      <c r="A290" s="1">
        <v>45748</v>
      </c>
      <c r="B290" t="s">
        <v>40</v>
      </c>
      <c r="C290">
        <v>25</v>
      </c>
      <c r="D290">
        <v>970280</v>
      </c>
      <c r="E290">
        <v>4470</v>
      </c>
      <c r="F290">
        <v>5.0000000000000001E-3</v>
      </c>
      <c r="G290">
        <v>0.05</v>
      </c>
      <c r="H290" t="s">
        <v>78</v>
      </c>
      <c r="I290" t="str">
        <f t="shared" si="4"/>
        <v>OK</v>
      </c>
    </row>
    <row r="291" spans="1:9" hidden="1" x14ac:dyDescent="0.3">
      <c r="A291" s="1">
        <v>45778</v>
      </c>
      <c r="B291" t="s">
        <v>40</v>
      </c>
      <c r="C291">
        <v>25</v>
      </c>
      <c r="D291">
        <v>1358748</v>
      </c>
      <c r="E291">
        <v>5257</v>
      </c>
      <c r="F291">
        <v>4.0000000000000001E-3</v>
      </c>
      <c r="G291">
        <v>0.05</v>
      </c>
      <c r="H291" t="s">
        <v>78</v>
      </c>
      <c r="I291" t="str">
        <f t="shared" si="4"/>
        <v>OK</v>
      </c>
    </row>
    <row r="292" spans="1:9" hidden="1" x14ac:dyDescent="0.3">
      <c r="A292" s="1">
        <v>45809</v>
      </c>
      <c r="B292" t="s">
        <v>40</v>
      </c>
      <c r="C292">
        <v>25</v>
      </c>
      <c r="D292">
        <v>2403665</v>
      </c>
      <c r="E292">
        <v>1533</v>
      </c>
      <c r="F292">
        <v>1E-3</v>
      </c>
      <c r="G292">
        <v>0.05</v>
      </c>
      <c r="H292" t="s">
        <v>78</v>
      </c>
      <c r="I292" t="str">
        <f t="shared" si="4"/>
        <v>OK</v>
      </c>
    </row>
    <row r="293" spans="1:9" hidden="1" x14ac:dyDescent="0.3">
      <c r="A293" s="1">
        <v>45839</v>
      </c>
      <c r="B293" t="s">
        <v>40</v>
      </c>
      <c r="C293">
        <v>25</v>
      </c>
      <c r="D293">
        <v>2919780</v>
      </c>
      <c r="E293">
        <v>55</v>
      </c>
      <c r="F293">
        <v>0</v>
      </c>
      <c r="G293">
        <v>0.05</v>
      </c>
      <c r="H293" t="s">
        <v>78</v>
      </c>
      <c r="I293" t="str">
        <f t="shared" si="4"/>
        <v>OK</v>
      </c>
    </row>
    <row r="294" spans="1:9" hidden="1" x14ac:dyDescent="0.3">
      <c r="A294" s="1">
        <v>45870</v>
      </c>
      <c r="B294" t="s">
        <v>40</v>
      </c>
      <c r="C294">
        <v>25</v>
      </c>
      <c r="D294">
        <v>2097476</v>
      </c>
      <c r="E294">
        <v>1316</v>
      </c>
      <c r="F294">
        <v>1E-3</v>
      </c>
      <c r="G294">
        <v>0.05</v>
      </c>
      <c r="H294" t="s">
        <v>78</v>
      </c>
      <c r="I294" t="str">
        <f t="shared" si="4"/>
        <v>OK</v>
      </c>
    </row>
    <row r="295" spans="1:9" hidden="1" x14ac:dyDescent="0.3">
      <c r="A295" s="1">
        <v>45901</v>
      </c>
      <c r="B295" t="s">
        <v>40</v>
      </c>
      <c r="C295">
        <v>25</v>
      </c>
      <c r="D295">
        <v>1600225</v>
      </c>
      <c r="E295">
        <v>3111</v>
      </c>
      <c r="F295">
        <v>2E-3</v>
      </c>
      <c r="G295">
        <v>0.05</v>
      </c>
      <c r="H295" t="s">
        <v>78</v>
      </c>
      <c r="I295" t="str">
        <f t="shared" si="4"/>
        <v>OK</v>
      </c>
    </row>
    <row r="296" spans="1:9" hidden="1" x14ac:dyDescent="0.3">
      <c r="A296" s="1">
        <v>45931</v>
      </c>
      <c r="B296" t="s">
        <v>40</v>
      </c>
      <c r="C296">
        <v>25</v>
      </c>
      <c r="D296">
        <v>940703</v>
      </c>
      <c r="E296">
        <v>1785</v>
      </c>
      <c r="F296">
        <v>2E-3</v>
      </c>
      <c r="G296">
        <v>0.05</v>
      </c>
      <c r="H296" t="s">
        <v>78</v>
      </c>
      <c r="I296" t="str">
        <f t="shared" si="4"/>
        <v>OK</v>
      </c>
    </row>
    <row r="297" spans="1:9" hidden="1" x14ac:dyDescent="0.3">
      <c r="A297" s="1">
        <v>45962</v>
      </c>
      <c r="B297" t="s">
        <v>40</v>
      </c>
      <c r="C297">
        <v>25</v>
      </c>
      <c r="D297">
        <v>708646</v>
      </c>
      <c r="E297">
        <v>1584</v>
      </c>
      <c r="F297">
        <v>2E-3</v>
      </c>
      <c r="G297">
        <v>0.05</v>
      </c>
      <c r="H297" t="s">
        <v>78</v>
      </c>
      <c r="I297" t="str">
        <f t="shared" si="4"/>
        <v>OK</v>
      </c>
    </row>
    <row r="298" spans="1:9" hidden="1" x14ac:dyDescent="0.3">
      <c r="A298" s="1">
        <v>45992</v>
      </c>
      <c r="B298" t="s">
        <v>40</v>
      </c>
      <c r="C298">
        <v>25</v>
      </c>
      <c r="D298">
        <v>734937</v>
      </c>
      <c r="E298">
        <v>171</v>
      </c>
      <c r="F298">
        <v>0</v>
      </c>
      <c r="G298">
        <v>0.05</v>
      </c>
      <c r="H298" t="s">
        <v>78</v>
      </c>
      <c r="I298" t="str">
        <f t="shared" si="4"/>
        <v>OK</v>
      </c>
    </row>
    <row r="299" spans="1:9" hidden="1" x14ac:dyDescent="0.3">
      <c r="A299" s="1">
        <v>46023</v>
      </c>
      <c r="B299" t="s">
        <v>40</v>
      </c>
      <c r="C299">
        <v>25</v>
      </c>
      <c r="D299">
        <v>469743</v>
      </c>
      <c r="E299">
        <v>99</v>
      </c>
      <c r="F299">
        <v>0</v>
      </c>
      <c r="G299">
        <v>0.05</v>
      </c>
      <c r="H299" t="s">
        <v>78</v>
      </c>
      <c r="I299" t="str">
        <f t="shared" si="4"/>
        <v>OK</v>
      </c>
    </row>
    <row r="300" spans="1:9" hidden="1" x14ac:dyDescent="0.3">
      <c r="A300" s="1">
        <v>46054</v>
      </c>
      <c r="B300" t="s">
        <v>40</v>
      </c>
      <c r="C300">
        <v>25</v>
      </c>
      <c r="D300">
        <v>414841</v>
      </c>
      <c r="E300">
        <v>240</v>
      </c>
      <c r="F300">
        <v>1E-3</v>
      </c>
      <c r="G300">
        <v>0.05</v>
      </c>
      <c r="H300" t="s">
        <v>78</v>
      </c>
      <c r="I300" t="str">
        <f t="shared" si="4"/>
        <v>OK</v>
      </c>
    </row>
    <row r="301" spans="1:9" hidden="1" x14ac:dyDescent="0.3">
      <c r="A301" s="1">
        <v>46082</v>
      </c>
      <c r="B301" t="s">
        <v>40</v>
      </c>
      <c r="C301">
        <v>25</v>
      </c>
      <c r="D301">
        <v>574430</v>
      </c>
      <c r="E301">
        <v>630</v>
      </c>
      <c r="F301">
        <v>1E-3</v>
      </c>
      <c r="G301">
        <v>0.05</v>
      </c>
      <c r="H301" t="s">
        <v>78</v>
      </c>
      <c r="I301" t="str">
        <f t="shared" si="4"/>
        <v>OK</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2409E-9DEB-4CE7-ACAE-DC3B2B9B625D}">
  <dimension ref="A3:C58"/>
  <sheetViews>
    <sheetView topLeftCell="A10" zoomScale="65" workbookViewId="0">
      <selection activeCell="Q34" sqref="Q34"/>
    </sheetView>
  </sheetViews>
  <sheetFormatPr defaultRowHeight="14.4" x14ac:dyDescent="0.3"/>
  <cols>
    <col min="1" max="1" width="12.44140625" bestFit="1" customWidth="1"/>
    <col min="2" max="2" width="19.44140625" style="2" bestFit="1" customWidth="1"/>
    <col min="3" max="3" width="30.6640625" bestFit="1" customWidth="1"/>
  </cols>
  <sheetData>
    <row r="3" spans="1:3" x14ac:dyDescent="0.3">
      <c r="A3" s="3" t="s">
        <v>87</v>
      </c>
      <c r="B3" s="2" t="s">
        <v>96</v>
      </c>
      <c r="C3" t="s">
        <v>95</v>
      </c>
    </row>
    <row r="4" spans="1:3" x14ac:dyDescent="0.3">
      <c r="A4" s="4">
        <v>1</v>
      </c>
      <c r="B4" s="2">
        <v>176608</v>
      </c>
      <c r="C4" s="8">
        <v>0.11516666666666668</v>
      </c>
    </row>
    <row r="5" spans="1:3" x14ac:dyDescent="0.3">
      <c r="A5" s="4">
        <v>2</v>
      </c>
      <c r="B5" s="2">
        <v>9630</v>
      </c>
      <c r="C5" s="8">
        <v>1.7916666666666668E-2</v>
      </c>
    </row>
    <row r="6" spans="1:3" x14ac:dyDescent="0.3">
      <c r="A6" s="4">
        <v>3</v>
      </c>
      <c r="B6" s="2">
        <v>330</v>
      </c>
      <c r="C6" s="8">
        <v>1.6666666666666666E-4</v>
      </c>
    </row>
    <row r="7" spans="1:3" x14ac:dyDescent="0.3">
      <c r="A7" s="4">
        <v>4</v>
      </c>
      <c r="B7" s="2">
        <v>200373</v>
      </c>
      <c r="C7" s="8">
        <v>3.0666666666666675E-2</v>
      </c>
    </row>
    <row r="8" spans="1:3" x14ac:dyDescent="0.3">
      <c r="A8" s="4">
        <v>5</v>
      </c>
      <c r="B8" s="2">
        <v>79860</v>
      </c>
      <c r="C8" s="8">
        <v>5.7749999999999996E-2</v>
      </c>
    </row>
    <row r="9" spans="1:3" x14ac:dyDescent="0.3">
      <c r="A9" s="4">
        <v>6</v>
      </c>
      <c r="B9" s="2">
        <v>29407</v>
      </c>
      <c r="C9" s="8">
        <v>2.6083333333333337E-2</v>
      </c>
    </row>
    <row r="10" spans="1:3" x14ac:dyDescent="0.3">
      <c r="A10" s="4">
        <v>7</v>
      </c>
      <c r="B10" s="2">
        <v>24289</v>
      </c>
      <c r="C10" s="8">
        <v>9.8333333333333328E-3</v>
      </c>
    </row>
    <row r="11" spans="1:3" x14ac:dyDescent="0.3">
      <c r="A11" s="4">
        <v>8</v>
      </c>
      <c r="B11" s="2">
        <v>1093329</v>
      </c>
      <c r="C11" s="8">
        <v>0.13091666666666668</v>
      </c>
    </row>
    <row r="12" spans="1:3" x14ac:dyDescent="0.3">
      <c r="A12" s="4">
        <v>9</v>
      </c>
      <c r="B12" s="2">
        <v>41100</v>
      </c>
      <c r="C12" s="8">
        <v>2.5333333333333336E-2</v>
      </c>
    </row>
    <row r="13" spans="1:3" x14ac:dyDescent="0.3">
      <c r="A13" s="4">
        <v>10</v>
      </c>
      <c r="B13" s="2">
        <v>835</v>
      </c>
      <c r="C13" s="8">
        <v>8.3333333333333331E-5</v>
      </c>
    </row>
    <row r="14" spans="1:3" x14ac:dyDescent="0.3">
      <c r="A14" s="4">
        <v>11</v>
      </c>
      <c r="B14" s="2">
        <v>1468</v>
      </c>
      <c r="C14" s="8">
        <v>6.6666666666666664E-4</v>
      </c>
    </row>
    <row r="15" spans="1:3" x14ac:dyDescent="0.3">
      <c r="A15" s="4">
        <v>12</v>
      </c>
      <c r="B15" s="2">
        <v>31779</v>
      </c>
      <c r="C15" s="8">
        <v>1.8666666666666668E-2</v>
      </c>
    </row>
    <row r="16" spans="1:3" x14ac:dyDescent="0.3">
      <c r="A16" s="4">
        <v>13</v>
      </c>
      <c r="B16" s="2">
        <v>360</v>
      </c>
      <c r="C16" s="8">
        <v>3.3333333333333332E-4</v>
      </c>
    </row>
    <row r="17" spans="1:3" x14ac:dyDescent="0.3">
      <c r="A17" s="4">
        <v>14</v>
      </c>
      <c r="B17" s="2">
        <v>480</v>
      </c>
      <c r="C17" s="8">
        <v>4.1666666666666669E-4</v>
      </c>
    </row>
    <row r="18" spans="1:3" x14ac:dyDescent="0.3">
      <c r="A18" s="4">
        <v>15</v>
      </c>
      <c r="B18" s="2">
        <v>1468</v>
      </c>
      <c r="C18" s="8">
        <v>4.1666666666666669E-4</v>
      </c>
    </row>
    <row r="19" spans="1:3" x14ac:dyDescent="0.3">
      <c r="A19" s="4">
        <v>16</v>
      </c>
      <c r="B19" s="2">
        <v>51634</v>
      </c>
      <c r="C19" s="8">
        <v>6.4750000000000016E-2</v>
      </c>
    </row>
    <row r="20" spans="1:3" x14ac:dyDescent="0.3">
      <c r="A20" s="4">
        <v>17</v>
      </c>
      <c r="B20" s="2">
        <v>13956</v>
      </c>
      <c r="C20" s="8">
        <v>1.7749999999999998E-2</v>
      </c>
    </row>
    <row r="21" spans="1:3" x14ac:dyDescent="0.3">
      <c r="A21" s="4">
        <v>18</v>
      </c>
      <c r="B21" s="2">
        <v>10512</v>
      </c>
      <c r="C21" s="8">
        <v>6.3333333333333332E-3</v>
      </c>
    </row>
    <row r="22" spans="1:3" x14ac:dyDescent="0.3">
      <c r="A22" s="4">
        <v>19</v>
      </c>
      <c r="B22" s="2">
        <v>13426</v>
      </c>
      <c r="C22" s="8">
        <v>2.2500000000000003E-3</v>
      </c>
    </row>
    <row r="23" spans="1:3" x14ac:dyDescent="0.3">
      <c r="A23" s="4">
        <v>20</v>
      </c>
      <c r="B23" s="2">
        <v>30911</v>
      </c>
      <c r="C23" s="8">
        <v>1.1000000000000003E-2</v>
      </c>
    </row>
    <row r="24" spans="1:3" x14ac:dyDescent="0.3">
      <c r="A24" s="4">
        <v>21</v>
      </c>
      <c r="B24" s="2">
        <v>49739</v>
      </c>
      <c r="C24" s="8">
        <v>3.3416666666666671E-2</v>
      </c>
    </row>
    <row r="25" spans="1:3" x14ac:dyDescent="0.3">
      <c r="A25" s="4">
        <v>22</v>
      </c>
      <c r="B25" s="2">
        <v>20251</v>
      </c>
      <c r="C25" s="8">
        <v>1.9583333333333335E-2</v>
      </c>
    </row>
    <row r="26" spans="1:3" x14ac:dyDescent="0.3">
      <c r="A26" s="4">
        <v>23</v>
      </c>
      <c r="B26" s="2">
        <v>20251</v>
      </c>
      <c r="C26" s="8">
        <v>1.6500000000000001E-2</v>
      </c>
    </row>
    <row r="27" spans="1:3" x14ac:dyDescent="0.3">
      <c r="A27" s="4">
        <v>24</v>
      </c>
      <c r="B27" s="2">
        <v>20251</v>
      </c>
      <c r="C27" s="8">
        <v>1.5000000000000001E-2</v>
      </c>
    </row>
    <row r="28" spans="1:3" x14ac:dyDescent="0.3">
      <c r="A28" s="4">
        <v>25</v>
      </c>
      <c r="B28" s="2">
        <v>20251</v>
      </c>
      <c r="C28" s="8">
        <v>1.5833333333333335E-3</v>
      </c>
    </row>
    <row r="29" spans="1:3" x14ac:dyDescent="0.3">
      <c r="A29" s="4" t="s">
        <v>88</v>
      </c>
      <c r="B29" s="2">
        <v>1942498</v>
      </c>
      <c r="C29" s="8">
        <v>2.4903333333333319E-2</v>
      </c>
    </row>
    <row r="32" spans="1:3" x14ac:dyDescent="0.3">
      <c r="A32" s="6" t="s">
        <v>87</v>
      </c>
      <c r="B32" s="6" t="s">
        <v>95</v>
      </c>
    </row>
    <row r="33" spans="1:2" x14ac:dyDescent="0.3">
      <c r="A33" s="4">
        <v>1</v>
      </c>
      <c r="B33" s="8">
        <v>0.11516666666666668</v>
      </c>
    </row>
    <row r="34" spans="1:2" x14ac:dyDescent="0.3">
      <c r="A34" s="4">
        <v>2</v>
      </c>
      <c r="B34" s="8">
        <v>1.7916666666666668E-2</v>
      </c>
    </row>
    <row r="35" spans="1:2" x14ac:dyDescent="0.3">
      <c r="A35" s="4">
        <v>3</v>
      </c>
      <c r="B35" s="8">
        <v>1.6666666666666666E-4</v>
      </c>
    </row>
    <row r="36" spans="1:2" x14ac:dyDescent="0.3">
      <c r="A36" s="4">
        <v>4</v>
      </c>
      <c r="B36" s="8">
        <v>3.0666666666666675E-2</v>
      </c>
    </row>
    <row r="37" spans="1:2" x14ac:dyDescent="0.3">
      <c r="A37" s="4">
        <v>5</v>
      </c>
      <c r="B37" s="8">
        <v>5.7749999999999996E-2</v>
      </c>
    </row>
    <row r="38" spans="1:2" x14ac:dyDescent="0.3">
      <c r="A38" s="4">
        <v>6</v>
      </c>
      <c r="B38" s="8">
        <v>2.6083333333333337E-2</v>
      </c>
    </row>
    <row r="39" spans="1:2" x14ac:dyDescent="0.3">
      <c r="A39" s="4">
        <v>7</v>
      </c>
      <c r="B39" s="8">
        <v>9.8333333333333328E-3</v>
      </c>
    </row>
    <row r="40" spans="1:2" x14ac:dyDescent="0.3">
      <c r="A40" s="4">
        <v>8</v>
      </c>
      <c r="B40" s="8">
        <v>0.13091666666666668</v>
      </c>
    </row>
    <row r="41" spans="1:2" x14ac:dyDescent="0.3">
      <c r="A41" s="4">
        <v>9</v>
      </c>
      <c r="B41" s="8">
        <v>2.5333333333333336E-2</v>
      </c>
    </row>
    <row r="42" spans="1:2" x14ac:dyDescent="0.3">
      <c r="A42" s="4">
        <v>10</v>
      </c>
      <c r="B42" s="8">
        <v>8.3333333333333331E-5</v>
      </c>
    </row>
    <row r="43" spans="1:2" x14ac:dyDescent="0.3">
      <c r="A43" s="4">
        <v>11</v>
      </c>
      <c r="B43" s="8">
        <v>6.6666666666666664E-4</v>
      </c>
    </row>
    <row r="44" spans="1:2" x14ac:dyDescent="0.3">
      <c r="A44" s="4">
        <v>12</v>
      </c>
      <c r="B44" s="8">
        <v>1.8666666666666668E-2</v>
      </c>
    </row>
    <row r="45" spans="1:2" x14ac:dyDescent="0.3">
      <c r="A45" s="4">
        <v>13</v>
      </c>
      <c r="B45" s="8">
        <v>3.3333333333333332E-4</v>
      </c>
    </row>
    <row r="46" spans="1:2" x14ac:dyDescent="0.3">
      <c r="A46" s="4">
        <v>14</v>
      </c>
      <c r="B46" s="8">
        <v>4.1666666666666669E-4</v>
      </c>
    </row>
    <row r="47" spans="1:2" x14ac:dyDescent="0.3">
      <c r="A47" s="4">
        <v>15</v>
      </c>
      <c r="B47" s="8">
        <v>4.1666666666666669E-4</v>
      </c>
    </row>
    <row r="48" spans="1:2" x14ac:dyDescent="0.3">
      <c r="A48" s="4">
        <v>16</v>
      </c>
      <c r="B48" s="8">
        <v>6.4750000000000016E-2</v>
      </c>
    </row>
    <row r="49" spans="1:2" x14ac:dyDescent="0.3">
      <c r="A49" s="4">
        <v>17</v>
      </c>
      <c r="B49" s="8">
        <v>1.7749999999999998E-2</v>
      </c>
    </row>
    <row r="50" spans="1:2" x14ac:dyDescent="0.3">
      <c r="A50" s="4">
        <v>18</v>
      </c>
      <c r="B50" s="8">
        <v>6.3333333333333332E-3</v>
      </c>
    </row>
    <row r="51" spans="1:2" x14ac:dyDescent="0.3">
      <c r="A51" s="4">
        <v>19</v>
      </c>
      <c r="B51" s="8">
        <v>2.2500000000000003E-3</v>
      </c>
    </row>
    <row r="52" spans="1:2" x14ac:dyDescent="0.3">
      <c r="A52" s="4">
        <v>20</v>
      </c>
      <c r="B52" s="8">
        <v>1.1000000000000003E-2</v>
      </c>
    </row>
    <row r="53" spans="1:2" x14ac:dyDescent="0.3">
      <c r="A53" s="4">
        <v>21</v>
      </c>
      <c r="B53" s="8">
        <v>3.3416666666666671E-2</v>
      </c>
    </row>
    <row r="54" spans="1:2" x14ac:dyDescent="0.3">
      <c r="A54" s="4">
        <v>22</v>
      </c>
      <c r="B54" s="8">
        <v>1.9583333333333335E-2</v>
      </c>
    </row>
    <row r="55" spans="1:2" x14ac:dyDescent="0.3">
      <c r="A55" s="4">
        <v>23</v>
      </c>
      <c r="B55" s="8">
        <v>1.6500000000000001E-2</v>
      </c>
    </row>
    <row r="56" spans="1:2" x14ac:dyDescent="0.3">
      <c r="A56" s="4">
        <v>24</v>
      </c>
      <c r="B56" s="8">
        <v>1.5000000000000001E-2</v>
      </c>
    </row>
    <row r="57" spans="1:2" x14ac:dyDescent="0.3">
      <c r="A57" s="4">
        <v>25</v>
      </c>
      <c r="B57" s="8">
        <v>1.5833333333333335E-3</v>
      </c>
    </row>
    <row r="58" spans="1:2" x14ac:dyDescent="0.3">
      <c r="A58" s="34" t="s">
        <v>88</v>
      </c>
      <c r="B58" s="35">
        <v>2.4903333333333319E-2</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69CEA0-3127-421F-9B91-05E08E4823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vt:i4>
      </vt:variant>
    </vt:vector>
  </HeadingPairs>
  <TitlesOfParts>
    <vt:vector size="26" baseType="lpstr">
      <vt:lpstr>Plant_Master</vt:lpstr>
      <vt:lpstr>Dashboard</vt:lpstr>
      <vt:lpstr>Plant_Master(clean)</vt:lpstr>
      <vt:lpstr>Montly_Generation</vt:lpstr>
      <vt:lpstr>Plant_Performance</vt:lpstr>
      <vt:lpstr>Montly_Generation (clean)</vt:lpstr>
      <vt:lpstr>Montly_Generation_Analysis</vt:lpstr>
      <vt:lpstr>Billing</vt:lpstr>
      <vt:lpstr>Billing (clean)</vt:lpstr>
      <vt:lpstr>Receivable</vt:lpstr>
      <vt:lpstr>Billing_Analysis</vt:lpstr>
      <vt:lpstr>Receivable (clean)</vt:lpstr>
      <vt:lpstr>TL</vt:lpstr>
      <vt:lpstr>Receivable_Analysis</vt:lpstr>
      <vt:lpstr>TL (clean)</vt:lpstr>
      <vt:lpstr>RKVAH</vt:lpstr>
      <vt:lpstr>TL_Analysis</vt:lpstr>
      <vt:lpstr>RKVAH (clean)</vt:lpstr>
      <vt:lpstr>RKVAH_Analysis</vt:lpstr>
      <vt:lpstr>tblGeneration</vt:lpstr>
      <vt:lpstr>'Billing (clean)'!tblplant_master</vt:lpstr>
      <vt:lpstr>'Montly_Generation (clean)'!tblplant_master</vt:lpstr>
      <vt:lpstr>'Receivable (clean)'!tblplant_master</vt:lpstr>
      <vt:lpstr>'RKVAH (clean)'!tblplant_master</vt:lpstr>
      <vt:lpstr>'TL (clean)'!tblplant_master</vt:lpstr>
      <vt:lpstr>tblplant_master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STORAGE</dc:creator>
  <cp:lastModifiedBy>NATIONAL STORAGE</cp:lastModifiedBy>
  <dcterms:created xsi:type="dcterms:W3CDTF">2026-10-16T14:28:35Z</dcterms:created>
  <dcterms:modified xsi:type="dcterms:W3CDTF">2026-10-16T19:57:18Z</dcterms:modified>
</cp:coreProperties>
</file>